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yant.vlt01594\Documents\"/>
    </mc:Choice>
  </mc:AlternateContent>
  <bookViews>
    <workbookView xWindow="0" yWindow="0" windowWidth="20490" windowHeight="7530"/>
  </bookViews>
  <sheets>
    <sheet name="Master 1" sheetId="2" r:id="rId1"/>
    <sheet name="Material Base On TSM" sheetId="1" r:id="rId2"/>
  </sheets>
  <externalReferences>
    <externalReference r:id="rId3"/>
  </externalReferences>
  <definedNames>
    <definedName name="_xlnm._FilterDatabase" localSheetId="0" hidden="1">'Master 1'!$B$6:$CE$52</definedName>
    <definedName name="_xlnm.Print_Area" localSheetId="0">'Master 1'!$B$1:$BY$2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Y27" i="2" l="1"/>
  <c r="CX27" i="2"/>
  <c r="CS27" i="2"/>
  <c r="CR27" i="2"/>
  <c r="CM27" i="2"/>
  <c r="CL27" i="2"/>
  <c r="CG27" i="2"/>
  <c r="CF27" i="2"/>
  <c r="J27" i="2"/>
  <c r="A27" i="2"/>
  <c r="J11" i="2"/>
  <c r="CQ27" i="2" l="1"/>
  <c r="CK27" i="2"/>
  <c r="CW27" i="2"/>
  <c r="DC27" i="2"/>
  <c r="CT27" i="2"/>
  <c r="CU27" i="2"/>
  <c r="CH27" i="2"/>
  <c r="CI27" i="2"/>
  <c r="CJ27" i="2"/>
  <c r="CN27" i="2"/>
  <c r="CV27" i="2"/>
  <c r="CZ27" i="2"/>
  <c r="CO27" i="2"/>
  <c r="DA27" i="2"/>
  <c r="CP27" i="2"/>
  <c r="DB27" i="2"/>
  <c r="D26" i="2" l="1"/>
  <c r="CY26" i="2"/>
  <c r="CX26" i="2"/>
  <c r="CS26" i="2"/>
  <c r="CR26" i="2"/>
  <c r="CM26" i="2"/>
  <c r="CL26" i="2"/>
  <c r="CO26" i="2" s="1"/>
  <c r="CG26" i="2"/>
  <c r="CF26" i="2"/>
  <c r="J26" i="2"/>
  <c r="A26" i="2"/>
  <c r="DC26" i="2" l="1"/>
  <c r="CK26" i="2"/>
  <c r="CW26" i="2"/>
  <c r="CP26" i="2"/>
  <c r="CQ26" i="2"/>
  <c r="CT26" i="2"/>
  <c r="CU26" i="2"/>
  <c r="CH26" i="2"/>
  <c r="CV26" i="2"/>
  <c r="CI26" i="2"/>
  <c r="CJ26" i="2"/>
  <c r="CZ26" i="2"/>
  <c r="DA26" i="2"/>
  <c r="CN26" i="2"/>
  <c r="DB26" i="2"/>
  <c r="CY25" i="2" l="1"/>
  <c r="CX25" i="2"/>
  <c r="CS25" i="2"/>
  <c r="CR25" i="2"/>
  <c r="CM25" i="2"/>
  <c r="CL25" i="2"/>
  <c r="CG25" i="2"/>
  <c r="CF25" i="2"/>
  <c r="J25" i="2"/>
  <c r="A25" i="2"/>
  <c r="CJ25" i="2" l="1"/>
  <c r="CO25" i="2"/>
  <c r="CZ25" i="2"/>
  <c r="CW25" i="2"/>
  <c r="CV25" i="2"/>
  <c r="CN25" i="2"/>
  <c r="DA25" i="2"/>
  <c r="CI25" i="2"/>
  <c r="CK25" i="2"/>
  <c r="CH25" i="2"/>
  <c r="CP25" i="2"/>
  <c r="CT25" i="2"/>
  <c r="DB25" i="2"/>
  <c r="CQ25" i="2"/>
  <c r="CU25" i="2"/>
  <c r="DC25" i="2"/>
  <c r="CY24" i="2"/>
  <c r="CX24" i="2"/>
  <c r="CS24" i="2"/>
  <c r="CR24" i="2"/>
  <c r="CM24" i="2"/>
  <c r="CL24" i="2"/>
  <c r="CF24" i="2"/>
  <c r="CI24" i="2" s="1"/>
  <c r="J24" i="2"/>
  <c r="A24" i="2"/>
  <c r="CQ24" i="2" l="1"/>
  <c r="DA24" i="2"/>
  <c r="CU24" i="2"/>
  <c r="CZ24" i="2"/>
  <c r="CJ24" i="2"/>
  <c r="CN24" i="2"/>
  <c r="DC24" i="2"/>
  <c r="CO24" i="2"/>
  <c r="CV24" i="2"/>
  <c r="CK24" i="2"/>
  <c r="CW24" i="2"/>
  <c r="CH24" i="2"/>
  <c r="CP24" i="2"/>
  <c r="CT24" i="2"/>
  <c r="DB24" i="2"/>
  <c r="CF22" i="2"/>
  <c r="CH22" i="2" s="1"/>
  <c r="CI22" i="2" l="1"/>
  <c r="CK22" i="2"/>
  <c r="CJ22" i="2"/>
  <c r="CF23" i="2"/>
  <c r="CX23" i="2"/>
  <c r="CY23" i="2"/>
  <c r="CR23" i="2"/>
  <c r="CS23" i="2"/>
  <c r="CL23" i="2"/>
  <c r="CM23" i="2"/>
  <c r="J23" i="2"/>
  <c r="A23" i="2"/>
  <c r="A22" i="2"/>
  <c r="CP23" i="2" l="1"/>
  <c r="CZ23" i="2"/>
  <c r="CJ23" i="2"/>
  <c r="CK23" i="2"/>
  <c r="CI23" i="2"/>
  <c r="CH23" i="2"/>
  <c r="DB23" i="2"/>
  <c r="CT23" i="2"/>
  <c r="DC23" i="2"/>
  <c r="DA23" i="2"/>
  <c r="CW23" i="2"/>
  <c r="CV23" i="2"/>
  <c r="CU23" i="2"/>
  <c r="CQ23" i="2"/>
  <c r="CO23" i="2"/>
  <c r="CN23" i="2"/>
  <c r="CY22" i="2"/>
  <c r="CX22" i="2"/>
  <c r="CS22" i="2"/>
  <c r="CR22" i="2"/>
  <c r="CM22" i="2"/>
  <c r="CL22" i="2"/>
  <c r="J22" i="2"/>
  <c r="DC22" i="2" l="1"/>
  <c r="CU22" i="2"/>
  <c r="CN22" i="2"/>
  <c r="CQ22" i="2"/>
  <c r="CZ22" i="2"/>
  <c r="CO22" i="2"/>
  <c r="CW22" i="2"/>
  <c r="DA22" i="2"/>
  <c r="CP22" i="2"/>
  <c r="CT22" i="2"/>
  <c r="DB22" i="2"/>
  <c r="CV22" i="2"/>
  <c r="CG21" i="2" l="1"/>
  <c r="CF21" i="2"/>
  <c r="CL21" i="2"/>
  <c r="CM21" i="2"/>
  <c r="CR21" i="2"/>
  <c r="CS21" i="2"/>
  <c r="CX21" i="2"/>
  <c r="CY21" i="2"/>
  <c r="J21" i="2"/>
  <c r="A21" i="2"/>
  <c r="A1048576" i="2"/>
  <c r="CN21" i="2" l="1"/>
  <c r="CV21" i="2"/>
  <c r="CQ21" i="2"/>
  <c r="DB21" i="2"/>
  <c r="CW21" i="2"/>
  <c r="CZ21" i="2"/>
  <c r="DA21" i="2"/>
  <c r="DC21" i="2"/>
  <c r="CH21" i="2"/>
  <c r="CJ21" i="2"/>
  <c r="CI21" i="2"/>
  <c r="CK21" i="2"/>
  <c r="CU21" i="2"/>
  <c r="CT21" i="2"/>
  <c r="CP21" i="2"/>
  <c r="CO21" i="2"/>
  <c r="CY12" i="2"/>
  <c r="CX12" i="2"/>
  <c r="CS12" i="2"/>
  <c r="CR12" i="2"/>
  <c r="CM12" i="2"/>
  <c r="CL12" i="2"/>
  <c r="CG12" i="2"/>
  <c r="CF12" i="2"/>
  <c r="J12" i="2"/>
  <c r="A12" i="2"/>
  <c r="CO12" i="2" l="1"/>
  <c r="DA12" i="2"/>
  <c r="CK12" i="2"/>
  <c r="CW12" i="2"/>
  <c r="CT12" i="2"/>
  <c r="CU12" i="2"/>
  <c r="CH12" i="2"/>
  <c r="CI12" i="2"/>
  <c r="CP12" i="2"/>
  <c r="DB12" i="2"/>
  <c r="CQ12" i="2"/>
  <c r="DC12" i="2"/>
  <c r="CJ12" i="2"/>
  <c r="CN12" i="2"/>
  <c r="CV12" i="2"/>
  <c r="CZ12" i="2"/>
  <c r="CY8" i="2"/>
  <c r="CY9" i="2"/>
  <c r="CY10" i="2"/>
  <c r="CY11" i="2"/>
  <c r="CY13" i="2"/>
  <c r="CY14" i="2"/>
  <c r="CY15" i="2"/>
  <c r="CY16" i="2"/>
  <c r="CY17" i="2"/>
  <c r="CY18" i="2"/>
  <c r="CY19" i="2"/>
  <c r="CY20" i="2"/>
  <c r="CY7" i="2"/>
  <c r="CX8" i="2"/>
  <c r="CX9" i="2"/>
  <c r="CX10" i="2"/>
  <c r="CX11" i="2"/>
  <c r="CX13" i="2"/>
  <c r="CX14" i="2"/>
  <c r="CX15" i="2"/>
  <c r="CX16" i="2"/>
  <c r="CX17" i="2"/>
  <c r="CX18" i="2"/>
  <c r="CX19" i="2"/>
  <c r="CX20" i="2"/>
  <c r="CX7" i="2"/>
  <c r="CS8" i="2"/>
  <c r="CS9" i="2"/>
  <c r="CS10" i="2"/>
  <c r="CS11" i="2"/>
  <c r="CS13" i="2"/>
  <c r="CS14" i="2"/>
  <c r="CS15" i="2"/>
  <c r="CS16" i="2"/>
  <c r="CS17" i="2"/>
  <c r="CS18" i="2"/>
  <c r="CS19" i="2"/>
  <c r="CS20" i="2"/>
  <c r="CS7" i="2"/>
  <c r="CR8" i="2"/>
  <c r="CR9" i="2"/>
  <c r="CR10" i="2"/>
  <c r="CR11" i="2"/>
  <c r="CR13" i="2"/>
  <c r="CR14" i="2"/>
  <c r="CR15" i="2"/>
  <c r="CR16" i="2"/>
  <c r="CR17" i="2"/>
  <c r="CR18" i="2"/>
  <c r="CR19" i="2"/>
  <c r="CR20" i="2"/>
  <c r="CR7" i="2"/>
  <c r="CL8" i="2"/>
  <c r="CM8" i="2"/>
  <c r="CL9" i="2"/>
  <c r="CM9" i="2"/>
  <c r="CN9" i="2" s="1"/>
  <c r="CL10" i="2"/>
  <c r="CM10" i="2"/>
  <c r="CL11" i="2"/>
  <c r="CM11" i="2"/>
  <c r="CQ11" i="2" s="1"/>
  <c r="CL13" i="2"/>
  <c r="CM13" i="2"/>
  <c r="CL14" i="2"/>
  <c r="CM14" i="2"/>
  <c r="CO14" i="2" s="1"/>
  <c r="CL15" i="2"/>
  <c r="CM15" i="2"/>
  <c r="CL16" i="2"/>
  <c r="CM16" i="2"/>
  <c r="CQ16" i="2" s="1"/>
  <c r="CL17" i="2"/>
  <c r="CM17" i="2"/>
  <c r="CL18" i="2"/>
  <c r="CM18" i="2"/>
  <c r="CL19" i="2"/>
  <c r="CM19" i="2"/>
  <c r="CL20" i="2"/>
  <c r="CM20" i="2"/>
  <c r="CQ20" i="2" s="1"/>
  <c r="CM7" i="2"/>
  <c r="CL7" i="2"/>
  <c r="CG8" i="2"/>
  <c r="CG9" i="2"/>
  <c r="CG10" i="2"/>
  <c r="CG11" i="2"/>
  <c r="CG13" i="2"/>
  <c r="CG14" i="2"/>
  <c r="CG15" i="2"/>
  <c r="CG16" i="2"/>
  <c r="CG17" i="2"/>
  <c r="CG18" i="2"/>
  <c r="CG19" i="2"/>
  <c r="CG20" i="2"/>
  <c r="CG7" i="2"/>
  <c r="CF8" i="2"/>
  <c r="CF9" i="2"/>
  <c r="CF10" i="2"/>
  <c r="CF11" i="2"/>
  <c r="CF13" i="2"/>
  <c r="CF14" i="2"/>
  <c r="CF15" i="2"/>
  <c r="CF16" i="2"/>
  <c r="CF17" i="2"/>
  <c r="CF18" i="2"/>
  <c r="CF19" i="2"/>
  <c r="CF20" i="2"/>
  <c r="CF7" i="2"/>
  <c r="CH15" i="2" l="1"/>
  <c r="CV10" i="2"/>
  <c r="CZ8" i="2"/>
  <c r="CH19" i="2"/>
  <c r="CV15" i="2"/>
  <c r="CZ13" i="2"/>
  <c r="CO18" i="2"/>
  <c r="CV17" i="2"/>
  <c r="CZ15" i="2"/>
  <c r="CH13" i="2"/>
  <c r="CV8" i="2"/>
  <c r="DC7" i="2"/>
  <c r="CK10" i="2"/>
  <c r="CU7" i="2"/>
  <c r="CZ19" i="2"/>
  <c r="CI8" i="2"/>
  <c r="CV19" i="2"/>
  <c r="CZ17" i="2"/>
  <c r="CI7" i="2"/>
  <c r="CH17" i="2"/>
  <c r="CZ10" i="2"/>
  <c r="CV13" i="2"/>
  <c r="CI20" i="2"/>
  <c r="CI16" i="2"/>
  <c r="CU16" i="2"/>
  <c r="CK18" i="2"/>
  <c r="CK14" i="2"/>
  <c r="CH9" i="2"/>
  <c r="CN7" i="2"/>
  <c r="CO19" i="2"/>
  <c r="CQ17" i="2"/>
  <c r="CO15" i="2"/>
  <c r="CQ13" i="2"/>
  <c r="CO10" i="2"/>
  <c r="CQ8" i="2"/>
  <c r="CU15" i="2"/>
  <c r="CU18" i="2"/>
  <c r="CU14" i="2"/>
  <c r="CU9" i="2"/>
  <c r="DC14" i="2"/>
  <c r="CV20" i="2"/>
  <c r="CV16" i="2"/>
  <c r="CV11" i="2"/>
  <c r="CZ20" i="2"/>
  <c r="CZ16" i="2"/>
  <c r="CZ11" i="2"/>
  <c r="DC17" i="2"/>
  <c r="CK19" i="2"/>
  <c r="CP19" i="2"/>
  <c r="CI18" i="2"/>
  <c r="CI14" i="2"/>
  <c r="CK9" i="2"/>
  <c r="CI10" i="2"/>
  <c r="CK15" i="2"/>
  <c r="CP20" i="2"/>
  <c r="CN18" i="2"/>
  <c r="CP16" i="2"/>
  <c r="CN14" i="2"/>
  <c r="CP11" i="2"/>
  <c r="CQ9" i="2"/>
  <c r="CN17" i="2"/>
  <c r="CP15" i="2"/>
  <c r="CU20" i="2"/>
  <c r="CU11" i="2"/>
  <c r="DC20" i="2"/>
  <c r="DC16" i="2"/>
  <c r="DC11" i="2"/>
  <c r="CZ7" i="2"/>
  <c r="DC13" i="2"/>
  <c r="CK20" i="2"/>
  <c r="CK16" i="2"/>
  <c r="CH11" i="2"/>
  <c r="CJ19" i="2"/>
  <c r="CQ7" i="2"/>
  <c r="CN13" i="2"/>
  <c r="CP10" i="2"/>
  <c r="CV18" i="2"/>
  <c r="CV14" i="2"/>
  <c r="CV9" i="2"/>
  <c r="CU19" i="2"/>
  <c r="CU10" i="2"/>
  <c r="CZ18" i="2"/>
  <c r="CZ14" i="2"/>
  <c r="CZ9" i="2"/>
  <c r="DC18" i="2"/>
  <c r="DC9" i="2"/>
  <c r="CJ15" i="2"/>
  <c r="CN8" i="2"/>
  <c r="DC8" i="2"/>
  <c r="CV7" i="2"/>
  <c r="CU8" i="2"/>
  <c r="DC10" i="2"/>
  <c r="CH20" i="2"/>
  <c r="CH18" i="2"/>
  <c r="CH16" i="2"/>
  <c r="CH14" i="2"/>
  <c r="CH10" i="2"/>
  <c r="CH8" i="2"/>
  <c r="CJ18" i="2"/>
  <c r="CJ14" i="2"/>
  <c r="CJ8" i="2"/>
  <c r="CK8" i="2"/>
  <c r="CN20" i="2"/>
  <c r="CN16" i="2"/>
  <c r="CN11" i="2"/>
  <c r="CO7" i="2"/>
  <c r="CO17" i="2"/>
  <c r="CO13" i="2"/>
  <c r="CO8" i="2"/>
  <c r="CP18" i="2"/>
  <c r="CP14" i="2"/>
  <c r="CP9" i="2"/>
  <c r="CQ19" i="2"/>
  <c r="CQ15" i="2"/>
  <c r="CQ10" i="2"/>
  <c r="CW7" i="2"/>
  <c r="CT20" i="2"/>
  <c r="CT19" i="2"/>
  <c r="CT18" i="2"/>
  <c r="CT17" i="2"/>
  <c r="CT16" i="2"/>
  <c r="CT15" i="2"/>
  <c r="CT14" i="2"/>
  <c r="CT13" i="2"/>
  <c r="CT11" i="2"/>
  <c r="CT10" i="2"/>
  <c r="CT9" i="2"/>
  <c r="CT8" i="2"/>
  <c r="DA7" i="2"/>
  <c r="DB20" i="2"/>
  <c r="DB19" i="2"/>
  <c r="DB18" i="2"/>
  <c r="DB17" i="2"/>
  <c r="DB16" i="2"/>
  <c r="DB15" i="2"/>
  <c r="DB14" i="2"/>
  <c r="DB13" i="2"/>
  <c r="DB11" i="2"/>
  <c r="DB10" i="2"/>
  <c r="DB9" i="2"/>
  <c r="DB8" i="2"/>
  <c r="CO9" i="2"/>
  <c r="CU13" i="2"/>
  <c r="DC19" i="2"/>
  <c r="CH7" i="2"/>
  <c r="CI19" i="2"/>
  <c r="CI17" i="2"/>
  <c r="CI15" i="2"/>
  <c r="CI11" i="2"/>
  <c r="CI9" i="2"/>
  <c r="CJ7" i="2"/>
  <c r="CJ17" i="2"/>
  <c r="CJ11" i="2"/>
  <c r="CK7" i="2"/>
  <c r="CK17" i="2"/>
  <c r="CK11" i="2"/>
  <c r="CN19" i="2"/>
  <c r="CN15" i="2"/>
  <c r="CN10" i="2"/>
  <c r="CO20" i="2"/>
  <c r="CO16" i="2"/>
  <c r="CO11" i="2"/>
  <c r="CP7" i="2"/>
  <c r="CP17" i="2"/>
  <c r="CP13" i="2"/>
  <c r="CP8" i="2"/>
  <c r="CQ18" i="2"/>
  <c r="CQ14" i="2"/>
  <c r="CT7" i="2"/>
  <c r="CW20" i="2"/>
  <c r="CW19" i="2"/>
  <c r="CW18" i="2"/>
  <c r="CW17" i="2"/>
  <c r="CW16" i="2"/>
  <c r="CW15" i="2"/>
  <c r="CW14" i="2"/>
  <c r="CW13" i="2"/>
  <c r="CW11" i="2"/>
  <c r="CW10" i="2"/>
  <c r="CW9" i="2"/>
  <c r="CW8" i="2"/>
  <c r="DB7" i="2"/>
  <c r="DA20" i="2"/>
  <c r="DA19" i="2"/>
  <c r="DA18" i="2"/>
  <c r="DA17" i="2"/>
  <c r="DA16" i="2"/>
  <c r="DA15" i="2"/>
  <c r="DA14" i="2"/>
  <c r="DA13" i="2"/>
  <c r="DA11" i="2"/>
  <c r="DA10" i="2"/>
  <c r="DA9" i="2"/>
  <c r="DA8" i="2"/>
  <c r="CJ9" i="2"/>
  <c r="CU17" i="2"/>
  <c r="DC15" i="2"/>
  <c r="CJ20" i="2"/>
  <c r="CJ16" i="2"/>
  <c r="CJ10" i="2"/>
  <c r="CK13" i="2"/>
  <c r="CJ13" i="2"/>
  <c r="CI13" i="2"/>
  <c r="J20" i="2"/>
  <c r="J19" i="2"/>
  <c r="J18" i="2"/>
  <c r="J17" i="2"/>
  <c r="J16" i="2"/>
  <c r="J15" i="2"/>
  <c r="J14" i="2"/>
  <c r="J13" i="2"/>
  <c r="J10" i="2" l="1"/>
  <c r="J9" i="2"/>
  <c r="J8" i="2"/>
  <c r="A8" i="2" l="1"/>
  <c r="A9" i="2"/>
  <c r="A10" i="2"/>
  <c r="A11" i="2"/>
  <c r="A13" i="2"/>
  <c r="A14" i="2"/>
  <c r="A15" i="2"/>
  <c r="A16" i="2"/>
  <c r="A17" i="2"/>
  <c r="A18" i="2"/>
  <c r="A19" i="2"/>
  <c r="A20" i="2"/>
  <c r="A7" i="2"/>
  <c r="J7" i="2" l="1"/>
</calcChain>
</file>

<file path=xl/sharedStrings.xml><?xml version="1.0" encoding="utf-8"?>
<sst xmlns="http://schemas.openxmlformats.org/spreadsheetml/2006/main" count="1920" uniqueCount="564">
  <si>
    <t>No.</t>
  </si>
  <si>
    <t>Standard</t>
  </si>
  <si>
    <t>Combinasi Compound</t>
  </si>
  <si>
    <t>TSB5501G-1E</t>
  </si>
  <si>
    <t>E1690</t>
  </si>
  <si>
    <t>-</t>
  </si>
  <si>
    <t>TSM1656G-2</t>
  </si>
  <si>
    <t>PE1755</t>
  </si>
  <si>
    <t>TSM1652G-6</t>
  </si>
  <si>
    <t>N1774</t>
  </si>
  <si>
    <t>H1607</t>
  </si>
  <si>
    <t>C1653</t>
  </si>
  <si>
    <t>TSM1652G-6A</t>
  </si>
  <si>
    <t>N1752</t>
  </si>
  <si>
    <t>C1651</t>
  </si>
  <si>
    <t>C1654</t>
  </si>
  <si>
    <t>TSM1652G-7</t>
  </si>
  <si>
    <t>K1652</t>
  </si>
  <si>
    <t>K1653</t>
  </si>
  <si>
    <t>TSM1651G-2</t>
  </si>
  <si>
    <t>N1715</t>
  </si>
  <si>
    <t>H1603</t>
  </si>
  <si>
    <t>TSM1644G-7</t>
  </si>
  <si>
    <t>N1791</t>
  </si>
  <si>
    <t>N1780</t>
  </si>
  <si>
    <t>K1638</t>
  </si>
  <si>
    <t>TSM1671G-1A</t>
  </si>
  <si>
    <t>N1663</t>
  </si>
  <si>
    <t>TSM1649G-1</t>
  </si>
  <si>
    <t>K1654</t>
  </si>
  <si>
    <t>TSM1644G-5</t>
  </si>
  <si>
    <t>F1735</t>
  </si>
  <si>
    <t>N1760</t>
  </si>
  <si>
    <t>K1708</t>
  </si>
  <si>
    <t>TSM1670G-1A</t>
  </si>
  <si>
    <t>No</t>
  </si>
  <si>
    <t>Formulasi</t>
  </si>
  <si>
    <t>Machine</t>
  </si>
  <si>
    <t>No. Document</t>
  </si>
  <si>
    <t>(Ømm)</t>
  </si>
  <si>
    <t>#Outer</t>
  </si>
  <si>
    <t>(rpm)</t>
  </si>
  <si>
    <t>(mpa)</t>
  </si>
  <si>
    <t>Use limits of the material</t>
  </si>
  <si>
    <t>#Inner</t>
  </si>
  <si>
    <t>(mm)</t>
  </si>
  <si>
    <t>#material 1</t>
  </si>
  <si>
    <t>#material 2</t>
  </si>
  <si>
    <t>#material</t>
  </si>
  <si>
    <t>± Inner</t>
  </si>
  <si>
    <t>± Outer</t>
  </si>
  <si>
    <t>Tebal Inner</t>
  </si>
  <si>
    <t>Tebal Total</t>
  </si>
  <si>
    <t>Selisih tebal</t>
  </si>
  <si>
    <t>Kuning</t>
  </si>
  <si>
    <t>Dimensi</t>
  </si>
  <si>
    <t>Material</t>
  </si>
  <si>
    <t>#cover</t>
  </si>
  <si>
    <t>Nipple</t>
  </si>
  <si>
    <t>Mesh screen</t>
  </si>
  <si>
    <t>Text marking mt'l</t>
  </si>
  <si>
    <t>Customer</t>
  </si>
  <si>
    <t>Hose Type</t>
  </si>
  <si>
    <t>Screw Speed</t>
  </si>
  <si>
    <t>TSM</t>
  </si>
  <si>
    <t>VI-SOP-PROD-###</t>
  </si>
  <si>
    <t>(Ømm)-(Ømm)</t>
  </si>
  <si>
    <t>Inner</t>
  </si>
  <si>
    <t>Outer</t>
  </si>
  <si>
    <t>compound</t>
  </si>
  <si>
    <t>Head Temp.</t>
  </si>
  <si>
    <t>Cylinder 1</t>
  </si>
  <si>
    <t>Cylinder 2</t>
  </si>
  <si>
    <t>Screw Temp.</t>
  </si>
  <si>
    <t>Pressure</t>
  </si>
  <si>
    <t>Hose, Fuel</t>
  </si>
  <si>
    <t>Marking Sort</t>
  </si>
  <si>
    <t>Am meter</t>
  </si>
  <si>
    <t>A</t>
  </si>
  <si>
    <t>(m/min)</t>
  </si>
  <si>
    <t>70±5</t>
  </si>
  <si>
    <t>65±5</t>
  </si>
  <si>
    <t>60±5</t>
  </si>
  <si>
    <t>PT. TMMIN</t>
  </si>
  <si>
    <t>7.3±0.1</t>
  </si>
  <si>
    <t>Hijau</t>
  </si>
  <si>
    <t>80±5</t>
  </si>
  <si>
    <t>4.0±0.2</t>
  </si>
  <si>
    <t>5.4±0.1</t>
  </si>
  <si>
    <t>85±5</t>
  </si>
  <si>
    <t>75±5</t>
  </si>
  <si>
    <t>8.4±0.2</t>
  </si>
  <si>
    <t>PT. HMMI</t>
  </si>
  <si>
    <t>Hose, Vacuum</t>
  </si>
  <si>
    <t>20±1</t>
  </si>
  <si>
    <t>Putih</t>
  </si>
  <si>
    <t>16.4±0.1</t>
  </si>
  <si>
    <t>3.9±0.1</t>
  </si>
  <si>
    <t>12.5±0.1</t>
  </si>
  <si>
    <t>3.8±0.1</t>
  </si>
  <si>
    <t>5.3±0.1</t>
  </si>
  <si>
    <t>10.3±0.1</t>
  </si>
  <si>
    <t>ID</t>
  </si>
  <si>
    <t>3.0±0.2</t>
  </si>
  <si>
    <t>1.6±0.2</t>
  </si>
  <si>
    <t>0.20±0.02</t>
  </si>
  <si>
    <r>
      <t>(</t>
    </r>
    <r>
      <rPr>
        <sz val="28"/>
        <rFont val="Arial"/>
        <family val="2"/>
      </rPr>
      <t>◦</t>
    </r>
    <r>
      <rPr>
        <sz val="10"/>
        <rFont val="Arial"/>
        <family val="2"/>
      </rPr>
      <t>C)</t>
    </r>
  </si>
  <si>
    <t>Biru</t>
  </si>
  <si>
    <t>4.7±0.1</t>
  </si>
  <si>
    <t>12.7±0.2</t>
  </si>
  <si>
    <t>8.9±0.1</t>
  </si>
  <si>
    <t>13.9±0.1</t>
  </si>
  <si>
    <t>14±0.2</t>
  </si>
  <si>
    <t>0.2±0.1</t>
  </si>
  <si>
    <t>3.6±0.1</t>
  </si>
  <si>
    <t>CHS 3 Layer Parameter Setting</t>
  </si>
  <si>
    <t>CHS 3 Layer</t>
  </si>
  <si>
    <t>VI-SOP-PROD-###-HOSE-F1</t>
  </si>
  <si>
    <t>VI-SOP-PROD-###-HOSE-F2</t>
  </si>
  <si>
    <t>Ø 5.8 mm × 12.2 mm</t>
  </si>
  <si>
    <t>VI-SOP-PROD-142-HOSE-F1</t>
  </si>
  <si>
    <t>VI-SOP-PROD-142-HOSE-F2</t>
  </si>
  <si>
    <t>26-03-17</t>
  </si>
  <si>
    <t>#tube1</t>
  </si>
  <si>
    <t>#tube2</t>
  </si>
  <si>
    <t>Middle</t>
  </si>
  <si>
    <t>N-1791</t>
  </si>
  <si>
    <t>N-1780</t>
  </si>
  <si>
    <t>K-1638</t>
  </si>
  <si>
    <t>#Middle</t>
  </si>
  <si>
    <t>Tube</t>
  </si>
  <si>
    <t>Cover</t>
  </si>
  <si>
    <t>Spacer</t>
  </si>
  <si>
    <t>Yarn</t>
  </si>
  <si>
    <t>Tension Yarn</t>
  </si>
  <si>
    <t>A distance</t>
  </si>
  <si>
    <t>105±45 g</t>
  </si>
  <si>
    <t>95±45 g</t>
  </si>
  <si>
    <t>6.3±0.1</t>
  </si>
  <si>
    <t>7.9±0.1</t>
  </si>
  <si>
    <t>9.0±0.1</t>
  </si>
  <si>
    <t>6.0±0.1</t>
  </si>
  <si>
    <t>#material 3</t>
  </si>
  <si>
    <t>dim.(mm)</t>
  </si>
  <si>
    <t>Screen</t>
  </si>
  <si>
    <t>Ø69</t>
  </si>
  <si>
    <t>Ø84</t>
  </si>
  <si>
    <t>Cylinder 3</t>
  </si>
  <si>
    <t>90±5</t>
  </si>
  <si>
    <t>6.0±0.5</t>
  </si>
  <si>
    <t>18.0±2.5</t>
  </si>
  <si>
    <t>6.0±0.7</t>
  </si>
  <si>
    <t>Feed Roll Ratio (%)</t>
  </si>
  <si>
    <t>48±10</t>
  </si>
  <si>
    <t>74±10</t>
  </si>
  <si>
    <t>88±10</t>
  </si>
  <si>
    <t>41.4±10</t>
  </si>
  <si>
    <t>29.5±10</t>
  </si>
  <si>
    <t>30.5±10</t>
  </si>
  <si>
    <t>28±1</t>
  </si>
  <si>
    <t>18±1</t>
  </si>
  <si>
    <t>15±1</t>
  </si>
  <si>
    <t>Preset Value</t>
  </si>
  <si>
    <t>Control Value</t>
  </si>
  <si>
    <t>11.6±0.2</t>
  </si>
  <si>
    <t>11.6±0.05</t>
  </si>
  <si>
    <t>Spiral Pitch</t>
  </si>
  <si>
    <t>Setting</t>
  </si>
  <si>
    <t>Display</t>
  </si>
  <si>
    <t>Hose Speed</t>
  </si>
  <si>
    <t>(m/min.)</t>
  </si>
  <si>
    <t>Unsmooth Surface</t>
  </si>
  <si>
    <r>
      <t>IP 06 &gt;</t>
    </r>
    <r>
      <rPr>
        <u/>
        <sz val="20"/>
        <color theme="0"/>
        <rFont val="Calibri"/>
        <family val="2"/>
        <scheme val="minor"/>
      </rPr>
      <t>GECO</t>
    </r>
    <r>
      <rPr>
        <sz val="20"/>
        <color theme="0"/>
        <rFont val="Calibri"/>
        <family val="2"/>
        <scheme val="minor"/>
      </rPr>
      <t>, NBR, HNBR&lt; DATE</t>
    </r>
  </si>
  <si>
    <t>Max. 15</t>
  </si>
  <si>
    <t>12.2±0.2</t>
  </si>
  <si>
    <t>Cool Conveyor 1 Speed</t>
  </si>
  <si>
    <t>Cool Conveyor 2 Speed</t>
  </si>
  <si>
    <t>100%</t>
  </si>
  <si>
    <t>Roll Marking</t>
  </si>
  <si>
    <t>5.9±0.2</t>
  </si>
  <si>
    <t>11.9±0.2</t>
  </si>
  <si>
    <t>Tebal Inner + Middle</t>
  </si>
  <si>
    <t>VI-SOP-PROD-138-HOSE-F1</t>
  </si>
  <si>
    <t>VI-SOP-PROD-138-HOSE-F2</t>
  </si>
  <si>
    <t>Ø 7.5 mm × 16.1 mm</t>
  </si>
  <si>
    <t>N-1752</t>
  </si>
  <si>
    <t>C-1651</t>
  </si>
  <si>
    <t>C-1654</t>
  </si>
  <si>
    <t>14 hari dari proses mixing</t>
  </si>
  <si>
    <t>P1500D/1</t>
  </si>
  <si>
    <t>7.5±0.1</t>
  </si>
  <si>
    <t>11.0±0.1</t>
  </si>
  <si>
    <t>13.3±0.1</t>
  </si>
  <si>
    <t>6.5±0.1</t>
  </si>
  <si>
    <t>50±5</t>
  </si>
  <si>
    <t>8.1±0.5</t>
  </si>
  <si>
    <t>8.1±0.7</t>
  </si>
  <si>
    <t>55±10</t>
  </si>
  <si>
    <t>65±10</t>
  </si>
  <si>
    <t>96±10</t>
  </si>
  <si>
    <t>32.9±10</t>
  </si>
  <si>
    <t>23.5±10</t>
  </si>
  <si>
    <t>33.1±10</t>
  </si>
  <si>
    <t>30±1</t>
  </si>
  <si>
    <t>16.9±0.2</t>
  </si>
  <si>
    <t>16.9±0.05</t>
  </si>
  <si>
    <t>Spiral Speed</t>
  </si>
  <si>
    <t>186.2±15</t>
  </si>
  <si>
    <t>75.2±15</t>
  </si>
  <si>
    <t>4.3±0.1</t>
  </si>
  <si>
    <r>
      <t xml:space="preserve">DOT IP DATE 7.5 VL &gt;CR, </t>
    </r>
    <r>
      <rPr>
        <u/>
        <sz val="20"/>
        <color theme="0"/>
        <rFont val="Calibri"/>
        <family val="2"/>
        <scheme val="minor"/>
      </rPr>
      <t>NBR</t>
    </r>
    <r>
      <rPr>
        <sz val="20"/>
        <color theme="0"/>
        <rFont val="Calibri"/>
        <family val="2"/>
        <scheme val="minor"/>
      </rPr>
      <t>&lt;</t>
    </r>
  </si>
  <si>
    <t>16.1±0.2</t>
  </si>
  <si>
    <t>4.6±0.1</t>
  </si>
  <si>
    <t>Conveyor
Ratio</t>
  </si>
  <si>
    <t>7.5±0.2</t>
  </si>
  <si>
    <t>15.5±0.2</t>
  </si>
  <si>
    <t>2.1±0.2</t>
  </si>
  <si>
    <t>2.0±0.2</t>
  </si>
  <si>
    <t>No.
Rev.</t>
  </si>
  <si>
    <t>Revision
Date</t>
  </si>
  <si>
    <t>Ø 7.6 mm × 14 mm</t>
  </si>
  <si>
    <t>F-0152R</t>
  </si>
  <si>
    <t>N-1760</t>
  </si>
  <si>
    <t>K-1708</t>
  </si>
  <si>
    <t>5.5±0.1</t>
  </si>
  <si>
    <t>9.4±0.1</t>
  </si>
  <si>
    <r>
      <t>(</t>
    </r>
    <r>
      <rPr>
        <sz val="28"/>
        <color rgb="FFFFFF00"/>
        <rFont val="Arial"/>
        <family val="2"/>
      </rPr>
      <t>◦</t>
    </r>
    <r>
      <rPr>
        <sz val="10"/>
        <color rgb="FFFFFF00"/>
        <rFont val="Arial"/>
        <family val="2"/>
      </rPr>
      <t>C)</t>
    </r>
  </si>
  <si>
    <t>5.0±0.5</t>
  </si>
  <si>
    <t>25.0±2.5</t>
  </si>
  <si>
    <t>9.1±0.7</t>
  </si>
  <si>
    <t>47±10</t>
  </si>
  <si>
    <t>63±10</t>
  </si>
  <si>
    <t>89±10</t>
  </si>
  <si>
    <t>29.6±10</t>
  </si>
  <si>
    <t>31.6±10</t>
  </si>
  <si>
    <t>30.3±10</t>
  </si>
  <si>
    <t>16±1</t>
  </si>
  <si>
    <t>17.5±1</t>
  </si>
  <si>
    <t>14.1±0.2</t>
  </si>
  <si>
    <t>14.1±0.05</t>
  </si>
  <si>
    <t>148.7±15</t>
  </si>
  <si>
    <t>7.7±0.2</t>
  </si>
  <si>
    <t>14.5±0.2</t>
  </si>
  <si>
    <t>2.2±0.2</t>
  </si>
  <si>
    <t>3.4±0.2</t>
  </si>
  <si>
    <t>VI-SOP-PROD-143-HOSE-F1</t>
  </si>
  <si>
    <t>VI-SOP-PROD-143-HOSE-F2</t>
  </si>
  <si>
    <t>10.5±0.1</t>
  </si>
  <si>
    <t>6.2±0.1</t>
  </si>
  <si>
    <t>7.0±0.5</t>
  </si>
  <si>
    <t>14.2±2.5</t>
  </si>
  <si>
    <t>7.5±0.7</t>
  </si>
  <si>
    <t>73±10</t>
  </si>
  <si>
    <t>40±10</t>
  </si>
  <si>
    <t>26.7±10</t>
  </si>
  <si>
    <t>30.6±10</t>
  </si>
  <si>
    <t>13.9±0.2</t>
  </si>
  <si>
    <t>13.9±0.05</t>
  </si>
  <si>
    <t>145.7±15</t>
  </si>
  <si>
    <t>4.9±0.1</t>
  </si>
  <si>
    <r>
      <t>IP 08 &gt;</t>
    </r>
    <r>
      <rPr>
        <u/>
        <sz val="20"/>
        <color theme="0"/>
        <rFont val="Calibri"/>
        <family val="2"/>
        <scheme val="minor"/>
      </rPr>
      <t>GECO</t>
    </r>
    <r>
      <rPr>
        <sz val="20"/>
        <color theme="0"/>
        <rFont val="Calibri"/>
        <family val="2"/>
        <scheme val="minor"/>
      </rPr>
      <t>, NBR, HNBR&lt; DATE</t>
    </r>
  </si>
  <si>
    <t>Coklat</t>
  </si>
  <si>
    <t>0.7±0.2</t>
  </si>
  <si>
    <t>1.0±0.2</t>
  </si>
  <si>
    <t>N-1708</t>
  </si>
  <si>
    <t>K-1655</t>
  </si>
  <si>
    <t>TSE7151G-2</t>
  </si>
  <si>
    <t>ISA-A-021Y</t>
  </si>
  <si>
    <t>F-1758A</t>
  </si>
  <si>
    <t>K-1787</t>
  </si>
  <si>
    <t>VI-SOP-PROD-353-HOSE-F1</t>
  </si>
  <si>
    <t>VI-SOP-PROD-353-HOSE-F2</t>
  </si>
  <si>
    <t>VI-SOP-PROD-141-HOSE-F1</t>
  </si>
  <si>
    <t>VI-SOP-PROD-141-HOSE-F2</t>
  </si>
  <si>
    <t>5.25±0.1</t>
  </si>
  <si>
    <t>7.4±0.1</t>
  </si>
  <si>
    <t>9.3±0.1</t>
  </si>
  <si>
    <t>15.0±2.5</t>
  </si>
  <si>
    <t>7.4±0.7</t>
  </si>
  <si>
    <t>15.8±10</t>
  </si>
  <si>
    <t>22.5±10</t>
  </si>
  <si>
    <t>149±15</t>
  </si>
  <si>
    <t>VIN 08 FUEL I/II/III/IV DATE</t>
  </si>
  <si>
    <t>3.2±0.2</t>
  </si>
  <si>
    <t>14.0±0.2</t>
  </si>
  <si>
    <t>VI-SOP-PROD-139-HOSE-F1</t>
  </si>
  <si>
    <t>VI-SOP-PROD-139-HOSE-F2</t>
  </si>
  <si>
    <t>Ø 8.73 mm × 17.46 mm</t>
  </si>
  <si>
    <t>11.5±0.1</t>
  </si>
  <si>
    <t>13.8±0.1</t>
  </si>
  <si>
    <t>6.9±0.1</t>
  </si>
  <si>
    <t>0.3±0.1</t>
  </si>
  <si>
    <t>14.2±0.5</t>
  </si>
  <si>
    <t>20.0±2.5</t>
  </si>
  <si>
    <t>14.2±0.7</t>
  </si>
  <si>
    <t>49±10</t>
  </si>
  <si>
    <t>90±10</t>
  </si>
  <si>
    <t>27±10</t>
  </si>
  <si>
    <t>20.5±10</t>
  </si>
  <si>
    <t>33.5±10</t>
  </si>
  <si>
    <t>26±1</t>
  </si>
  <si>
    <t>14±1</t>
  </si>
  <si>
    <t>25±1</t>
  </si>
  <si>
    <t>17.6±0.2</t>
  </si>
  <si>
    <t>17.6±0.05</t>
  </si>
  <si>
    <t>81.4±15</t>
  </si>
  <si>
    <r>
      <t xml:space="preserve">DOT IP DATE 11/32 VL &gt;CR, </t>
    </r>
    <r>
      <rPr>
        <u/>
        <sz val="20"/>
        <color theme="0"/>
        <rFont val="Calibri"/>
        <family val="2"/>
        <scheme val="minor"/>
      </rPr>
      <t>NBR</t>
    </r>
    <r>
      <rPr>
        <sz val="20"/>
        <color theme="0"/>
        <rFont val="Calibri"/>
        <family val="2"/>
        <scheme val="minor"/>
      </rPr>
      <t>&lt;</t>
    </r>
  </si>
  <si>
    <t>17.5±0.2</t>
  </si>
  <si>
    <t>8.7±0.2</t>
  </si>
  <si>
    <t>7.6±0.2</t>
  </si>
  <si>
    <t>16.7±0.2</t>
  </si>
  <si>
    <t>VI-SOP-PROD-351-HOSE-F1</t>
  </si>
  <si>
    <t>VI-SOP-PROD-351-HOSE-F2</t>
  </si>
  <si>
    <t>N-1774</t>
  </si>
  <si>
    <t>H-1607</t>
  </si>
  <si>
    <t>C-1653</t>
  </si>
  <si>
    <t>11.4±0.1</t>
  </si>
  <si>
    <t>14.1±0.5</t>
  </si>
  <si>
    <t>14.0±0.7</t>
  </si>
  <si>
    <t>50±10</t>
  </si>
  <si>
    <t>29±10</t>
  </si>
  <si>
    <t>22.1±10</t>
  </si>
  <si>
    <t>33±10</t>
  </si>
  <si>
    <t>16.5±0.2</t>
  </si>
  <si>
    <t>16.5±0.05</t>
  </si>
  <si>
    <t>86.3±15</t>
  </si>
  <si>
    <r>
      <t xml:space="preserve">DOT VIN DATE 11/32 VL &gt;CR, </t>
    </r>
    <r>
      <rPr>
        <u/>
        <sz val="20"/>
        <color theme="0"/>
        <rFont val="Calibri"/>
        <family val="2"/>
        <scheme val="minor"/>
      </rPr>
      <t>NBR</t>
    </r>
    <r>
      <rPr>
        <sz val="20"/>
        <color theme="0"/>
        <rFont val="Calibri"/>
        <family val="2"/>
        <scheme val="minor"/>
      </rPr>
      <t>&lt;</t>
    </r>
  </si>
  <si>
    <t>5.6±0.1</t>
  </si>
  <si>
    <t>5.9±0.1</t>
  </si>
  <si>
    <t>17.0±0.2</t>
  </si>
  <si>
    <t>4.3±0.2</t>
  </si>
  <si>
    <t>VI-SOP-PROD-140-HOSE-F1</t>
  </si>
  <si>
    <t>VI-SOP-PROD-140-HOSE-F2</t>
  </si>
  <si>
    <t>K-1752</t>
  </si>
  <si>
    <t>K-1653</t>
  </si>
  <si>
    <t>18.6±0.5</t>
  </si>
  <si>
    <t>8.7±2.5</t>
  </si>
  <si>
    <t>15.0±0.7</t>
  </si>
  <si>
    <t>25.2±10</t>
  </si>
  <si>
    <t>19.5±10</t>
  </si>
  <si>
    <t>39.9±10</t>
  </si>
  <si>
    <t>22±1</t>
  </si>
  <si>
    <t>12±1</t>
  </si>
  <si>
    <t>5.0±0.1</t>
  </si>
  <si>
    <r>
      <t xml:space="preserve">DOT IP DATE 11/32 VL &gt;GECO, </t>
    </r>
    <r>
      <rPr>
        <u/>
        <sz val="20"/>
        <color theme="0"/>
        <rFont val="Calibri"/>
        <family val="2"/>
        <scheme val="minor"/>
      </rPr>
      <t>NBR</t>
    </r>
    <r>
      <rPr>
        <sz val="20"/>
        <color theme="0"/>
        <rFont val="Calibri"/>
        <family val="2"/>
        <scheme val="minor"/>
      </rPr>
      <t>&lt;</t>
    </r>
  </si>
  <si>
    <t>8.1±0.2</t>
  </si>
  <si>
    <t>VI-SOP-PROD-355-HOSE-F1</t>
  </si>
  <si>
    <t>VI-SOP-PROD-355-HOSE-F2</t>
  </si>
  <si>
    <t>8.0±0.1</t>
  </si>
  <si>
    <r>
      <t xml:space="preserve">DOT VIN DATE 11/32 VL &gt;GECO, </t>
    </r>
    <r>
      <rPr>
        <u/>
        <sz val="20"/>
        <color theme="0"/>
        <rFont val="Calibri"/>
        <family val="2"/>
        <scheme val="minor"/>
      </rPr>
      <t>NBR</t>
    </r>
    <r>
      <rPr>
        <sz val="20"/>
        <color theme="0"/>
        <rFont val="Calibri"/>
        <family val="2"/>
        <scheme val="minor"/>
      </rPr>
      <t>&lt;</t>
    </r>
  </si>
  <si>
    <t>6.1±0.1</t>
  </si>
  <si>
    <t>4.8±0.1</t>
  </si>
  <si>
    <t>4.5±0.1</t>
  </si>
  <si>
    <t>5.8±0.1</t>
  </si>
  <si>
    <t>5.1±0.1</t>
  </si>
  <si>
    <t>VI-SOP-PROD-144-HOSE-F1</t>
  </si>
  <si>
    <t>VI-SOP-PROD-144-HOSE-F2</t>
  </si>
  <si>
    <t>Ø 9.5 mm × 16.5 mm</t>
  </si>
  <si>
    <t>11.2±0.1</t>
  </si>
  <si>
    <t>8.5±0.5</t>
  </si>
  <si>
    <t>8.0±0.7</t>
  </si>
  <si>
    <t>40.4±10</t>
  </si>
  <si>
    <t>25.7±10</t>
  </si>
  <si>
    <t>28.2±10</t>
  </si>
  <si>
    <t>16±0.2</t>
  </si>
  <si>
    <t>16±0.05</t>
  </si>
  <si>
    <t>104.1±15</t>
  </si>
  <si>
    <r>
      <t>IP 10 &gt;</t>
    </r>
    <r>
      <rPr>
        <u/>
        <sz val="20"/>
        <color theme="0"/>
        <rFont val="Calibri"/>
        <family val="2"/>
        <scheme val="minor"/>
      </rPr>
      <t>GECO</t>
    </r>
    <r>
      <rPr>
        <sz val="20"/>
        <color theme="0"/>
        <rFont val="Calibri"/>
        <family val="2"/>
        <scheme val="minor"/>
      </rPr>
      <t>, NBR, HNBR&lt; DATE</t>
    </r>
  </si>
  <si>
    <t>9.6±0.2</t>
  </si>
  <si>
    <t>VI-SOP-PROD-352-HOSE-F1</t>
  </si>
  <si>
    <t>VI-SOP-PROD-352-HOSE-F2</t>
  </si>
  <si>
    <t>Ø 9.5 mm × 16.8 mm</t>
  </si>
  <si>
    <t>7.2±0.1</t>
  </si>
  <si>
    <t>11.3±0.1</t>
  </si>
  <si>
    <t>87.7±15</t>
  </si>
  <si>
    <t>VIN 10 FUEL I/II/III/IV DATE</t>
  </si>
  <si>
    <t>16.8±0.2</t>
  </si>
  <si>
    <t>4.0±0.1</t>
  </si>
  <si>
    <t>3.6±0.2</t>
  </si>
  <si>
    <t>PT. IAMI</t>
  </si>
  <si>
    <t>09-04-18</t>
  </si>
  <si>
    <t>Ø 9.3 mm × 17 mm</t>
  </si>
  <si>
    <t>7.1±0.1</t>
  </si>
  <si>
    <t>11.0±0.5</t>
  </si>
  <si>
    <t>11.8±2.5</t>
  </si>
  <si>
    <t>10.0±0.7</t>
  </si>
  <si>
    <t>68±10</t>
  </si>
  <si>
    <t>58±10</t>
  </si>
  <si>
    <t>98±10</t>
  </si>
  <si>
    <t>19.8±10</t>
  </si>
  <si>
    <t>18.3±10</t>
  </si>
  <si>
    <t>35.1±10</t>
  </si>
  <si>
    <t>12.7±0.05</t>
  </si>
  <si>
    <t>184±15</t>
  </si>
  <si>
    <t>VIN FUEL DATE =&gt; 0018 06 250 0</t>
  </si>
  <si>
    <t>12.2±0.5</t>
  </si>
  <si>
    <t>5.7±0.2</t>
  </si>
  <si>
    <t>0.8±0.2</t>
  </si>
  <si>
    <t>12.1±0.2</t>
  </si>
  <si>
    <t>Marking
Colour</t>
  </si>
  <si>
    <t>Chiller
water temp.</t>
  </si>
  <si>
    <t>Caterpillar
gap</t>
  </si>
  <si>
    <t>Take Up 
Conveyor Speed</t>
  </si>
  <si>
    <t>8.7±0.1</t>
  </si>
  <si>
    <t>10.8±0.1</t>
  </si>
  <si>
    <t>14.7±0.1</t>
  </si>
  <si>
    <t>6.6±0.1</t>
  </si>
  <si>
    <t>10.7±0.5</t>
  </si>
  <si>
    <t>67±10</t>
  </si>
  <si>
    <t>17±10</t>
  </si>
  <si>
    <t>14.9±10</t>
  </si>
  <si>
    <t>10±1</t>
  </si>
  <si>
    <t>17.55±0.2</t>
  </si>
  <si>
    <t>17.55±0.05</t>
  </si>
  <si>
    <t>109.5±15</t>
  </si>
  <si>
    <t>VIN FUEL DATE =&gt; 0018 06 500 0</t>
  </si>
  <si>
    <t>17±0.5</t>
  </si>
  <si>
    <t>9.2±0.2</t>
  </si>
  <si>
    <t>0.9±0.2</t>
  </si>
  <si>
    <t>16.0±0.2</t>
  </si>
  <si>
    <t>16.6±0.2</t>
  </si>
  <si>
    <t>9.4±0.2</t>
  </si>
  <si>
    <t>Tol.</t>
  </si>
  <si>
    <t>LCL</t>
  </si>
  <si>
    <t>Min.</t>
  </si>
  <si>
    <t>UCL</t>
  </si>
  <si>
    <t>Max.</t>
  </si>
  <si>
    <t>Inner 
Thick.</t>
  </si>
  <si>
    <t>Inner
+Mid</t>
  </si>
  <si>
    <t>Total 
Thick.</t>
  </si>
  <si>
    <t>8.5±0.1</t>
  </si>
  <si>
    <t>07-09-18</t>
  </si>
  <si>
    <t>#10 × #40</t>
  </si>
  <si>
    <t>PET 20//3</t>
  </si>
  <si>
    <t>PET 20//6</t>
  </si>
  <si>
    <t>32.5±5</t>
  </si>
  <si>
    <t>37±5</t>
  </si>
  <si>
    <t>33.4±5</t>
  </si>
  <si>
    <t>31.9±5</t>
  </si>
  <si>
    <t>45±5</t>
  </si>
  <si>
    <t>32±5</t>
  </si>
  <si>
    <t>18-10-24</t>
  </si>
  <si>
    <t>Ø 11.3 mm × 19.5 mm</t>
  </si>
  <si>
    <t>ISD-V01-001Y TYPE 2D</t>
  </si>
  <si>
    <t>9±0.1</t>
  </si>
  <si>
    <t>18.5±0.5</t>
  </si>
  <si>
    <t>12.4±0.7</t>
  </si>
  <si>
    <t>99±10</t>
  </si>
  <si>
    <t>29.7±10</t>
  </si>
  <si>
    <t>11.1±10</t>
  </si>
  <si>
    <t>88.8±15</t>
  </si>
  <si>
    <t>VIN FUEL &gt; FKM, ECO, ECO&lt; DATE</t>
  </si>
  <si>
    <t>4.1±0.1</t>
  </si>
  <si>
    <t>19.5±0.2</t>
  </si>
  <si>
    <t>1.2±0.2</t>
  </si>
  <si>
    <t>VI-SOP-PROD-501-HOSE-F1</t>
  </si>
  <si>
    <t>VI-SOP-PROD-502-HOSE-F1</t>
  </si>
  <si>
    <t>VI-SOP-PROD-501-HOSE-F2</t>
  </si>
  <si>
    <t>VI-SOP-PROD-502-HOSE-F2</t>
  </si>
  <si>
    <t>VI-SOP-PROD-503HOSE-F2</t>
  </si>
  <si>
    <t>VI-SOP-PROD-503-HOSE-F1</t>
  </si>
  <si>
    <t>SOP/PROD/HOSE/24/10/056</t>
  </si>
  <si>
    <t>SOP/PROD/HOSE/24/10/057</t>
  </si>
  <si>
    <t>SOP/PROD/HOSE/24/10/058</t>
  </si>
  <si>
    <t>SOP/PROD/HOSE/24/10/059</t>
  </si>
  <si>
    <t>SOP/PROD/HOSE/24/10/060</t>
  </si>
  <si>
    <t>SOP/PROD/HOSE/24/10/061</t>
  </si>
  <si>
    <t>SOP/PROD/HOSE/24/10/062</t>
  </si>
  <si>
    <t>SOP/PROD/HOSE/24/10/063</t>
  </si>
  <si>
    <t>SOP/PROD/HOSE/24/10/064</t>
  </si>
  <si>
    <t>SOP/PROD/HOSE/24/10/065</t>
  </si>
  <si>
    <t>SOP/PROD/HOSE/24/10/066</t>
  </si>
  <si>
    <t>SOP/PROD/HOSE/24/10/067</t>
  </si>
  <si>
    <t>SOP/PROD/HOSE/24/10/068</t>
  </si>
  <si>
    <t>SOP/PROD/HOSE/24/10/069</t>
  </si>
  <si>
    <t>SOP/PROD/HOSE/24/10/070</t>
  </si>
  <si>
    <t>6.3±0.5</t>
  </si>
  <si>
    <t>5.5±0.5</t>
  </si>
  <si>
    <t>18.3±0.3</t>
  </si>
  <si>
    <t>48±5</t>
  </si>
  <si>
    <r>
      <rPr>
        <sz val="20"/>
        <color theme="0"/>
        <rFont val="Calibri"/>
        <family val="2"/>
      </rPr>
      <t>3.9±</t>
    </r>
    <r>
      <rPr>
        <sz val="20"/>
        <color theme="0"/>
        <rFont val="Calibri"/>
        <family val="2"/>
        <scheme val="minor"/>
      </rPr>
      <t>.0.1</t>
    </r>
  </si>
  <si>
    <t>SOP/PROD/HOSE/24/10/071</t>
  </si>
  <si>
    <t xml:space="preserve">Hose, Fuel </t>
  </si>
  <si>
    <t xml:space="preserve">ISD-V01-001Y </t>
  </si>
  <si>
    <t>Span PET 20//3*1</t>
  </si>
  <si>
    <t>3.5±0.5</t>
  </si>
  <si>
    <t>26±0.5</t>
  </si>
  <si>
    <t>6±0.7</t>
  </si>
  <si>
    <t>Max. 120</t>
  </si>
  <si>
    <t>Max. 40</t>
  </si>
  <si>
    <t>Max. 50</t>
  </si>
  <si>
    <t>12.7±0.3</t>
  </si>
  <si>
    <t>145.4±20</t>
  </si>
  <si>
    <r>
      <rPr>
        <sz val="20"/>
        <color theme="0"/>
        <rFont val="Calibri"/>
        <family val="2"/>
      </rPr>
      <t>4.8±</t>
    </r>
    <r>
      <rPr>
        <sz val="20"/>
        <color theme="0"/>
        <rFont val="Calibri"/>
        <family val="2"/>
        <scheme val="minor"/>
      </rPr>
      <t>.0.5</t>
    </r>
  </si>
  <si>
    <r>
      <rPr>
        <sz val="20"/>
        <color theme="0"/>
        <rFont val="Calibri"/>
        <family val="2"/>
      </rPr>
      <t>5.0±</t>
    </r>
    <r>
      <rPr>
        <sz val="20"/>
        <color theme="0"/>
        <rFont val="Calibri"/>
        <family val="2"/>
        <scheme val="minor"/>
      </rPr>
      <t>.0.1</t>
    </r>
  </si>
  <si>
    <t>2.0±0.1</t>
  </si>
  <si>
    <t>3.0±0.1</t>
  </si>
  <si>
    <t>VI-SOP-PROD-504-HOSE-F1</t>
  </si>
  <si>
    <t>PT.MKM</t>
  </si>
  <si>
    <t>07-01-25</t>
  </si>
  <si>
    <t>Ø 11.5 mm × 18.3 mm</t>
  </si>
  <si>
    <t>ES-W56901</t>
  </si>
  <si>
    <r>
      <t>8.7</t>
    </r>
    <r>
      <rPr>
        <sz val="20"/>
        <color theme="0"/>
        <rFont val="Calibri"/>
        <family val="2"/>
      </rPr>
      <t>±0.1</t>
    </r>
  </si>
  <si>
    <r>
      <t>10.9</t>
    </r>
    <r>
      <rPr>
        <sz val="20"/>
        <color theme="0"/>
        <rFont val="Calibri"/>
        <family val="2"/>
      </rPr>
      <t>±0.1</t>
    </r>
  </si>
  <si>
    <r>
      <t>13.3</t>
    </r>
    <r>
      <rPr>
        <sz val="20"/>
        <color theme="0"/>
        <rFont val="Calibri"/>
        <family val="2"/>
      </rPr>
      <t>±0.1</t>
    </r>
  </si>
  <si>
    <r>
      <t>14.7</t>
    </r>
    <r>
      <rPr>
        <sz val="20"/>
        <color theme="0"/>
        <rFont val="Calibri"/>
        <family val="2"/>
      </rPr>
      <t>±0.1</t>
    </r>
  </si>
  <si>
    <r>
      <t>5.5</t>
    </r>
    <r>
      <rPr>
        <sz val="20"/>
        <color theme="0"/>
        <rFont val="Calibri"/>
        <family val="2"/>
      </rPr>
      <t>±0.1</t>
    </r>
  </si>
  <si>
    <t xml:space="preserve"> -</t>
  </si>
  <si>
    <r>
      <t>8.2</t>
    </r>
    <r>
      <rPr>
        <sz val="20"/>
        <color theme="0"/>
        <rFont val="Calibri"/>
        <family val="2"/>
      </rPr>
      <t>±2.5</t>
    </r>
  </si>
  <si>
    <r>
      <t>18.3</t>
    </r>
    <r>
      <rPr>
        <sz val="20"/>
        <color theme="0"/>
        <rFont val="Calibri"/>
        <family val="2"/>
      </rPr>
      <t>±2.5</t>
    </r>
  </si>
  <si>
    <r>
      <t>15.1</t>
    </r>
    <r>
      <rPr>
        <sz val="20"/>
        <color theme="0"/>
        <rFont val="Calibri"/>
        <family val="2"/>
      </rPr>
      <t>±2.5</t>
    </r>
  </si>
  <si>
    <t>Max 50</t>
  </si>
  <si>
    <r>
      <t>17.6</t>
    </r>
    <r>
      <rPr>
        <sz val="20"/>
        <color theme="0"/>
        <rFont val="Calibri"/>
        <family val="2"/>
      </rPr>
      <t>±0.2</t>
    </r>
  </si>
  <si>
    <r>
      <t>45</t>
    </r>
    <r>
      <rPr>
        <sz val="20"/>
        <color theme="0"/>
        <rFont val="Calibri"/>
        <family val="2"/>
      </rPr>
      <t>±0.5</t>
    </r>
  </si>
  <si>
    <r>
      <t>98</t>
    </r>
    <r>
      <rPr>
        <sz val="20"/>
        <color theme="0"/>
        <rFont val="Calibri"/>
        <family val="2"/>
      </rPr>
      <t>±20</t>
    </r>
  </si>
  <si>
    <t>VIN FUEL l/ll DATE</t>
  </si>
  <si>
    <r>
      <t>18</t>
    </r>
    <r>
      <rPr>
        <sz val="20"/>
        <color theme="0"/>
        <rFont val="Calibri"/>
        <family val="2"/>
      </rPr>
      <t>±0.2</t>
    </r>
  </si>
  <si>
    <r>
      <t>4.5</t>
    </r>
    <r>
      <rPr>
        <sz val="20"/>
        <color theme="0"/>
        <rFont val="Calibri"/>
        <family val="2"/>
      </rPr>
      <t>±2</t>
    </r>
  </si>
  <si>
    <t>10.2±0.1</t>
  </si>
  <si>
    <t>3.3±0.2</t>
  </si>
  <si>
    <t>6±0.1</t>
  </si>
  <si>
    <t>0.5±0.2</t>
  </si>
  <si>
    <t>2.2±0.1</t>
  </si>
  <si>
    <t>13-01-25</t>
  </si>
  <si>
    <t>3.5±2</t>
  </si>
  <si>
    <t>26±5</t>
  </si>
  <si>
    <t>6±2</t>
  </si>
  <si>
    <t>12.8±0.3</t>
  </si>
  <si>
    <t>33±5</t>
  </si>
  <si>
    <t>4.9±2</t>
  </si>
  <si>
    <r>
      <rPr>
        <sz val="20"/>
        <color theme="0"/>
        <rFont val="Calibri"/>
        <family val="2"/>
      </rPr>
      <t>5.0±</t>
    </r>
    <r>
      <rPr>
        <sz val="20"/>
        <color theme="0"/>
        <rFont val="Calibri"/>
        <family val="2"/>
        <scheme val="minor"/>
      </rPr>
      <t>.2</t>
    </r>
  </si>
  <si>
    <t>5.5±3</t>
  </si>
  <si>
    <t>12.4±7</t>
  </si>
  <si>
    <t>20±8</t>
  </si>
  <si>
    <t>18.8±0.3</t>
  </si>
  <si>
    <t>90±20</t>
  </si>
  <si>
    <t>3.9±2</t>
  </si>
  <si>
    <t>11.2±0.2</t>
  </si>
  <si>
    <r>
      <t>VIN 10 &gt;</t>
    </r>
    <r>
      <rPr>
        <u/>
        <sz val="20"/>
        <color theme="0"/>
        <rFont val="Calibri"/>
        <family val="2"/>
        <scheme val="minor"/>
      </rPr>
      <t>GECO</t>
    </r>
    <r>
      <rPr>
        <sz val="20"/>
        <color theme="0"/>
        <rFont val="Calibri"/>
        <family val="2"/>
        <scheme val="minor"/>
      </rPr>
      <t>, NBR, HNBR&lt; DATE</t>
    </r>
  </si>
  <si>
    <t>07-01-26</t>
  </si>
  <si>
    <t>13-02-26</t>
  </si>
  <si>
    <t>7.7±0.1</t>
  </si>
  <si>
    <t>9.9±0.1</t>
  </si>
  <si>
    <t>12±2.5</t>
  </si>
  <si>
    <t>5.0±2.5</t>
  </si>
  <si>
    <t>167±20</t>
  </si>
  <si>
    <t>5.75±0.1</t>
  </si>
  <si>
    <r>
      <t xml:space="preserve">100% </t>
    </r>
    <r>
      <rPr>
        <sz val="20"/>
        <color theme="0"/>
        <rFont val="Calibri"/>
        <family val="2"/>
      </rPr>
      <t>±10</t>
    </r>
  </si>
  <si>
    <r>
      <t>VIN 08 &gt;</t>
    </r>
    <r>
      <rPr>
        <u/>
        <sz val="20"/>
        <color theme="0"/>
        <rFont val="Calibri"/>
        <family val="2"/>
        <scheme val="minor"/>
      </rPr>
      <t>GECO</t>
    </r>
    <r>
      <rPr>
        <sz val="20"/>
        <color theme="0"/>
        <rFont val="Calibri"/>
        <family val="2"/>
        <scheme val="minor"/>
      </rPr>
      <t>, NBR, FKM&lt; DATE</t>
    </r>
  </si>
  <si>
    <t>Item</t>
  </si>
  <si>
    <t>PM-1470,PM-1490,PM-1500</t>
  </si>
  <si>
    <t>PM-1042,PM-1150,PM-1190,PM-1260,PM-1300,PM-1320,PM-1410,PM-1440,</t>
  </si>
  <si>
    <t>MS-0230</t>
  </si>
  <si>
    <t>TA-1490,NA-2031</t>
  </si>
  <si>
    <t>HN-0140,HN-0220,HN-0230</t>
  </si>
  <si>
    <t>TA-1371,TA-1372,TA-1731,TA-1742,TA-1941,TA-1942,TA-1950,TA-2521,TA-2522,TA-2532,TA-2541,TA-2542,TA-2551,TA-2552</t>
  </si>
  <si>
    <t>TA-1380</t>
  </si>
  <si>
    <t>PM-1041,PM-105A,PM-1140,PM-1160,PM-1170,PM-1180,PM-1200,PM-1210,PM-1250,PM-1290,PM-1310,PM-1370,PM-1420,PM-1450,PM-1480</t>
  </si>
  <si>
    <t>TA-1090,TA-1732,TA-1733,TA-1741,TA-2531,TA-2580</t>
  </si>
  <si>
    <t>HN-0180,HN-0190,HN-0200,HN-0210,HN-0580</t>
  </si>
  <si>
    <t>NA-2700,NA-2810,NA-2990,TA-0804,TA-0811,TA-121A,TA-136A,TA-148A,TA-1551,TA-1561,TA-1800,TA-1810,TA-1980,TA-198A,TA-199A,TA-2005,TA-2950</t>
  </si>
  <si>
    <t>TA-0801,TA-0802,TA-0803,TA-0812,TA-0813,TA-1070,TA-1130,TA-1150,TA-1170,TA-1190,TA-1240,TA-1250,TA-1410,TA-1552,TA-1553,TA-1554,TA-1562,TA-1563,TA-1564,TA-1610,TA-1620,TA-1630,TA-1650,TA-1640,TA-2001,TA-2002,TA-2003,TA-2004,TA-2005,TA-2010,TA-2020,TA-2030,TA-2721,TA-2722,TA-2730</t>
  </si>
  <si>
    <t>TA-1541,TA-1542,TA-1571,TA-1572,TA-1581,TA-1582,TA-1600</t>
  </si>
  <si>
    <t>HN-0150,HN-0160,HN-0170,HN,0240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</si>
</sst>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&quot; &quot;;[Red]&quot;(&quot;0.0&quot;)&quot;"/>
    <numFmt numFmtId="165" formatCode="[$$-409]#,##0.00;[Red]&quot;-&quot;[$$-409]#,##0.00"/>
    <numFmt numFmtId="166" formatCode="0;[Red]0"/>
    <numFmt numFmtId="167" formatCode="dd/mm/yyyy;@"/>
    <numFmt numFmtId="168" formatCode="0.0"/>
  </numFmts>
  <fonts count="24">
    <font>
      <sz val="10"/>
      <name val="Arial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9"/>
      <color theme="1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0"/>
      <color indexed="8"/>
      <name val="ＭＳ Ｐゴシック"/>
      <family val="3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28"/>
      <name val="Arial"/>
      <family val="2"/>
    </font>
    <font>
      <sz val="11"/>
      <color theme="0"/>
      <name val="Calibri"/>
      <family val="2"/>
      <scheme val="minor"/>
    </font>
    <font>
      <b/>
      <u/>
      <sz val="36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20"/>
      <color theme="0"/>
      <name val="Calibri"/>
      <family val="2"/>
    </font>
    <font>
      <u/>
      <sz val="20"/>
      <color theme="0"/>
      <name val="Calibri"/>
      <family val="2"/>
      <scheme val="minor"/>
    </font>
    <font>
      <sz val="28"/>
      <color rgb="FFFFFF00"/>
      <name val="Arial"/>
      <family val="2"/>
    </font>
    <font>
      <sz val="10"/>
      <color rgb="FFFFFF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6" fillId="0" borderId="0" applyBorder="0" applyProtection="0">
      <alignment vertical="center"/>
    </xf>
    <xf numFmtId="0" fontId="7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9" fillId="0" borderId="0"/>
    <xf numFmtId="165" fontId="9" fillId="0" borderId="0"/>
  </cellStyleXfs>
  <cellXfs count="131">
    <xf numFmtId="0" fontId="0" fillId="0" borderId="0" xfId="0"/>
    <xf numFmtId="0" fontId="1" fillId="0" borderId="0" xfId="0" applyFont="1"/>
    <xf numFmtId="0" fontId="2" fillId="2" borderId="5" xfId="0" applyFont="1" applyFill="1" applyBorder="1"/>
    <xf numFmtId="0" fontId="2" fillId="2" borderId="6" xfId="0" applyFont="1" applyFill="1" applyBorder="1"/>
    <xf numFmtId="0" fontId="11" fillId="3" borderId="0" xfId="3" applyFont="1" applyFill="1" applyBorder="1" applyAlignment="1">
      <alignment vertical="center"/>
    </xf>
    <xf numFmtId="0" fontId="12" fillId="3" borderId="0" xfId="3" applyFont="1" applyFill="1" applyBorder="1" applyAlignment="1">
      <alignment horizontal="left" vertical="center"/>
    </xf>
    <xf numFmtId="0" fontId="13" fillId="3" borderId="0" xfId="3" applyFont="1" applyFill="1" applyBorder="1" applyAlignment="1">
      <alignment vertical="center"/>
    </xf>
    <xf numFmtId="164" fontId="14" fillId="3" borderId="0" xfId="3" applyNumberFormat="1" applyFont="1" applyFill="1" applyBorder="1" applyAlignment="1">
      <alignment horizontal="center" vertical="center"/>
    </xf>
    <xf numFmtId="164" fontId="15" fillId="3" borderId="0" xfId="0" applyNumberFormat="1" applyFont="1" applyFill="1" applyBorder="1" applyAlignment="1">
      <alignment horizontal="center" vertical="center"/>
    </xf>
    <xf numFmtId="0" fontId="11" fillId="3" borderId="0" xfId="3" applyFont="1" applyFill="1" applyAlignment="1">
      <alignment vertical="center"/>
    </xf>
    <xf numFmtId="0" fontId="16" fillId="3" borderId="0" xfId="3" applyFont="1" applyFill="1" applyBorder="1" applyAlignment="1">
      <alignment horizontal="left" vertical="center"/>
    </xf>
    <xf numFmtId="0" fontId="13" fillId="3" borderId="0" xfId="3" applyFont="1" applyFill="1" applyAlignment="1">
      <alignment vertical="center"/>
    </xf>
    <xf numFmtId="164" fontId="14" fillId="3" borderId="0" xfId="3" applyNumberFormat="1" applyFont="1" applyFill="1" applyBorder="1" applyAlignment="1">
      <alignment horizontal="center" vertical="center" wrapText="1"/>
    </xf>
    <xf numFmtId="164" fontId="15" fillId="3" borderId="0" xfId="0" applyNumberFormat="1" applyFont="1" applyFill="1" applyAlignment="1">
      <alignment horizontal="center"/>
    </xf>
    <xf numFmtId="0" fontId="17" fillId="3" borderId="5" xfId="3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 wrapText="1"/>
    </xf>
    <xf numFmtId="0" fontId="19" fillId="3" borderId="0" xfId="3" applyFont="1" applyFill="1" applyBorder="1"/>
    <xf numFmtId="0" fontId="18" fillId="3" borderId="5" xfId="0" applyFont="1" applyFill="1" applyBorder="1" applyAlignment="1">
      <alignment horizontal="center" vertical="center"/>
    </xf>
    <xf numFmtId="0" fontId="19" fillId="3" borderId="5" xfId="3" applyFont="1" applyFill="1" applyBorder="1"/>
    <xf numFmtId="0" fontId="18" fillId="3" borderId="5" xfId="3" applyFont="1" applyFill="1" applyBorder="1" applyAlignment="1">
      <alignment horizontal="center" vertical="center"/>
    </xf>
    <xf numFmtId="0" fontId="15" fillId="3" borderId="5" xfId="3" applyFont="1" applyFill="1" applyBorder="1"/>
    <xf numFmtId="0" fontId="15" fillId="3" borderId="5" xfId="3" applyFont="1" applyFill="1" applyBorder="1" applyAlignment="1">
      <alignment horizontal="center" vertical="center"/>
    </xf>
    <xf numFmtId="164" fontId="15" fillId="3" borderId="5" xfId="3" applyNumberFormat="1" applyFont="1" applyFill="1" applyBorder="1" applyAlignment="1">
      <alignment horizontal="center" vertical="center"/>
    </xf>
    <xf numFmtId="166" fontId="15" fillId="3" borderId="5" xfId="3" applyNumberFormat="1" applyFont="1" applyFill="1" applyBorder="1" applyAlignment="1">
      <alignment horizontal="center" vertical="center"/>
    </xf>
    <xf numFmtId="164" fontId="15" fillId="3" borderId="5" xfId="3" applyNumberFormat="1" applyFont="1" applyFill="1" applyBorder="1" applyAlignment="1">
      <alignment horizontal="left" vertical="center"/>
    </xf>
    <xf numFmtId="167" fontId="15" fillId="3" borderId="5" xfId="3" quotePrefix="1" applyNumberFormat="1" applyFont="1" applyFill="1" applyBorder="1" applyAlignment="1">
      <alignment horizontal="center" vertical="center"/>
    </xf>
    <xf numFmtId="164" fontId="15" fillId="3" borderId="13" xfId="0" applyNumberFormat="1" applyFont="1" applyFill="1" applyBorder="1" applyAlignment="1">
      <alignment horizontal="center" vertical="center"/>
    </xf>
    <xf numFmtId="164" fontId="15" fillId="3" borderId="5" xfId="3" quotePrefix="1" applyNumberFormat="1" applyFont="1" applyFill="1" applyBorder="1" applyAlignment="1">
      <alignment horizontal="center" vertical="center"/>
    </xf>
    <xf numFmtId="164" fontId="20" fillId="3" borderId="5" xfId="3" applyNumberFormat="1" applyFont="1" applyFill="1" applyBorder="1" applyAlignment="1">
      <alignment horizontal="center" vertical="center"/>
    </xf>
    <xf numFmtId="168" fontId="15" fillId="3" borderId="5" xfId="3" applyNumberFormat="1" applyFont="1" applyFill="1" applyBorder="1" applyAlignment="1">
      <alignment horizontal="center" vertical="center"/>
    </xf>
    <xf numFmtId="0" fontId="15" fillId="3" borderId="0" xfId="3" applyFont="1" applyFill="1" applyBorder="1"/>
    <xf numFmtId="0" fontId="15" fillId="3" borderId="5" xfId="3" applyFont="1" applyFill="1" applyBorder="1" applyAlignment="1">
      <alignment horizontal="left" vertical="center"/>
    </xf>
    <xf numFmtId="0" fontId="15" fillId="3" borderId="0" xfId="3" applyFont="1" applyFill="1"/>
    <xf numFmtId="164" fontId="15" fillId="3" borderId="0" xfId="3" applyNumberFormat="1" applyFont="1" applyFill="1" applyAlignment="1">
      <alignment horizontal="center"/>
    </xf>
    <xf numFmtId="9" fontId="15" fillId="3" borderId="5" xfId="3" applyNumberFormat="1" applyFont="1" applyFill="1" applyBorder="1" applyAlignment="1">
      <alignment horizontal="center" vertical="center"/>
    </xf>
    <xf numFmtId="0" fontId="15" fillId="3" borderId="5" xfId="3" applyFont="1" applyFill="1" applyBorder="1" applyAlignment="1">
      <alignment horizontal="center"/>
    </xf>
    <xf numFmtId="166" fontId="15" fillId="3" borderId="0" xfId="3" applyNumberFormat="1" applyFont="1" applyFill="1"/>
    <xf numFmtId="167" fontId="15" fillId="3" borderId="0" xfId="3" applyNumberFormat="1" applyFont="1" applyFill="1"/>
    <xf numFmtId="0" fontId="11" fillId="3" borderId="0" xfId="3" applyFont="1" applyFill="1"/>
    <xf numFmtId="0" fontId="13" fillId="3" borderId="0" xfId="3" applyFont="1" applyFill="1"/>
    <xf numFmtId="164" fontId="14" fillId="3" borderId="0" xfId="3" applyNumberFormat="1" applyFont="1" applyFill="1" applyAlignment="1">
      <alignment horizontal="center"/>
    </xf>
    <xf numFmtId="0" fontId="11" fillId="3" borderId="0" xfId="3" applyFont="1" applyFill="1" applyBorder="1"/>
    <xf numFmtId="166" fontId="11" fillId="3" borderId="0" xfId="3" applyNumberFormat="1" applyFont="1" applyFill="1"/>
    <xf numFmtId="167" fontId="11" fillId="3" borderId="0" xfId="3" applyNumberFormat="1" applyFont="1" applyFill="1"/>
    <xf numFmtId="0" fontId="15" fillId="3" borderId="11" xfId="3" applyFont="1" applyFill="1" applyBorder="1" applyAlignment="1">
      <alignment horizontal="left" vertical="center"/>
    </xf>
    <xf numFmtId="164" fontId="15" fillId="3" borderId="11" xfId="3" applyNumberFormat="1" applyFont="1" applyFill="1" applyBorder="1" applyAlignment="1">
      <alignment horizontal="center" vertical="center"/>
    </xf>
    <xf numFmtId="164" fontId="15" fillId="3" borderId="14" xfId="0" applyNumberFormat="1" applyFont="1" applyFill="1" applyBorder="1" applyAlignment="1">
      <alignment horizontal="center" vertical="center"/>
    </xf>
    <xf numFmtId="164" fontId="15" fillId="3" borderId="11" xfId="3" quotePrefix="1" applyNumberFormat="1" applyFont="1" applyFill="1" applyBorder="1" applyAlignment="1">
      <alignment horizontal="center" vertical="center"/>
    </xf>
    <xf numFmtId="164" fontId="20" fillId="3" borderId="11" xfId="3" applyNumberFormat="1" applyFont="1" applyFill="1" applyBorder="1" applyAlignment="1">
      <alignment horizontal="center" vertical="center"/>
    </xf>
    <xf numFmtId="0" fontId="15" fillId="3" borderId="11" xfId="3" applyFont="1" applyFill="1" applyBorder="1" applyAlignment="1">
      <alignment horizontal="center" vertical="center"/>
    </xf>
    <xf numFmtId="168" fontId="15" fillId="3" borderId="11" xfId="3" applyNumberFormat="1" applyFont="1" applyFill="1" applyBorder="1" applyAlignment="1">
      <alignment horizontal="center" vertical="center"/>
    </xf>
    <xf numFmtId="164" fontId="15" fillId="3" borderId="5" xfId="3" applyNumberFormat="1" applyFont="1" applyFill="1" applyBorder="1" applyAlignment="1">
      <alignment horizontal="center"/>
    </xf>
    <xf numFmtId="164" fontId="15" fillId="3" borderId="5" xfId="0" applyNumberFormat="1" applyFont="1" applyFill="1" applyBorder="1" applyAlignment="1">
      <alignment horizontal="center" vertical="center"/>
    </xf>
    <xf numFmtId="164" fontId="15" fillId="3" borderId="5" xfId="3" quotePrefix="1" applyNumberFormat="1" applyFont="1" applyFill="1" applyBorder="1" applyAlignment="1">
      <alignment horizontal="center"/>
    </xf>
    <xf numFmtId="164" fontId="15" fillId="3" borderId="22" xfId="0" applyNumberFormat="1" applyFont="1" applyFill="1" applyBorder="1" applyAlignment="1">
      <alignment horizontal="center" vertical="center"/>
    </xf>
    <xf numFmtId="164" fontId="15" fillId="3" borderId="23" xfId="0" applyNumberFormat="1" applyFont="1" applyFill="1" applyBorder="1" applyAlignment="1">
      <alignment horizontal="center" vertical="center"/>
    </xf>
    <xf numFmtId="164" fontId="15" fillId="3" borderId="21" xfId="0" applyNumberFormat="1" applyFont="1" applyFill="1" applyBorder="1" applyAlignment="1">
      <alignment horizontal="center" vertical="center"/>
    </xf>
    <xf numFmtId="168" fontId="15" fillId="3" borderId="5" xfId="3" quotePrefix="1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0" fontId="17" fillId="3" borderId="9" xfId="3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5" xfId="3" applyFont="1" applyFill="1" applyBorder="1" applyAlignment="1">
      <alignment horizontal="center" vertical="center"/>
    </xf>
    <xf numFmtId="0" fontId="17" fillId="3" borderId="11" xfId="3" applyFont="1" applyFill="1" applyBorder="1" applyAlignment="1">
      <alignment horizontal="center" vertical="center" wrapText="1"/>
    </xf>
    <xf numFmtId="0" fontId="17" fillId="3" borderId="9" xfId="3" applyFont="1" applyFill="1" applyBorder="1" applyAlignment="1">
      <alignment horizontal="center" vertical="center" wrapText="1"/>
    </xf>
    <xf numFmtId="0" fontId="17" fillId="3" borderId="5" xfId="3" applyFont="1" applyFill="1" applyBorder="1" applyAlignment="1">
      <alignment horizontal="center" vertical="center"/>
    </xf>
    <xf numFmtId="0" fontId="17" fillId="3" borderId="5" xfId="3" applyFont="1" applyFill="1" applyBorder="1" applyAlignment="1">
      <alignment horizontal="center" vertical="center" wrapText="1"/>
    </xf>
    <xf numFmtId="0" fontId="17" fillId="3" borderId="21" xfId="3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/>
    </xf>
    <xf numFmtId="0" fontId="17" fillId="3" borderId="25" xfId="3" applyFont="1" applyFill="1" applyBorder="1" applyAlignment="1">
      <alignment horizontal="center" vertical="center"/>
    </xf>
    <xf numFmtId="0" fontId="17" fillId="3" borderId="9" xfId="3" applyFont="1" applyFill="1" applyBorder="1" applyAlignment="1">
      <alignment horizontal="center" vertical="center"/>
    </xf>
    <xf numFmtId="0" fontId="17" fillId="3" borderId="11" xfId="3" applyFont="1" applyFill="1" applyBorder="1" applyAlignment="1">
      <alignment horizontal="center" vertical="center"/>
    </xf>
    <xf numFmtId="0" fontId="17" fillId="3" borderId="15" xfId="3" applyFont="1" applyFill="1" applyBorder="1" applyAlignment="1">
      <alignment horizontal="center" vertical="center"/>
    </xf>
    <xf numFmtId="0" fontId="17" fillId="3" borderId="16" xfId="3" applyFont="1" applyFill="1" applyBorder="1" applyAlignment="1">
      <alignment horizontal="center" vertical="center"/>
    </xf>
    <xf numFmtId="0" fontId="17" fillId="3" borderId="17" xfId="3" applyFont="1" applyFill="1" applyBorder="1" applyAlignment="1">
      <alignment horizontal="center" vertical="center"/>
    </xf>
    <xf numFmtId="0" fontId="17" fillId="3" borderId="18" xfId="3" applyFont="1" applyFill="1" applyBorder="1" applyAlignment="1">
      <alignment horizontal="center" vertical="center"/>
    </xf>
    <xf numFmtId="0" fontId="17" fillId="3" borderId="19" xfId="3" applyFont="1" applyFill="1" applyBorder="1" applyAlignment="1">
      <alignment horizontal="center" vertical="center"/>
    </xf>
    <xf numFmtId="0" fontId="17" fillId="3" borderId="20" xfId="3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8" fillId="3" borderId="21" xfId="3" applyFont="1" applyFill="1" applyBorder="1" applyAlignment="1">
      <alignment horizontal="center"/>
    </xf>
    <xf numFmtId="0" fontId="18" fillId="3" borderId="25" xfId="3" applyFont="1" applyFill="1" applyBorder="1" applyAlignment="1">
      <alignment horizontal="center"/>
    </xf>
    <xf numFmtId="0" fontId="18" fillId="3" borderId="24" xfId="3" applyFont="1" applyFill="1" applyBorder="1" applyAlignment="1">
      <alignment horizontal="center"/>
    </xf>
    <xf numFmtId="0" fontId="18" fillId="3" borderId="11" xfId="3" applyFont="1" applyFill="1" applyBorder="1" applyAlignment="1">
      <alignment horizontal="center" vertical="center"/>
    </xf>
    <xf numFmtId="0" fontId="18" fillId="3" borderId="9" xfId="3" applyFont="1" applyFill="1" applyBorder="1" applyAlignment="1">
      <alignment horizontal="center" vertical="center"/>
    </xf>
    <xf numFmtId="0" fontId="18" fillId="3" borderId="11" xfId="3" applyFont="1" applyFill="1" applyBorder="1" applyAlignment="1">
      <alignment horizontal="center" vertical="center" wrapText="1"/>
    </xf>
    <xf numFmtId="0" fontId="18" fillId="3" borderId="9" xfId="3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4" fillId="0" borderId="11" xfId="0" quotePrefix="1" applyFont="1" applyFill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4" fillId="0" borderId="12" xfId="0" quotePrefix="1" applyFont="1" applyFill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center" vertical="center"/>
    </xf>
    <xf numFmtId="0" fontId="3" fillId="0" borderId="9" xfId="0" quotePrefix="1" applyFont="1" applyFill="1" applyBorder="1" applyAlignment="1">
      <alignment horizontal="center" vertical="center"/>
    </xf>
    <xf numFmtId="0" fontId="15" fillId="4" borderId="5" xfId="3" applyFont="1" applyFill="1" applyBorder="1"/>
    <xf numFmtId="0" fontId="15" fillId="4" borderId="5" xfId="3" applyFont="1" applyFill="1" applyBorder="1" applyAlignment="1">
      <alignment horizontal="center" vertical="center"/>
    </xf>
    <xf numFmtId="164" fontId="15" fillId="4" borderId="5" xfId="3" applyNumberFormat="1" applyFont="1" applyFill="1" applyBorder="1" applyAlignment="1">
      <alignment horizontal="left" vertical="center"/>
    </xf>
    <xf numFmtId="167" fontId="15" fillId="4" borderId="5" xfId="3" quotePrefix="1" applyNumberFormat="1" applyFont="1" applyFill="1" applyBorder="1" applyAlignment="1">
      <alignment horizontal="center" vertical="center"/>
    </xf>
    <xf numFmtId="0" fontId="15" fillId="4" borderId="5" xfId="3" applyFont="1" applyFill="1" applyBorder="1" applyAlignment="1">
      <alignment horizontal="left" vertical="center"/>
    </xf>
    <xf numFmtId="164" fontId="15" fillId="4" borderId="5" xfId="3" applyNumberFormat="1" applyFont="1" applyFill="1" applyBorder="1" applyAlignment="1">
      <alignment horizontal="center" vertical="center"/>
    </xf>
    <xf numFmtId="164" fontId="15" fillId="4" borderId="13" xfId="0" applyNumberFormat="1" applyFont="1" applyFill="1" applyBorder="1" applyAlignment="1">
      <alignment horizontal="center" vertical="center"/>
    </xf>
    <xf numFmtId="164" fontId="15" fillId="4" borderId="5" xfId="0" applyNumberFormat="1" applyFont="1" applyFill="1" applyBorder="1" applyAlignment="1">
      <alignment horizontal="center" vertical="center"/>
    </xf>
    <xf numFmtId="164" fontId="20" fillId="4" borderId="5" xfId="3" applyNumberFormat="1" applyFont="1" applyFill="1" applyBorder="1" applyAlignment="1">
      <alignment horizontal="center" vertical="center"/>
    </xf>
    <xf numFmtId="168" fontId="20" fillId="4" borderId="5" xfId="3" applyNumberFormat="1" applyFont="1" applyFill="1" applyBorder="1" applyAlignment="1">
      <alignment horizontal="center" vertical="center"/>
    </xf>
    <xf numFmtId="168" fontId="15" fillId="4" borderId="5" xfId="3" quotePrefix="1" applyNumberFormat="1" applyFont="1" applyFill="1" applyBorder="1" applyAlignment="1">
      <alignment horizontal="center" vertical="center"/>
    </xf>
    <xf numFmtId="0" fontId="15" fillId="4" borderId="0" xfId="3" applyFont="1" applyFill="1" applyBorder="1"/>
    <xf numFmtId="168" fontId="15" fillId="4" borderId="5" xfId="3" applyNumberFormat="1" applyFont="1" applyFill="1" applyBorder="1" applyAlignment="1">
      <alignment horizontal="center" vertical="center"/>
    </xf>
    <xf numFmtId="164" fontId="15" fillId="4" borderId="22" xfId="0" applyNumberFormat="1" applyFont="1" applyFill="1" applyBorder="1" applyAlignment="1">
      <alignment horizontal="center" vertical="center"/>
    </xf>
    <xf numFmtId="164" fontId="15" fillId="4" borderId="5" xfId="3" quotePrefix="1" applyNumberFormat="1" applyFont="1" applyFill="1" applyBorder="1" applyAlignment="1">
      <alignment horizontal="center" vertical="center"/>
    </xf>
  </cellXfs>
  <cellStyles count="8">
    <cellStyle name="Excel Built-in Normal" xfId="1"/>
    <cellStyle name="Heading" xfId="4"/>
    <cellStyle name="Heading1" xfId="5"/>
    <cellStyle name="Normal" xfId="0" builtinId="0"/>
    <cellStyle name="Normal 2" xfId="2"/>
    <cellStyle name="Normal 3" xfId="3"/>
    <cellStyle name="Result" xfId="6"/>
    <cellStyle name="Result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ENGINEERING\13.%20List%20Dokumen%20Engineering\List%20Dokumen%20Enginering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Sosialisasi"/>
      <sheetName val="Memo Internal R&amp;D"/>
      <sheetName val="PFC"/>
      <sheetName val="PFMEA"/>
      <sheetName val="CSCC"/>
      <sheetName val="PSW"/>
      <sheetName val="QCPC_PQCS_PCS"/>
      <sheetName val="MS_Schedule"/>
      <sheetName val="ENG SPEC"/>
      <sheetName val="External Doc"/>
      <sheetName val="ENG STD"/>
      <sheetName val="SA"/>
      <sheetName val="SOP"/>
      <sheetName val="WI"/>
      <sheetName val="BOM"/>
      <sheetName val="OPL"/>
      <sheetName val="IADL"/>
      <sheetName val="ECR"/>
      <sheetName val="VA VE"/>
      <sheetName val="PIPP"/>
      <sheetName val="ASA-R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7">
          <cell r="C37" t="str">
            <v>SOP/ENG/26/1/1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048576"/>
  <sheetViews>
    <sheetView tabSelected="1" zoomScale="55" zoomScaleNormal="55" workbookViewId="0">
      <pane xSplit="10" ySplit="6" topLeftCell="K32" activePane="bottomRight" state="frozen"/>
      <selection pane="topRight" activeCell="I1" sqref="I1"/>
      <selection pane="bottomLeft" activeCell="A7" sqref="A7"/>
      <selection pane="bottomRight" activeCell="J46" sqref="J46"/>
    </sheetView>
  </sheetViews>
  <sheetFormatPr defaultColWidth="4.7109375" defaultRowHeight="26.25"/>
  <cols>
    <col min="1" max="1" width="9" style="41" bestFit="1" customWidth="1"/>
    <col min="2" max="2" width="7" style="38" customWidth="1"/>
    <col min="3" max="3" width="20.140625" style="38" hidden="1" customWidth="1"/>
    <col min="4" max="4" width="53.140625" style="38" hidden="1" customWidth="1"/>
    <col min="5" max="6" width="51.5703125" style="38" hidden="1" customWidth="1"/>
    <col min="7" max="7" width="9.5703125" style="42" hidden="1" customWidth="1"/>
    <col min="8" max="8" width="18.28515625" style="38" customWidth="1"/>
    <col min="9" max="9" width="17.28515625" style="43" customWidth="1"/>
    <col min="10" max="10" width="113.28515625" style="38" customWidth="1"/>
    <col min="11" max="11" width="27.85546875" style="38" customWidth="1"/>
    <col min="12" max="12" width="34.7109375" style="39" customWidth="1"/>
    <col min="13" max="13" width="48.140625" style="38" customWidth="1"/>
    <col min="14" max="14" width="19.5703125" style="40" customWidth="1"/>
    <col min="15" max="15" width="20.42578125" style="40" customWidth="1"/>
    <col min="16" max="16" width="18.28515625" style="40" customWidth="1"/>
    <col min="17" max="18" width="45.85546875" style="13" customWidth="1"/>
    <col min="19" max="19" width="44.140625" style="13" customWidth="1"/>
    <col min="20" max="20" width="36.85546875" style="13" customWidth="1"/>
    <col min="21" max="21" width="16.42578125" style="13" customWidth="1"/>
    <col min="22" max="22" width="15" style="13" bestFit="1" customWidth="1"/>
    <col min="23" max="23" width="19" style="40" bestFit="1" customWidth="1"/>
    <col min="24" max="24" width="19" style="40" customWidth="1"/>
    <col min="25" max="25" width="19" style="40" bestFit="1" customWidth="1"/>
    <col min="26" max="26" width="19" style="40" customWidth="1"/>
    <col min="27" max="27" width="19.28515625" style="40" bestFit="1" customWidth="1"/>
    <col min="28" max="28" width="19.28515625" style="40" customWidth="1"/>
    <col min="29" max="29" width="19.85546875" style="38" bestFit="1" customWidth="1"/>
    <col min="30" max="30" width="15.28515625" style="38" bestFit="1" customWidth="1"/>
    <col min="31" max="31" width="19.85546875" style="38" bestFit="1" customWidth="1"/>
    <col min="32" max="32" width="15.28515625" style="38" bestFit="1" customWidth="1"/>
    <col min="33" max="33" width="19.85546875" style="38" bestFit="1" customWidth="1"/>
    <col min="34" max="34" width="15.28515625" style="38" bestFit="1" customWidth="1"/>
    <col min="35" max="35" width="23.5703125" style="38" bestFit="1" customWidth="1"/>
    <col min="36" max="36" width="22.140625" style="38" bestFit="1" customWidth="1"/>
    <col min="37" max="37" width="22.140625" style="38" customWidth="1"/>
    <col min="38" max="38" width="22.140625" style="38" bestFit="1" customWidth="1"/>
    <col min="39" max="39" width="25" style="38" bestFit="1" customWidth="1"/>
    <col min="40" max="40" width="23.5703125" style="38" bestFit="1" customWidth="1"/>
    <col min="41" max="41" width="22.140625" style="38" bestFit="1" customWidth="1"/>
    <col min="42" max="42" width="22.140625" style="38" customWidth="1"/>
    <col min="43" max="43" width="22.140625" style="38" bestFit="1" customWidth="1"/>
    <col min="44" max="44" width="25" style="38" bestFit="1" customWidth="1"/>
    <col min="45" max="45" width="23.5703125" style="38" bestFit="1" customWidth="1"/>
    <col min="46" max="46" width="22.140625" style="38" bestFit="1" customWidth="1"/>
    <col min="47" max="47" width="22.140625" style="38" customWidth="1"/>
    <col min="48" max="48" width="22.140625" style="38" bestFit="1" customWidth="1"/>
    <col min="49" max="52" width="25" style="38" bestFit="1" customWidth="1"/>
    <col min="53" max="55" width="25" style="38" customWidth="1"/>
    <col min="56" max="56" width="22.140625" style="38" bestFit="1" customWidth="1"/>
    <col min="57" max="57" width="22.140625" style="38" customWidth="1"/>
    <col min="58" max="58" width="22.140625" style="38" bestFit="1" customWidth="1"/>
    <col min="59" max="61" width="19.85546875" style="38" bestFit="1" customWidth="1"/>
    <col min="62" max="67" width="19.85546875" style="38" customWidth="1"/>
    <col min="68" max="68" width="20.140625" style="38" bestFit="1" customWidth="1"/>
    <col min="69" max="69" width="25" style="38" bestFit="1" customWidth="1"/>
    <col min="70" max="70" width="62.7109375" style="38" bestFit="1" customWidth="1"/>
    <col min="71" max="71" width="16.7109375" style="38" bestFit="1" customWidth="1"/>
    <col min="72" max="72" width="24.140625" style="38" bestFit="1" customWidth="1"/>
    <col min="73" max="73" width="21" style="38" bestFit="1" customWidth="1"/>
    <col min="74" max="74" width="31.85546875" style="38" bestFit="1" customWidth="1"/>
    <col min="75" max="76" width="27.28515625" style="38" customWidth="1"/>
    <col min="77" max="77" width="19" style="38" bestFit="1" customWidth="1"/>
    <col min="78" max="79" width="18" style="38" bestFit="1" customWidth="1"/>
    <col min="80" max="80" width="22.7109375" style="38" bestFit="1" customWidth="1"/>
    <col min="81" max="81" width="23.7109375" style="38" customWidth="1"/>
    <col min="82" max="82" width="22.7109375" style="38" bestFit="1" customWidth="1"/>
    <col min="83" max="83" width="24.85546875" style="38" bestFit="1" customWidth="1"/>
    <col min="84" max="84" width="12.7109375" style="41" bestFit="1" customWidth="1"/>
    <col min="85" max="85" width="9.85546875" style="41" customWidth="1"/>
    <col min="86" max="86" width="16.28515625" style="41" bestFit="1" customWidth="1"/>
    <col min="87" max="89" width="15.140625" style="41" bestFit="1" customWidth="1"/>
    <col min="90" max="90" width="10.85546875" style="41" bestFit="1" customWidth="1"/>
    <col min="91" max="91" width="7.7109375" style="41" bestFit="1" customWidth="1"/>
    <col min="92" max="95" width="15.42578125" style="41" bestFit="1" customWidth="1"/>
    <col min="96" max="96" width="10.28515625" style="41" bestFit="1" customWidth="1"/>
    <col min="97" max="97" width="7.5703125" style="41" bestFit="1" customWidth="1"/>
    <col min="98" max="98" width="7.28515625" style="41" bestFit="1" customWidth="1"/>
    <col min="99" max="99" width="9" style="41" bestFit="1" customWidth="1"/>
    <col min="100" max="100" width="7.85546875" style="41" customWidth="1"/>
    <col min="101" max="101" width="9.5703125" style="41" bestFit="1" customWidth="1"/>
    <col min="102" max="102" width="10.85546875" style="41" bestFit="1" customWidth="1"/>
    <col min="103" max="103" width="7.85546875" style="41" customWidth="1"/>
    <col min="104" max="107" width="15.42578125" style="41" bestFit="1" customWidth="1"/>
    <col min="108" max="16384" width="4.7109375" style="41"/>
  </cols>
  <sheetData>
    <row r="1" spans="1:108" s="4" customFormat="1" ht="46.5">
      <c r="B1" s="5" t="s">
        <v>115</v>
      </c>
      <c r="C1" s="5"/>
      <c r="D1" s="5"/>
      <c r="E1" s="5"/>
      <c r="F1" s="5"/>
      <c r="G1" s="5"/>
      <c r="H1" s="5"/>
      <c r="I1" s="5"/>
      <c r="J1" s="5"/>
      <c r="K1" s="5"/>
      <c r="L1" s="6"/>
      <c r="M1" s="5"/>
      <c r="N1" s="7"/>
      <c r="O1" s="7"/>
      <c r="P1" s="7"/>
      <c r="Q1" s="8"/>
      <c r="R1" s="8"/>
      <c r="S1" s="8"/>
      <c r="T1" s="8"/>
      <c r="U1" s="8"/>
      <c r="V1" s="8"/>
      <c r="W1" s="7"/>
      <c r="X1" s="7"/>
      <c r="Y1" s="7"/>
      <c r="Z1" s="7"/>
      <c r="AA1" s="7"/>
      <c r="AB1" s="7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</row>
    <row r="2" spans="1:108" s="4" customFormat="1"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2"/>
      <c r="O2" s="12"/>
      <c r="P2" s="12"/>
      <c r="Q2" s="13"/>
      <c r="R2" s="13"/>
      <c r="S2" s="13"/>
      <c r="T2" s="13"/>
      <c r="U2" s="13"/>
      <c r="V2" s="13"/>
      <c r="W2" s="12"/>
      <c r="X2" s="12"/>
      <c r="Y2" s="12"/>
      <c r="Z2" s="12"/>
      <c r="AA2" s="12"/>
      <c r="AB2" s="12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</row>
    <row r="3" spans="1:108" s="16" customFormat="1" ht="28.5" customHeight="1">
      <c r="A3" s="70" t="s">
        <v>102</v>
      </c>
      <c r="B3" s="70" t="s">
        <v>35</v>
      </c>
      <c r="C3" s="70" t="s">
        <v>37</v>
      </c>
      <c r="D3" s="71" t="s">
        <v>38</v>
      </c>
      <c r="E3" s="72"/>
      <c r="F3" s="73"/>
      <c r="G3" s="62" t="s">
        <v>218</v>
      </c>
      <c r="H3" s="70" t="s">
        <v>61</v>
      </c>
      <c r="I3" s="62" t="s">
        <v>219</v>
      </c>
      <c r="J3" s="70" t="s">
        <v>36</v>
      </c>
      <c r="K3" s="70" t="s">
        <v>62</v>
      </c>
      <c r="L3" s="70" t="s">
        <v>55</v>
      </c>
      <c r="M3" s="70" t="s">
        <v>56</v>
      </c>
      <c r="N3" s="61" t="s">
        <v>67</v>
      </c>
      <c r="O3" s="61" t="s">
        <v>125</v>
      </c>
      <c r="P3" s="61" t="s">
        <v>68</v>
      </c>
      <c r="Q3" s="15" t="s">
        <v>43</v>
      </c>
      <c r="R3" s="15" t="s">
        <v>43</v>
      </c>
      <c r="S3" s="15" t="s">
        <v>43</v>
      </c>
      <c r="T3" s="77" t="s">
        <v>133</v>
      </c>
      <c r="U3" s="79" t="s">
        <v>134</v>
      </c>
      <c r="V3" s="80"/>
      <c r="W3" s="61" t="s">
        <v>58</v>
      </c>
      <c r="X3" s="61" t="s">
        <v>130</v>
      </c>
      <c r="Y3" s="61" t="s">
        <v>125</v>
      </c>
      <c r="Z3" s="61" t="s">
        <v>131</v>
      </c>
      <c r="AA3" s="61" t="s">
        <v>132</v>
      </c>
      <c r="AB3" s="70" t="s">
        <v>135</v>
      </c>
      <c r="AC3" s="66" t="s">
        <v>59</v>
      </c>
      <c r="AD3" s="67"/>
      <c r="AE3" s="66" t="s">
        <v>59</v>
      </c>
      <c r="AF3" s="67"/>
      <c r="AG3" s="66" t="s">
        <v>59</v>
      </c>
      <c r="AH3" s="67"/>
      <c r="AI3" s="61" t="s">
        <v>70</v>
      </c>
      <c r="AJ3" s="61" t="s">
        <v>71</v>
      </c>
      <c r="AK3" s="61" t="s">
        <v>72</v>
      </c>
      <c r="AL3" s="61" t="s">
        <v>147</v>
      </c>
      <c r="AM3" s="61" t="s">
        <v>73</v>
      </c>
      <c r="AN3" s="61" t="s">
        <v>70</v>
      </c>
      <c r="AO3" s="61" t="s">
        <v>71</v>
      </c>
      <c r="AP3" s="61" t="s">
        <v>72</v>
      </c>
      <c r="AQ3" s="61" t="s">
        <v>147</v>
      </c>
      <c r="AR3" s="61" t="s">
        <v>73</v>
      </c>
      <c r="AS3" s="61" t="s">
        <v>70</v>
      </c>
      <c r="AT3" s="61" t="s">
        <v>71</v>
      </c>
      <c r="AU3" s="61" t="s">
        <v>72</v>
      </c>
      <c r="AV3" s="61" t="s">
        <v>147</v>
      </c>
      <c r="AW3" s="61" t="s">
        <v>73</v>
      </c>
      <c r="AX3" s="66" t="s">
        <v>63</v>
      </c>
      <c r="AY3" s="68"/>
      <c r="AZ3" s="67"/>
      <c r="BA3" s="66" t="s">
        <v>152</v>
      </c>
      <c r="BB3" s="68"/>
      <c r="BC3" s="67"/>
      <c r="BD3" s="66" t="s">
        <v>74</v>
      </c>
      <c r="BE3" s="68"/>
      <c r="BF3" s="67"/>
      <c r="BG3" s="64" t="s">
        <v>77</v>
      </c>
      <c r="BH3" s="64"/>
      <c r="BI3" s="64"/>
      <c r="BJ3" s="62" t="s">
        <v>162</v>
      </c>
      <c r="BK3" s="62" t="s">
        <v>163</v>
      </c>
      <c r="BL3" s="65" t="s">
        <v>166</v>
      </c>
      <c r="BM3" s="65"/>
      <c r="BN3" s="62" t="s">
        <v>206</v>
      </c>
      <c r="BO3" s="62" t="s">
        <v>169</v>
      </c>
      <c r="BP3" s="62" t="s">
        <v>171</v>
      </c>
      <c r="BQ3" s="70" t="s">
        <v>76</v>
      </c>
      <c r="BR3" s="70" t="s">
        <v>60</v>
      </c>
      <c r="BS3" s="62" t="s">
        <v>399</v>
      </c>
      <c r="BT3" s="62" t="s">
        <v>400</v>
      </c>
      <c r="BU3" s="62" t="s">
        <v>401</v>
      </c>
      <c r="BV3" s="62" t="s">
        <v>402</v>
      </c>
      <c r="BW3" s="62" t="s">
        <v>175</v>
      </c>
      <c r="BX3" s="62" t="s">
        <v>176</v>
      </c>
      <c r="BY3" s="62" t="s">
        <v>213</v>
      </c>
      <c r="BZ3" s="70" t="s">
        <v>49</v>
      </c>
      <c r="CA3" s="70" t="s">
        <v>50</v>
      </c>
      <c r="CB3" s="70" t="s">
        <v>51</v>
      </c>
      <c r="CC3" s="62" t="s">
        <v>181</v>
      </c>
      <c r="CD3" s="70" t="s">
        <v>52</v>
      </c>
      <c r="CE3" s="70" t="s">
        <v>53</v>
      </c>
      <c r="CF3" s="81" t="s">
        <v>55</v>
      </c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2"/>
      <c r="DC3" s="83"/>
    </row>
    <row r="4" spans="1:108" s="16" customFormat="1" ht="28.5" customHeight="1">
      <c r="A4" s="69"/>
      <c r="B4" s="69"/>
      <c r="C4" s="69"/>
      <c r="D4" s="74"/>
      <c r="E4" s="75"/>
      <c r="F4" s="76"/>
      <c r="G4" s="69"/>
      <c r="H4" s="69"/>
      <c r="I4" s="69"/>
      <c r="J4" s="69"/>
      <c r="K4" s="69"/>
      <c r="L4" s="69"/>
      <c r="M4" s="69"/>
      <c r="N4" s="61" t="s">
        <v>123</v>
      </c>
      <c r="O4" s="61" t="s">
        <v>124</v>
      </c>
      <c r="P4" s="61" t="s">
        <v>57</v>
      </c>
      <c r="Q4" s="17" t="s">
        <v>44</v>
      </c>
      <c r="R4" s="17" t="s">
        <v>129</v>
      </c>
      <c r="S4" s="17" t="s">
        <v>40</v>
      </c>
      <c r="T4" s="78"/>
      <c r="U4" s="60" t="s">
        <v>67</v>
      </c>
      <c r="V4" s="60" t="s">
        <v>68</v>
      </c>
      <c r="W4" s="61" t="s">
        <v>48</v>
      </c>
      <c r="X4" s="61" t="s">
        <v>48</v>
      </c>
      <c r="Y4" s="61" t="s">
        <v>48</v>
      </c>
      <c r="Z4" s="61" t="s">
        <v>48</v>
      </c>
      <c r="AA4" s="61" t="s">
        <v>48</v>
      </c>
      <c r="AB4" s="69"/>
      <c r="AC4" s="66" t="s">
        <v>46</v>
      </c>
      <c r="AD4" s="67"/>
      <c r="AE4" s="66" t="s">
        <v>47</v>
      </c>
      <c r="AF4" s="67"/>
      <c r="AG4" s="66" t="s">
        <v>142</v>
      </c>
      <c r="AH4" s="67"/>
      <c r="AI4" s="61" t="s">
        <v>46</v>
      </c>
      <c r="AJ4" s="61" t="s">
        <v>46</v>
      </c>
      <c r="AK4" s="61" t="s">
        <v>46</v>
      </c>
      <c r="AL4" s="61" t="s">
        <v>46</v>
      </c>
      <c r="AM4" s="61" t="s">
        <v>46</v>
      </c>
      <c r="AN4" s="61" t="s">
        <v>47</v>
      </c>
      <c r="AO4" s="61" t="s">
        <v>47</v>
      </c>
      <c r="AP4" s="61" t="s">
        <v>47</v>
      </c>
      <c r="AQ4" s="61" t="s">
        <v>47</v>
      </c>
      <c r="AR4" s="61" t="s">
        <v>47</v>
      </c>
      <c r="AS4" s="61" t="s">
        <v>142</v>
      </c>
      <c r="AT4" s="61" t="s">
        <v>142</v>
      </c>
      <c r="AU4" s="61" t="s">
        <v>142</v>
      </c>
      <c r="AV4" s="61" t="s">
        <v>142</v>
      </c>
      <c r="AW4" s="61" t="s">
        <v>142</v>
      </c>
      <c r="AX4" s="61" t="s">
        <v>46</v>
      </c>
      <c r="AY4" s="61" t="s">
        <v>47</v>
      </c>
      <c r="AZ4" s="61" t="s">
        <v>142</v>
      </c>
      <c r="BA4" s="61" t="s">
        <v>46</v>
      </c>
      <c r="BB4" s="61" t="s">
        <v>47</v>
      </c>
      <c r="BC4" s="61" t="s">
        <v>142</v>
      </c>
      <c r="BD4" s="61" t="s">
        <v>46</v>
      </c>
      <c r="BE4" s="61" t="s">
        <v>47</v>
      </c>
      <c r="BF4" s="61" t="s">
        <v>142</v>
      </c>
      <c r="BG4" s="61" t="s">
        <v>46</v>
      </c>
      <c r="BH4" s="61" t="s">
        <v>47</v>
      </c>
      <c r="BI4" s="61" t="s">
        <v>142</v>
      </c>
      <c r="BJ4" s="63"/>
      <c r="BK4" s="63"/>
      <c r="BL4" s="59" t="s">
        <v>167</v>
      </c>
      <c r="BM4" s="59" t="s">
        <v>168</v>
      </c>
      <c r="BN4" s="63"/>
      <c r="BO4" s="63"/>
      <c r="BP4" s="63"/>
      <c r="BQ4" s="69"/>
      <c r="BR4" s="69"/>
      <c r="BS4" s="69"/>
      <c r="BT4" s="69"/>
      <c r="BU4" s="69"/>
      <c r="BV4" s="63"/>
      <c r="BW4" s="63"/>
      <c r="BX4" s="63"/>
      <c r="BY4" s="63"/>
      <c r="BZ4" s="69"/>
      <c r="CA4" s="69"/>
      <c r="CB4" s="69"/>
      <c r="CC4" s="63"/>
      <c r="CD4" s="69"/>
      <c r="CE4" s="69"/>
      <c r="CF4" s="84" t="s">
        <v>67</v>
      </c>
      <c r="CG4" s="84" t="s">
        <v>422</v>
      </c>
      <c r="CH4" s="84" t="s">
        <v>423</v>
      </c>
      <c r="CI4" s="84" t="s">
        <v>424</v>
      </c>
      <c r="CJ4" s="84" t="s">
        <v>425</v>
      </c>
      <c r="CK4" s="84" t="s">
        <v>426</v>
      </c>
      <c r="CL4" s="86" t="s">
        <v>427</v>
      </c>
      <c r="CM4" s="84" t="s">
        <v>422</v>
      </c>
      <c r="CN4" s="84" t="s">
        <v>423</v>
      </c>
      <c r="CO4" s="84" t="s">
        <v>424</v>
      </c>
      <c r="CP4" s="84" t="s">
        <v>425</v>
      </c>
      <c r="CQ4" s="84" t="s">
        <v>426</v>
      </c>
      <c r="CR4" s="86" t="s">
        <v>428</v>
      </c>
      <c r="CS4" s="84" t="s">
        <v>422</v>
      </c>
      <c r="CT4" s="84" t="s">
        <v>423</v>
      </c>
      <c r="CU4" s="84" t="s">
        <v>424</v>
      </c>
      <c r="CV4" s="84" t="s">
        <v>425</v>
      </c>
      <c r="CW4" s="84" t="s">
        <v>426</v>
      </c>
      <c r="CX4" s="86" t="s">
        <v>429</v>
      </c>
      <c r="CY4" s="84" t="s">
        <v>422</v>
      </c>
      <c r="CZ4" s="84" t="s">
        <v>423</v>
      </c>
      <c r="DA4" s="84" t="s">
        <v>424</v>
      </c>
      <c r="DB4" s="84" t="s">
        <v>425</v>
      </c>
      <c r="DC4" s="84" t="s">
        <v>426</v>
      </c>
    </row>
    <row r="5" spans="1:108" s="16" customFormat="1" ht="34.5">
      <c r="A5" s="18"/>
      <c r="B5" s="61"/>
      <c r="C5" s="14"/>
      <c r="D5" s="14" t="s">
        <v>65</v>
      </c>
      <c r="E5" s="14" t="s">
        <v>117</v>
      </c>
      <c r="F5" s="14" t="s">
        <v>118</v>
      </c>
      <c r="G5" s="14"/>
      <c r="H5" s="61"/>
      <c r="I5" s="61"/>
      <c r="J5" s="61"/>
      <c r="K5" s="61"/>
      <c r="L5" s="61" t="s">
        <v>66</v>
      </c>
      <c r="M5" s="61" t="s">
        <v>64</v>
      </c>
      <c r="N5" s="61" t="s">
        <v>69</v>
      </c>
      <c r="O5" s="61" t="s">
        <v>69</v>
      </c>
      <c r="P5" s="61" t="s">
        <v>69</v>
      </c>
      <c r="Q5" s="17"/>
      <c r="R5" s="17"/>
      <c r="S5" s="17"/>
      <c r="T5" s="17"/>
      <c r="U5" s="17"/>
      <c r="V5" s="17"/>
      <c r="W5" s="61" t="s">
        <v>39</v>
      </c>
      <c r="X5" s="61" t="s">
        <v>39</v>
      </c>
      <c r="Y5" s="61" t="s">
        <v>39</v>
      </c>
      <c r="Z5" s="61" t="s">
        <v>39</v>
      </c>
      <c r="AA5" s="61" t="s">
        <v>45</v>
      </c>
      <c r="AB5" s="61" t="s">
        <v>45</v>
      </c>
      <c r="AC5" s="61" t="s">
        <v>143</v>
      </c>
      <c r="AD5" s="61" t="s">
        <v>144</v>
      </c>
      <c r="AE5" s="61" t="s">
        <v>143</v>
      </c>
      <c r="AF5" s="61" t="s">
        <v>144</v>
      </c>
      <c r="AG5" s="61" t="s">
        <v>143</v>
      </c>
      <c r="AH5" s="61" t="s">
        <v>144</v>
      </c>
      <c r="AI5" s="61" t="s">
        <v>226</v>
      </c>
      <c r="AJ5" s="61" t="s">
        <v>226</v>
      </c>
      <c r="AK5" s="61" t="s">
        <v>226</v>
      </c>
      <c r="AL5" s="61" t="s">
        <v>226</v>
      </c>
      <c r="AM5" s="61" t="s">
        <v>226</v>
      </c>
      <c r="AN5" s="61" t="s">
        <v>226</v>
      </c>
      <c r="AO5" s="61" t="s">
        <v>226</v>
      </c>
      <c r="AP5" s="61" t="s">
        <v>226</v>
      </c>
      <c r="AQ5" s="61" t="s">
        <v>226</v>
      </c>
      <c r="AR5" s="61" t="s">
        <v>226</v>
      </c>
      <c r="AS5" s="61" t="s">
        <v>226</v>
      </c>
      <c r="AT5" s="61" t="s">
        <v>226</v>
      </c>
      <c r="AU5" s="61" t="s">
        <v>226</v>
      </c>
      <c r="AV5" s="61" t="s">
        <v>226</v>
      </c>
      <c r="AW5" s="61" t="s">
        <v>226</v>
      </c>
      <c r="AX5" s="61" t="s">
        <v>41</v>
      </c>
      <c r="AY5" s="61" t="s">
        <v>41</v>
      </c>
      <c r="AZ5" s="61" t="s">
        <v>41</v>
      </c>
      <c r="BA5" s="61"/>
      <c r="BB5" s="61"/>
      <c r="BC5" s="61"/>
      <c r="BD5" s="61" t="s">
        <v>42</v>
      </c>
      <c r="BE5" s="61" t="s">
        <v>42</v>
      </c>
      <c r="BF5" s="61" t="s">
        <v>42</v>
      </c>
      <c r="BG5" s="61" t="s">
        <v>78</v>
      </c>
      <c r="BH5" s="61" t="s">
        <v>78</v>
      </c>
      <c r="BI5" s="61" t="s">
        <v>78</v>
      </c>
      <c r="BJ5" s="61" t="s">
        <v>39</v>
      </c>
      <c r="BK5" s="61" t="s">
        <v>39</v>
      </c>
      <c r="BL5" s="61"/>
      <c r="BM5" s="61"/>
      <c r="BN5" s="61" t="s">
        <v>41</v>
      </c>
      <c r="BO5" s="61" t="s">
        <v>170</v>
      </c>
      <c r="BP5" s="61"/>
      <c r="BQ5" s="61"/>
      <c r="BR5" s="61"/>
      <c r="BS5" s="61"/>
      <c r="BT5" s="61" t="s">
        <v>106</v>
      </c>
      <c r="BU5" s="61" t="s">
        <v>45</v>
      </c>
      <c r="BV5" s="61" t="s">
        <v>79</v>
      </c>
      <c r="BW5" s="61"/>
      <c r="BX5" s="61"/>
      <c r="BY5" s="61" t="s">
        <v>79</v>
      </c>
      <c r="BZ5" s="61" t="s">
        <v>45</v>
      </c>
      <c r="CA5" s="61" t="s">
        <v>45</v>
      </c>
      <c r="CB5" s="61" t="s">
        <v>45</v>
      </c>
      <c r="CC5" s="61" t="s">
        <v>45</v>
      </c>
      <c r="CD5" s="61" t="s">
        <v>45</v>
      </c>
      <c r="CE5" s="61" t="s">
        <v>45</v>
      </c>
      <c r="CF5" s="85"/>
      <c r="CG5" s="85"/>
      <c r="CH5" s="85"/>
      <c r="CI5" s="85"/>
      <c r="CJ5" s="85"/>
      <c r="CK5" s="85"/>
      <c r="CL5" s="87"/>
      <c r="CM5" s="85"/>
      <c r="CN5" s="85"/>
      <c r="CO5" s="85"/>
      <c r="CP5" s="85"/>
      <c r="CQ5" s="85"/>
      <c r="CR5" s="87"/>
      <c r="CS5" s="85"/>
      <c r="CT5" s="85"/>
      <c r="CU5" s="85"/>
      <c r="CV5" s="85"/>
      <c r="CW5" s="85"/>
      <c r="CX5" s="87"/>
      <c r="CY5" s="85"/>
      <c r="CZ5" s="85"/>
      <c r="DA5" s="85"/>
      <c r="DB5" s="85"/>
      <c r="DC5" s="85"/>
    </row>
    <row r="6" spans="1:108" s="58" customFormat="1">
      <c r="A6" s="19">
        <v>1</v>
      </c>
      <c r="B6" s="19">
        <v>2</v>
      </c>
      <c r="C6" s="19">
        <v>3</v>
      </c>
      <c r="D6" s="19">
        <v>4</v>
      </c>
      <c r="E6" s="19">
        <v>5</v>
      </c>
      <c r="F6" s="19">
        <v>6</v>
      </c>
      <c r="G6" s="19">
        <v>7</v>
      </c>
      <c r="H6" s="19">
        <v>8</v>
      </c>
      <c r="I6" s="19">
        <v>9</v>
      </c>
      <c r="J6" s="19">
        <v>10</v>
      </c>
      <c r="K6" s="19">
        <v>11</v>
      </c>
      <c r="L6" s="19">
        <v>12</v>
      </c>
      <c r="M6" s="19">
        <v>13</v>
      </c>
      <c r="N6" s="19">
        <v>14</v>
      </c>
      <c r="O6" s="19">
        <v>15</v>
      </c>
      <c r="P6" s="19">
        <v>16</v>
      </c>
      <c r="Q6" s="19">
        <v>17</v>
      </c>
      <c r="R6" s="19">
        <v>18</v>
      </c>
      <c r="S6" s="19">
        <v>19</v>
      </c>
      <c r="T6" s="19">
        <v>20</v>
      </c>
      <c r="U6" s="19">
        <v>21</v>
      </c>
      <c r="V6" s="19">
        <v>22</v>
      </c>
      <c r="W6" s="19">
        <v>23</v>
      </c>
      <c r="X6" s="19">
        <v>24</v>
      </c>
      <c r="Y6" s="19">
        <v>25</v>
      </c>
      <c r="Z6" s="19">
        <v>26</v>
      </c>
      <c r="AA6" s="19">
        <v>27</v>
      </c>
      <c r="AB6" s="19">
        <v>28</v>
      </c>
      <c r="AC6" s="19">
        <v>29</v>
      </c>
      <c r="AD6" s="19">
        <v>30</v>
      </c>
      <c r="AE6" s="19">
        <v>31</v>
      </c>
      <c r="AF6" s="19">
        <v>32</v>
      </c>
      <c r="AG6" s="19">
        <v>33</v>
      </c>
      <c r="AH6" s="19">
        <v>34</v>
      </c>
      <c r="AI6" s="19">
        <v>35</v>
      </c>
      <c r="AJ6" s="19">
        <v>36</v>
      </c>
      <c r="AK6" s="19">
        <v>37</v>
      </c>
      <c r="AL6" s="19">
        <v>38</v>
      </c>
      <c r="AM6" s="19">
        <v>39</v>
      </c>
      <c r="AN6" s="19">
        <v>40</v>
      </c>
      <c r="AO6" s="19">
        <v>41</v>
      </c>
      <c r="AP6" s="19">
        <v>42</v>
      </c>
      <c r="AQ6" s="19">
        <v>43</v>
      </c>
      <c r="AR6" s="19">
        <v>44</v>
      </c>
      <c r="AS6" s="19">
        <v>45</v>
      </c>
      <c r="AT6" s="19">
        <v>46</v>
      </c>
      <c r="AU6" s="19">
        <v>47</v>
      </c>
      <c r="AV6" s="19">
        <v>48</v>
      </c>
      <c r="AW6" s="19">
        <v>49</v>
      </c>
      <c r="AX6" s="19">
        <v>50</v>
      </c>
      <c r="AY6" s="19">
        <v>51</v>
      </c>
      <c r="AZ6" s="19">
        <v>52</v>
      </c>
      <c r="BA6" s="19">
        <v>53</v>
      </c>
      <c r="BB6" s="19">
        <v>54</v>
      </c>
      <c r="BC6" s="19">
        <v>55</v>
      </c>
      <c r="BD6" s="19">
        <v>56</v>
      </c>
      <c r="BE6" s="19">
        <v>57</v>
      </c>
      <c r="BF6" s="19">
        <v>58</v>
      </c>
      <c r="BG6" s="19">
        <v>59</v>
      </c>
      <c r="BH6" s="19">
        <v>60</v>
      </c>
      <c r="BI6" s="19">
        <v>61</v>
      </c>
      <c r="BJ6" s="19">
        <v>62</v>
      </c>
      <c r="BK6" s="19">
        <v>63</v>
      </c>
      <c r="BL6" s="19">
        <v>64</v>
      </c>
      <c r="BM6" s="19">
        <v>65</v>
      </c>
      <c r="BN6" s="19">
        <v>66</v>
      </c>
      <c r="BO6" s="19">
        <v>67</v>
      </c>
      <c r="BP6" s="19">
        <v>68</v>
      </c>
      <c r="BQ6" s="19">
        <v>69</v>
      </c>
      <c r="BR6" s="19">
        <v>70</v>
      </c>
      <c r="BS6" s="19">
        <v>71</v>
      </c>
      <c r="BT6" s="19">
        <v>72</v>
      </c>
      <c r="BU6" s="19">
        <v>73</v>
      </c>
      <c r="BV6" s="19">
        <v>74</v>
      </c>
      <c r="BW6" s="19">
        <v>75</v>
      </c>
      <c r="BX6" s="19">
        <v>76</v>
      </c>
      <c r="BY6" s="19">
        <v>77</v>
      </c>
      <c r="BZ6" s="19">
        <v>78</v>
      </c>
      <c r="CA6" s="19">
        <v>79</v>
      </c>
      <c r="CB6" s="19">
        <v>80</v>
      </c>
      <c r="CC6" s="19">
        <v>81</v>
      </c>
      <c r="CD6" s="19">
        <v>82</v>
      </c>
      <c r="CE6" s="19">
        <v>83</v>
      </c>
      <c r="CF6" s="19">
        <v>84</v>
      </c>
      <c r="CG6" s="19">
        <v>85</v>
      </c>
      <c r="CH6" s="19">
        <v>86</v>
      </c>
      <c r="CI6" s="19">
        <v>87</v>
      </c>
      <c r="CJ6" s="19">
        <v>88</v>
      </c>
      <c r="CK6" s="19">
        <v>89</v>
      </c>
      <c r="CL6" s="19">
        <v>90</v>
      </c>
      <c r="CM6" s="19">
        <v>91</v>
      </c>
      <c r="CN6" s="19">
        <v>92</v>
      </c>
      <c r="CO6" s="19">
        <v>93</v>
      </c>
      <c r="CP6" s="19">
        <v>94</v>
      </c>
      <c r="CQ6" s="19">
        <v>95</v>
      </c>
      <c r="CR6" s="19">
        <v>96</v>
      </c>
      <c r="CS6" s="19">
        <v>97</v>
      </c>
      <c r="CT6" s="19">
        <v>98</v>
      </c>
      <c r="CU6" s="19">
        <v>99</v>
      </c>
      <c r="CV6" s="19">
        <v>100</v>
      </c>
      <c r="CW6" s="19">
        <v>101</v>
      </c>
      <c r="CX6" s="19">
        <v>102</v>
      </c>
      <c r="CY6" s="19">
        <v>103</v>
      </c>
      <c r="CZ6" s="19">
        <v>104</v>
      </c>
      <c r="DA6" s="19">
        <v>105</v>
      </c>
      <c r="DB6" s="19">
        <v>106</v>
      </c>
      <c r="DC6" s="19">
        <v>107</v>
      </c>
      <c r="DD6" s="58" t="s">
        <v>549</v>
      </c>
    </row>
    <row r="7" spans="1:108" s="127" customFormat="1" ht="32.25" customHeight="1">
      <c r="A7" s="116" t="str">
        <f>CONCATENATE(B7,"-",G7)</f>
        <v>1-1</v>
      </c>
      <c r="B7" s="117">
        <v>1</v>
      </c>
      <c r="C7" s="22" t="s">
        <v>116</v>
      </c>
      <c r="D7" s="21" t="s">
        <v>461</v>
      </c>
      <c r="E7" s="21" t="s">
        <v>120</v>
      </c>
      <c r="F7" s="21" t="s">
        <v>121</v>
      </c>
      <c r="G7" s="23">
        <v>1</v>
      </c>
      <c r="H7" s="118" t="s">
        <v>83</v>
      </c>
      <c r="I7" s="119" t="s">
        <v>122</v>
      </c>
      <c r="J7" s="118" t="str">
        <f t="shared" ref="J7:J21" si="0">CONCATENATE(K7,"; ",L7,"; ",M7," ")</f>
        <v xml:space="preserve">Hose, Fuel; Ø 5.8 mm × 12.2 mm; TSM1644G-7 </v>
      </c>
      <c r="K7" s="118" t="s">
        <v>75</v>
      </c>
      <c r="L7" s="118" t="s">
        <v>119</v>
      </c>
      <c r="M7" s="118" t="s">
        <v>22</v>
      </c>
      <c r="N7" s="121" t="s">
        <v>126</v>
      </c>
      <c r="O7" s="121" t="s">
        <v>127</v>
      </c>
      <c r="P7" s="121" t="s">
        <v>128</v>
      </c>
      <c r="Q7" s="122" t="s">
        <v>188</v>
      </c>
      <c r="R7" s="122" t="s">
        <v>188</v>
      </c>
      <c r="S7" s="122" t="s">
        <v>188</v>
      </c>
      <c r="T7" s="123" t="s">
        <v>433</v>
      </c>
      <c r="U7" s="124" t="s">
        <v>136</v>
      </c>
      <c r="V7" s="124" t="s">
        <v>137</v>
      </c>
      <c r="W7" s="124" t="s">
        <v>209</v>
      </c>
      <c r="X7" s="124" t="s">
        <v>138</v>
      </c>
      <c r="Y7" s="124" t="s">
        <v>139</v>
      </c>
      <c r="Z7" s="124" t="s">
        <v>140</v>
      </c>
      <c r="AA7" s="124" t="s">
        <v>141</v>
      </c>
      <c r="AB7" s="124" t="s">
        <v>113</v>
      </c>
      <c r="AC7" s="117" t="s">
        <v>145</v>
      </c>
      <c r="AD7" s="117" t="s">
        <v>432</v>
      </c>
      <c r="AE7" s="117" t="s">
        <v>145</v>
      </c>
      <c r="AF7" s="117" t="s">
        <v>432</v>
      </c>
      <c r="AG7" s="117" t="s">
        <v>146</v>
      </c>
      <c r="AH7" s="117" t="s">
        <v>432</v>
      </c>
      <c r="AI7" s="124" t="s">
        <v>148</v>
      </c>
      <c r="AJ7" s="124" t="s">
        <v>86</v>
      </c>
      <c r="AK7" s="124" t="s">
        <v>80</v>
      </c>
      <c r="AL7" s="124" t="s">
        <v>80</v>
      </c>
      <c r="AM7" s="124" t="s">
        <v>82</v>
      </c>
      <c r="AN7" s="124" t="s">
        <v>5</v>
      </c>
      <c r="AO7" s="124" t="s">
        <v>86</v>
      </c>
      <c r="AP7" s="124" t="s">
        <v>86</v>
      </c>
      <c r="AQ7" s="124" t="s">
        <v>80</v>
      </c>
      <c r="AR7" s="124" t="s">
        <v>82</v>
      </c>
      <c r="AS7" s="124" t="s">
        <v>148</v>
      </c>
      <c r="AT7" s="124" t="s">
        <v>86</v>
      </c>
      <c r="AU7" s="124" t="s">
        <v>80</v>
      </c>
      <c r="AV7" s="124" t="s">
        <v>5</v>
      </c>
      <c r="AW7" s="124" t="s">
        <v>82</v>
      </c>
      <c r="AX7" s="117" t="s">
        <v>149</v>
      </c>
      <c r="AY7" s="117" t="s">
        <v>150</v>
      </c>
      <c r="AZ7" s="117" t="s">
        <v>151</v>
      </c>
      <c r="BA7" s="117" t="s">
        <v>153</v>
      </c>
      <c r="BB7" s="117" t="s">
        <v>154</v>
      </c>
      <c r="BC7" s="117" t="s">
        <v>155</v>
      </c>
      <c r="BD7" s="117" t="s">
        <v>156</v>
      </c>
      <c r="BE7" s="117" t="s">
        <v>157</v>
      </c>
      <c r="BF7" s="117" t="s">
        <v>158</v>
      </c>
      <c r="BG7" s="117" t="s">
        <v>159</v>
      </c>
      <c r="BH7" s="117" t="s">
        <v>160</v>
      </c>
      <c r="BI7" s="117" t="s">
        <v>161</v>
      </c>
      <c r="BJ7" s="117" t="s">
        <v>164</v>
      </c>
      <c r="BK7" s="117" t="s">
        <v>165</v>
      </c>
      <c r="BL7" s="117">
        <v>32</v>
      </c>
      <c r="BM7" s="117" t="s">
        <v>435</v>
      </c>
      <c r="BN7" s="124" t="s">
        <v>207</v>
      </c>
      <c r="BO7" s="124" t="s">
        <v>141</v>
      </c>
      <c r="BP7" s="124">
        <v>0.5</v>
      </c>
      <c r="BQ7" s="117" t="s">
        <v>178</v>
      </c>
      <c r="BR7" s="117" t="s">
        <v>172</v>
      </c>
      <c r="BS7" s="117" t="s">
        <v>107</v>
      </c>
      <c r="BT7" s="117" t="s">
        <v>173</v>
      </c>
      <c r="BU7" s="128" t="s">
        <v>174</v>
      </c>
      <c r="BV7" s="128" t="s">
        <v>350</v>
      </c>
      <c r="BW7" s="128" t="s">
        <v>350</v>
      </c>
      <c r="BX7" s="128" t="s">
        <v>138</v>
      </c>
      <c r="BY7" s="126" t="s">
        <v>177</v>
      </c>
      <c r="BZ7" s="124" t="s">
        <v>179</v>
      </c>
      <c r="CA7" s="124" t="s">
        <v>180</v>
      </c>
      <c r="CB7" s="124" t="s">
        <v>263</v>
      </c>
      <c r="CC7" s="124" t="s">
        <v>216</v>
      </c>
      <c r="CD7" s="124" t="s">
        <v>103</v>
      </c>
      <c r="CE7" s="124" t="s">
        <v>105</v>
      </c>
      <c r="CF7" s="116" t="str">
        <f>MID(BZ7,1,3)</f>
        <v>5.9</v>
      </c>
      <c r="CG7" s="116" t="str">
        <f>MID(BZ7,5,3)</f>
        <v>0.2</v>
      </c>
      <c r="CH7" s="116" t="e">
        <f>CF7-(CG7/2)</f>
        <v>#VALUE!</v>
      </c>
      <c r="CI7" s="116" t="e">
        <f>CF7-CG7</f>
        <v>#VALUE!</v>
      </c>
      <c r="CJ7" s="116" t="e">
        <f>CF7+(CG7/2)</f>
        <v>#VALUE!</v>
      </c>
      <c r="CK7" s="116" t="e">
        <f>CF7+CG7</f>
        <v>#VALUE!</v>
      </c>
      <c r="CL7" s="116" t="str">
        <f>MID(CB7,1,3)</f>
        <v>1.0</v>
      </c>
      <c r="CM7" s="116" t="str">
        <f>MID(CB7,5,3)</f>
        <v>0.2</v>
      </c>
      <c r="CN7" s="116" t="e">
        <f>CL7-(CM7/2)</f>
        <v>#VALUE!</v>
      </c>
      <c r="CO7" s="116" t="e">
        <f>CL7-CM7</f>
        <v>#VALUE!</v>
      </c>
      <c r="CP7" s="116" t="e">
        <f>CL7+(CM7/2)</f>
        <v>#VALUE!</v>
      </c>
      <c r="CQ7" s="116" t="e">
        <f>CL7+CM7</f>
        <v>#VALUE!</v>
      </c>
      <c r="CR7" s="116" t="str">
        <f>MID(CC7,1,3)</f>
        <v>2.1</v>
      </c>
      <c r="CS7" s="116" t="str">
        <f>MID(CC7,5,3)</f>
        <v>0.2</v>
      </c>
      <c r="CT7" s="116" t="e">
        <f>CR7-(CS7/2)</f>
        <v>#VALUE!</v>
      </c>
      <c r="CU7" s="116" t="e">
        <f>CR7-CS7</f>
        <v>#VALUE!</v>
      </c>
      <c r="CV7" s="116" t="e">
        <f>CR7+(CS7/2)</f>
        <v>#VALUE!</v>
      </c>
      <c r="CW7" s="116" t="e">
        <f>CR7+CS7</f>
        <v>#VALUE!</v>
      </c>
      <c r="CX7" s="116" t="str">
        <f>MID(CD7,1,3)</f>
        <v>3.0</v>
      </c>
      <c r="CY7" s="116" t="str">
        <f>MID(CD7,5,3)</f>
        <v>0.2</v>
      </c>
      <c r="CZ7" s="116" t="e">
        <f>CX7-(CY7/2)</f>
        <v>#VALUE!</v>
      </c>
      <c r="DA7" s="116" t="e">
        <f>CX7-CY7</f>
        <v>#VALUE!</v>
      </c>
      <c r="DB7" s="116" t="e">
        <f>CX7+(CY7/2)</f>
        <v>#VALUE!</v>
      </c>
      <c r="DC7" s="116" t="e">
        <f>CX7+CY7</f>
        <v>#VALUE!</v>
      </c>
      <c r="DD7" s="127" t="s">
        <v>553</v>
      </c>
    </row>
    <row r="8" spans="1:108" s="127" customFormat="1">
      <c r="A8" s="116" t="str">
        <f t="shared" ref="A8:A21" si="1">CONCATENATE(B8,"-",G8)</f>
        <v>2-1</v>
      </c>
      <c r="B8" s="117">
        <v>2</v>
      </c>
      <c r="C8" s="22" t="s">
        <v>116</v>
      </c>
      <c r="D8" s="21" t="s">
        <v>462</v>
      </c>
      <c r="E8" s="21" t="s">
        <v>182</v>
      </c>
      <c r="F8" s="21" t="s">
        <v>183</v>
      </c>
      <c r="G8" s="23">
        <v>1</v>
      </c>
      <c r="H8" s="118" t="s">
        <v>83</v>
      </c>
      <c r="I8" s="119" t="s">
        <v>122</v>
      </c>
      <c r="J8" s="118" t="str">
        <f t="shared" si="0"/>
        <v xml:space="preserve">Hose, Vacuum; Ø 7.5 mm × 16.1 mm; TSM1652G-6 </v>
      </c>
      <c r="K8" s="118" t="s">
        <v>93</v>
      </c>
      <c r="L8" s="118" t="s">
        <v>184</v>
      </c>
      <c r="M8" s="118" t="s">
        <v>8</v>
      </c>
      <c r="N8" s="121" t="s">
        <v>185</v>
      </c>
      <c r="O8" s="121" t="s">
        <v>186</v>
      </c>
      <c r="P8" s="121" t="s">
        <v>187</v>
      </c>
      <c r="Q8" s="122" t="s">
        <v>188</v>
      </c>
      <c r="R8" s="122" t="s">
        <v>188</v>
      </c>
      <c r="S8" s="122" t="s">
        <v>188</v>
      </c>
      <c r="T8" s="123" t="s">
        <v>189</v>
      </c>
      <c r="U8" s="124" t="s">
        <v>136</v>
      </c>
      <c r="V8" s="124" t="s">
        <v>137</v>
      </c>
      <c r="W8" s="124" t="s">
        <v>190</v>
      </c>
      <c r="X8" s="124" t="s">
        <v>191</v>
      </c>
      <c r="Y8" s="124" t="s">
        <v>192</v>
      </c>
      <c r="Z8" s="124" t="s">
        <v>111</v>
      </c>
      <c r="AA8" s="124" t="s">
        <v>193</v>
      </c>
      <c r="AB8" s="124" t="s">
        <v>113</v>
      </c>
      <c r="AC8" s="117" t="s">
        <v>145</v>
      </c>
      <c r="AD8" s="117" t="s">
        <v>432</v>
      </c>
      <c r="AE8" s="117" t="s">
        <v>145</v>
      </c>
      <c r="AF8" s="117" t="s">
        <v>432</v>
      </c>
      <c r="AG8" s="117" t="s">
        <v>146</v>
      </c>
      <c r="AH8" s="117" t="s">
        <v>432</v>
      </c>
      <c r="AI8" s="124" t="s">
        <v>86</v>
      </c>
      <c r="AJ8" s="124" t="s">
        <v>80</v>
      </c>
      <c r="AK8" s="124" t="s">
        <v>82</v>
      </c>
      <c r="AL8" s="124" t="s">
        <v>82</v>
      </c>
      <c r="AM8" s="124" t="s">
        <v>82</v>
      </c>
      <c r="AN8" s="124" t="s">
        <v>5</v>
      </c>
      <c r="AO8" s="124" t="s">
        <v>80</v>
      </c>
      <c r="AP8" s="124" t="s">
        <v>82</v>
      </c>
      <c r="AQ8" s="124" t="s">
        <v>82</v>
      </c>
      <c r="AR8" s="124" t="s">
        <v>82</v>
      </c>
      <c r="AS8" s="124" t="s">
        <v>89</v>
      </c>
      <c r="AT8" s="124" t="s">
        <v>80</v>
      </c>
      <c r="AU8" s="124" t="s">
        <v>82</v>
      </c>
      <c r="AV8" s="124" t="s">
        <v>5</v>
      </c>
      <c r="AW8" s="124" t="s">
        <v>194</v>
      </c>
      <c r="AX8" s="117" t="s">
        <v>195</v>
      </c>
      <c r="AY8" s="117" t="s">
        <v>150</v>
      </c>
      <c r="AZ8" s="117" t="s">
        <v>196</v>
      </c>
      <c r="BA8" s="117" t="s">
        <v>197</v>
      </c>
      <c r="BB8" s="117" t="s">
        <v>198</v>
      </c>
      <c r="BC8" s="117" t="s">
        <v>199</v>
      </c>
      <c r="BD8" s="117" t="s">
        <v>200</v>
      </c>
      <c r="BE8" s="117" t="s">
        <v>201</v>
      </c>
      <c r="BF8" s="117" t="s">
        <v>202</v>
      </c>
      <c r="BG8" s="117" t="s">
        <v>203</v>
      </c>
      <c r="BH8" s="117" t="s">
        <v>160</v>
      </c>
      <c r="BI8" s="117" t="s">
        <v>161</v>
      </c>
      <c r="BJ8" s="117" t="s">
        <v>204</v>
      </c>
      <c r="BK8" s="117" t="s">
        <v>205</v>
      </c>
      <c r="BL8" s="117">
        <v>60</v>
      </c>
      <c r="BM8" s="117" t="s">
        <v>82</v>
      </c>
      <c r="BN8" s="124" t="s">
        <v>208</v>
      </c>
      <c r="BO8" s="124" t="s">
        <v>209</v>
      </c>
      <c r="BP8" s="124">
        <v>0.5</v>
      </c>
      <c r="BQ8" s="117" t="s">
        <v>178</v>
      </c>
      <c r="BR8" s="117" t="s">
        <v>210</v>
      </c>
      <c r="BS8" s="117" t="s">
        <v>107</v>
      </c>
      <c r="BT8" s="117" t="s">
        <v>173</v>
      </c>
      <c r="BU8" s="128" t="s">
        <v>211</v>
      </c>
      <c r="BV8" s="128" t="s">
        <v>212</v>
      </c>
      <c r="BW8" s="128" t="s">
        <v>352</v>
      </c>
      <c r="BX8" s="128" t="s">
        <v>212</v>
      </c>
      <c r="BY8" s="126" t="s">
        <v>177</v>
      </c>
      <c r="BZ8" s="124" t="s">
        <v>214</v>
      </c>
      <c r="CA8" s="124" t="s">
        <v>215</v>
      </c>
      <c r="CB8" s="124" t="s">
        <v>104</v>
      </c>
      <c r="CC8" s="124" t="s">
        <v>217</v>
      </c>
      <c r="CD8" s="124" t="s">
        <v>87</v>
      </c>
      <c r="CE8" s="124" t="s">
        <v>105</v>
      </c>
      <c r="CF8" s="116" t="str">
        <f t="shared" ref="CF8:CF20" si="2">MID(BZ8,1,3)</f>
        <v>7.5</v>
      </c>
      <c r="CG8" s="116" t="str">
        <f t="shared" ref="CG8:CG20" si="3">MID(BZ8,5,3)</f>
        <v>0.2</v>
      </c>
      <c r="CH8" s="116" t="e">
        <f t="shared" ref="CH8:CH20" si="4">CF8-(CG8/2)</f>
        <v>#VALUE!</v>
      </c>
      <c r="CI8" s="116" t="e">
        <f t="shared" ref="CI8:CI20" si="5">CF8-CG8</f>
        <v>#VALUE!</v>
      </c>
      <c r="CJ8" s="116" t="e">
        <f t="shared" ref="CJ8:CJ20" si="6">CF8+(CG8/2)</f>
        <v>#VALUE!</v>
      </c>
      <c r="CK8" s="116" t="e">
        <f t="shared" ref="CK8:CK20" si="7">CF8+CG8</f>
        <v>#VALUE!</v>
      </c>
      <c r="CL8" s="116" t="str">
        <f t="shared" ref="CL8:CL20" si="8">MID(CB8,1,3)</f>
        <v>1.6</v>
      </c>
      <c r="CM8" s="116" t="str">
        <f t="shared" ref="CM8:CM20" si="9">MID(CB8,5,3)</f>
        <v>0.2</v>
      </c>
      <c r="CN8" s="116" t="e">
        <f t="shared" ref="CN8:CN20" si="10">CL8-(CM8/2)</f>
        <v>#VALUE!</v>
      </c>
      <c r="CO8" s="116" t="e">
        <f t="shared" ref="CO8:CO20" si="11">CL8-CM8</f>
        <v>#VALUE!</v>
      </c>
      <c r="CP8" s="116" t="e">
        <f t="shared" ref="CP8:CP20" si="12">CL8+(CM8/2)</f>
        <v>#VALUE!</v>
      </c>
      <c r="CQ8" s="116" t="e">
        <f t="shared" ref="CQ8:CQ20" si="13">CL8+CM8</f>
        <v>#VALUE!</v>
      </c>
      <c r="CR8" s="116" t="str">
        <f t="shared" ref="CR8:CR20" si="14">MID(CC8,1,3)</f>
        <v>2.0</v>
      </c>
      <c r="CS8" s="116" t="str">
        <f t="shared" ref="CS8:CS20" si="15">MID(CC8,5,3)</f>
        <v>0.2</v>
      </c>
      <c r="CT8" s="116" t="e">
        <f t="shared" ref="CT8:CT20" si="16">CR8-(CS8/2)</f>
        <v>#VALUE!</v>
      </c>
      <c r="CU8" s="116" t="e">
        <f t="shared" ref="CU8:CU20" si="17">CR8-CS8</f>
        <v>#VALUE!</v>
      </c>
      <c r="CV8" s="116" t="e">
        <f t="shared" ref="CV8:CV20" si="18">CR8+(CS8/2)</f>
        <v>#VALUE!</v>
      </c>
      <c r="CW8" s="116" t="e">
        <f t="shared" ref="CW8:CW20" si="19">CR8+CS8</f>
        <v>#VALUE!</v>
      </c>
      <c r="CX8" s="116" t="str">
        <f t="shared" ref="CX8:CX20" si="20">MID(CD8,1,3)</f>
        <v>4.0</v>
      </c>
      <c r="CY8" s="116" t="str">
        <f t="shared" ref="CY8:CY20" si="21">MID(CD8,5,3)</f>
        <v>0.2</v>
      </c>
      <c r="CZ8" s="116" t="e">
        <f t="shared" ref="CZ8:CZ20" si="22">CX8-(CY8/2)</f>
        <v>#VALUE!</v>
      </c>
      <c r="DA8" s="116" t="e">
        <f t="shared" ref="DA8:DA20" si="23">CX8-CY8</f>
        <v>#VALUE!</v>
      </c>
      <c r="DB8" s="116" t="e">
        <f t="shared" ref="DB8:DB20" si="24">CX8+(CY8/2)</f>
        <v>#VALUE!</v>
      </c>
      <c r="DC8" s="116" t="e">
        <f t="shared" ref="DC8:DC20" si="25">CX8+CY8</f>
        <v>#VALUE!</v>
      </c>
      <c r="DD8" s="127" t="s">
        <v>560</v>
      </c>
    </row>
    <row r="9" spans="1:108" s="30" customFormat="1">
      <c r="A9" s="20" t="str">
        <f t="shared" si="1"/>
        <v>3-1</v>
      </c>
      <c r="B9" s="21">
        <v>3</v>
      </c>
      <c r="C9" s="22" t="s">
        <v>116</v>
      </c>
      <c r="D9" s="21" t="s">
        <v>463</v>
      </c>
      <c r="E9" s="21" t="s">
        <v>272</v>
      </c>
      <c r="F9" s="21" t="s">
        <v>273</v>
      </c>
      <c r="G9" s="23">
        <v>1</v>
      </c>
      <c r="H9" s="24" t="s">
        <v>83</v>
      </c>
      <c r="I9" s="25" t="s">
        <v>122</v>
      </c>
      <c r="J9" s="24" t="str">
        <f t="shared" si="0"/>
        <v xml:space="preserve">Hose, Fuel; Ø 7.6 mm × 14 mm; TSM1644G-5 </v>
      </c>
      <c r="K9" s="24" t="s">
        <v>75</v>
      </c>
      <c r="L9" s="24" t="s">
        <v>220</v>
      </c>
      <c r="M9" s="24" t="s">
        <v>30</v>
      </c>
      <c r="N9" s="22" t="s">
        <v>221</v>
      </c>
      <c r="O9" s="22" t="s">
        <v>222</v>
      </c>
      <c r="P9" s="22" t="s">
        <v>223</v>
      </c>
      <c r="Q9" s="26" t="s">
        <v>188</v>
      </c>
      <c r="R9" s="26" t="s">
        <v>188</v>
      </c>
      <c r="S9" s="26" t="s">
        <v>188</v>
      </c>
      <c r="T9" s="52" t="s">
        <v>434</v>
      </c>
      <c r="U9" s="28" t="s">
        <v>136</v>
      </c>
      <c r="V9" s="28" t="s">
        <v>137</v>
      </c>
      <c r="W9" s="28" t="s">
        <v>224</v>
      </c>
      <c r="X9" s="28" t="s">
        <v>84</v>
      </c>
      <c r="Y9" s="28" t="s">
        <v>225</v>
      </c>
      <c r="Z9" s="28" t="s">
        <v>101</v>
      </c>
      <c r="AA9" s="28" t="s">
        <v>193</v>
      </c>
      <c r="AB9" s="28" t="s">
        <v>113</v>
      </c>
      <c r="AC9" s="21" t="s">
        <v>145</v>
      </c>
      <c r="AD9" s="21" t="s">
        <v>432</v>
      </c>
      <c r="AE9" s="21" t="s">
        <v>145</v>
      </c>
      <c r="AF9" s="21" t="s">
        <v>432</v>
      </c>
      <c r="AG9" s="21" t="s">
        <v>146</v>
      </c>
      <c r="AH9" s="21" t="s">
        <v>432</v>
      </c>
      <c r="AI9" s="28" t="s">
        <v>148</v>
      </c>
      <c r="AJ9" s="28" t="s">
        <v>148</v>
      </c>
      <c r="AK9" s="28" t="s">
        <v>148</v>
      </c>
      <c r="AL9" s="28" t="s">
        <v>148</v>
      </c>
      <c r="AM9" s="28" t="s">
        <v>148</v>
      </c>
      <c r="AN9" s="28" t="s">
        <v>5</v>
      </c>
      <c r="AO9" s="28" t="s">
        <v>148</v>
      </c>
      <c r="AP9" s="28" t="s">
        <v>148</v>
      </c>
      <c r="AQ9" s="28" t="s">
        <v>148</v>
      </c>
      <c r="AR9" s="28" t="s">
        <v>148</v>
      </c>
      <c r="AS9" s="28" t="s">
        <v>148</v>
      </c>
      <c r="AT9" s="28" t="s">
        <v>86</v>
      </c>
      <c r="AU9" s="28" t="s">
        <v>80</v>
      </c>
      <c r="AV9" s="28" t="s">
        <v>5</v>
      </c>
      <c r="AW9" s="28" t="s">
        <v>82</v>
      </c>
      <c r="AX9" s="21" t="s">
        <v>227</v>
      </c>
      <c r="AY9" s="21" t="s">
        <v>228</v>
      </c>
      <c r="AZ9" s="21" t="s">
        <v>229</v>
      </c>
      <c r="BA9" s="21" t="s">
        <v>230</v>
      </c>
      <c r="BB9" s="21" t="s">
        <v>231</v>
      </c>
      <c r="BC9" s="21" t="s">
        <v>232</v>
      </c>
      <c r="BD9" s="21" t="s">
        <v>233</v>
      </c>
      <c r="BE9" s="21" t="s">
        <v>234</v>
      </c>
      <c r="BF9" s="21" t="s">
        <v>235</v>
      </c>
      <c r="BG9" s="21" t="s">
        <v>236</v>
      </c>
      <c r="BH9" s="21" t="s">
        <v>94</v>
      </c>
      <c r="BI9" s="21" t="s">
        <v>237</v>
      </c>
      <c r="BJ9" s="21" t="s">
        <v>238</v>
      </c>
      <c r="BK9" s="21" t="s">
        <v>239</v>
      </c>
      <c r="BL9" s="21">
        <v>37</v>
      </c>
      <c r="BM9" s="21" t="s">
        <v>436</v>
      </c>
      <c r="BN9" s="28" t="s">
        <v>240</v>
      </c>
      <c r="BO9" s="28" t="s">
        <v>224</v>
      </c>
      <c r="BP9" s="28">
        <v>0.5</v>
      </c>
      <c r="BQ9" s="21" t="s">
        <v>178</v>
      </c>
      <c r="BR9" s="21" t="s">
        <v>548</v>
      </c>
      <c r="BS9" s="21" t="s">
        <v>95</v>
      </c>
      <c r="BT9" s="21" t="s">
        <v>173</v>
      </c>
      <c r="BU9" s="29" t="s">
        <v>112</v>
      </c>
      <c r="BV9" s="29" t="s">
        <v>224</v>
      </c>
      <c r="BW9" s="29" t="s">
        <v>224</v>
      </c>
      <c r="BX9" s="29" t="s">
        <v>353</v>
      </c>
      <c r="BY9" s="57" t="s">
        <v>177</v>
      </c>
      <c r="BZ9" s="28" t="s">
        <v>241</v>
      </c>
      <c r="CA9" s="28" t="s">
        <v>242</v>
      </c>
      <c r="CB9" s="28" t="s">
        <v>262</v>
      </c>
      <c r="CC9" s="28" t="s">
        <v>243</v>
      </c>
      <c r="CD9" s="28" t="s">
        <v>244</v>
      </c>
      <c r="CE9" s="28" t="s">
        <v>105</v>
      </c>
      <c r="CF9" s="20" t="str">
        <f t="shared" si="2"/>
        <v>7.7</v>
      </c>
      <c r="CG9" s="20" t="str">
        <f t="shared" si="3"/>
        <v>0.2</v>
      </c>
      <c r="CH9" s="20" t="e">
        <f t="shared" si="4"/>
        <v>#VALUE!</v>
      </c>
      <c r="CI9" s="20" t="e">
        <f t="shared" si="5"/>
        <v>#VALUE!</v>
      </c>
      <c r="CJ9" s="20" t="e">
        <f t="shared" si="6"/>
        <v>#VALUE!</v>
      </c>
      <c r="CK9" s="20" t="e">
        <f t="shared" si="7"/>
        <v>#VALUE!</v>
      </c>
      <c r="CL9" s="20" t="str">
        <f t="shared" si="8"/>
        <v>0.7</v>
      </c>
      <c r="CM9" s="20" t="str">
        <f t="shared" si="9"/>
        <v>0.2</v>
      </c>
      <c r="CN9" s="20" t="e">
        <f t="shared" si="10"/>
        <v>#VALUE!</v>
      </c>
      <c r="CO9" s="20" t="e">
        <f t="shared" si="11"/>
        <v>#VALUE!</v>
      </c>
      <c r="CP9" s="20" t="e">
        <f t="shared" si="12"/>
        <v>#VALUE!</v>
      </c>
      <c r="CQ9" s="20" t="e">
        <f t="shared" si="13"/>
        <v>#VALUE!</v>
      </c>
      <c r="CR9" s="20" t="str">
        <f t="shared" si="14"/>
        <v>2.2</v>
      </c>
      <c r="CS9" s="20" t="str">
        <f t="shared" si="15"/>
        <v>0.2</v>
      </c>
      <c r="CT9" s="20" t="e">
        <f t="shared" si="16"/>
        <v>#VALUE!</v>
      </c>
      <c r="CU9" s="20" t="e">
        <f t="shared" si="17"/>
        <v>#VALUE!</v>
      </c>
      <c r="CV9" s="20" t="e">
        <f t="shared" si="18"/>
        <v>#VALUE!</v>
      </c>
      <c r="CW9" s="20" t="e">
        <f t="shared" si="19"/>
        <v>#VALUE!</v>
      </c>
      <c r="CX9" s="20" t="str">
        <f t="shared" si="20"/>
        <v>3.4</v>
      </c>
      <c r="CY9" s="20" t="str">
        <f t="shared" si="21"/>
        <v>0.2</v>
      </c>
      <c r="CZ9" s="20" t="e">
        <f t="shared" si="22"/>
        <v>#VALUE!</v>
      </c>
      <c r="DA9" s="20" t="e">
        <f t="shared" si="23"/>
        <v>#VALUE!</v>
      </c>
      <c r="DB9" s="20" t="e">
        <f t="shared" si="24"/>
        <v>#VALUE!</v>
      </c>
      <c r="DC9" s="20" t="e">
        <f t="shared" si="25"/>
        <v>#VALUE!</v>
      </c>
      <c r="DD9" s="30" t="s">
        <v>555</v>
      </c>
    </row>
    <row r="10" spans="1:108" s="127" customFormat="1">
      <c r="A10" s="116" t="str">
        <f t="shared" si="1"/>
        <v>4-1</v>
      </c>
      <c r="B10" s="117">
        <v>4</v>
      </c>
      <c r="C10" s="22" t="s">
        <v>116</v>
      </c>
      <c r="D10" s="21" t="s">
        <v>464</v>
      </c>
      <c r="E10" s="21" t="s">
        <v>245</v>
      </c>
      <c r="F10" s="21" t="s">
        <v>246</v>
      </c>
      <c r="G10" s="23">
        <v>1</v>
      </c>
      <c r="H10" s="118" t="s">
        <v>83</v>
      </c>
      <c r="I10" s="119" t="s">
        <v>122</v>
      </c>
      <c r="J10" s="118" t="str">
        <f t="shared" si="0"/>
        <v xml:space="preserve">Hose, Fuel; Ø 7.6 mm × 14 mm; TSM1644G-7 </v>
      </c>
      <c r="K10" s="118" t="s">
        <v>75</v>
      </c>
      <c r="L10" s="118" t="s">
        <v>220</v>
      </c>
      <c r="M10" s="118" t="s">
        <v>22</v>
      </c>
      <c r="N10" s="121" t="s">
        <v>126</v>
      </c>
      <c r="O10" s="121" t="s">
        <v>127</v>
      </c>
      <c r="P10" s="121" t="s">
        <v>128</v>
      </c>
      <c r="Q10" s="122" t="s">
        <v>188</v>
      </c>
      <c r="R10" s="122" t="s">
        <v>188</v>
      </c>
      <c r="S10" s="122" t="s">
        <v>188</v>
      </c>
      <c r="T10" s="123" t="s">
        <v>434</v>
      </c>
      <c r="U10" s="124" t="s">
        <v>136</v>
      </c>
      <c r="V10" s="124" t="s">
        <v>137</v>
      </c>
      <c r="W10" s="124" t="s">
        <v>224</v>
      </c>
      <c r="X10" s="124" t="s">
        <v>190</v>
      </c>
      <c r="Y10" s="124" t="s">
        <v>225</v>
      </c>
      <c r="Z10" s="124" t="s">
        <v>247</v>
      </c>
      <c r="AA10" s="124" t="s">
        <v>248</v>
      </c>
      <c r="AB10" s="124" t="s">
        <v>113</v>
      </c>
      <c r="AC10" s="117" t="s">
        <v>145</v>
      </c>
      <c r="AD10" s="117" t="s">
        <v>432</v>
      </c>
      <c r="AE10" s="117" t="s">
        <v>145</v>
      </c>
      <c r="AF10" s="117" t="s">
        <v>432</v>
      </c>
      <c r="AG10" s="117" t="s">
        <v>146</v>
      </c>
      <c r="AH10" s="117" t="s">
        <v>432</v>
      </c>
      <c r="AI10" s="124" t="s">
        <v>148</v>
      </c>
      <c r="AJ10" s="124" t="s">
        <v>86</v>
      </c>
      <c r="AK10" s="124" t="s">
        <v>80</v>
      </c>
      <c r="AL10" s="124" t="s">
        <v>80</v>
      </c>
      <c r="AM10" s="124" t="s">
        <v>82</v>
      </c>
      <c r="AN10" s="124" t="s">
        <v>5</v>
      </c>
      <c r="AO10" s="124" t="s">
        <v>86</v>
      </c>
      <c r="AP10" s="124" t="s">
        <v>86</v>
      </c>
      <c r="AQ10" s="124" t="s">
        <v>80</v>
      </c>
      <c r="AR10" s="124" t="s">
        <v>82</v>
      </c>
      <c r="AS10" s="124" t="s">
        <v>148</v>
      </c>
      <c r="AT10" s="124" t="s">
        <v>86</v>
      </c>
      <c r="AU10" s="124" t="s">
        <v>80</v>
      </c>
      <c r="AV10" s="124" t="s">
        <v>5</v>
      </c>
      <c r="AW10" s="124" t="s">
        <v>82</v>
      </c>
      <c r="AX10" s="117" t="s">
        <v>249</v>
      </c>
      <c r="AY10" s="117" t="s">
        <v>250</v>
      </c>
      <c r="AZ10" s="117" t="s">
        <v>251</v>
      </c>
      <c r="BA10" s="117" t="s">
        <v>153</v>
      </c>
      <c r="BB10" s="117" t="s">
        <v>252</v>
      </c>
      <c r="BC10" s="117" t="s">
        <v>232</v>
      </c>
      <c r="BD10" s="117" t="s">
        <v>253</v>
      </c>
      <c r="BE10" s="117" t="s">
        <v>254</v>
      </c>
      <c r="BF10" s="117" t="s">
        <v>255</v>
      </c>
      <c r="BG10" s="117" t="s">
        <v>159</v>
      </c>
      <c r="BH10" s="117" t="s">
        <v>236</v>
      </c>
      <c r="BI10" s="117" t="s">
        <v>237</v>
      </c>
      <c r="BJ10" s="117" t="s">
        <v>256</v>
      </c>
      <c r="BK10" s="117" t="s">
        <v>257</v>
      </c>
      <c r="BL10" s="117">
        <v>33</v>
      </c>
      <c r="BM10" s="117" t="s">
        <v>437</v>
      </c>
      <c r="BN10" s="124" t="s">
        <v>258</v>
      </c>
      <c r="BO10" s="124" t="s">
        <v>259</v>
      </c>
      <c r="BP10" s="124">
        <v>0.5</v>
      </c>
      <c r="BQ10" s="117" t="s">
        <v>178</v>
      </c>
      <c r="BR10" s="117" t="s">
        <v>260</v>
      </c>
      <c r="BS10" s="117" t="s">
        <v>261</v>
      </c>
      <c r="BT10" s="117" t="s">
        <v>173</v>
      </c>
      <c r="BU10" s="128" t="s">
        <v>112</v>
      </c>
      <c r="BV10" s="128" t="s">
        <v>259</v>
      </c>
      <c r="BW10" s="128" t="s">
        <v>259</v>
      </c>
      <c r="BX10" s="128" t="s">
        <v>354</v>
      </c>
      <c r="BY10" s="126" t="s">
        <v>177</v>
      </c>
      <c r="BZ10" s="124" t="s">
        <v>241</v>
      </c>
      <c r="CA10" s="124" t="s">
        <v>242</v>
      </c>
      <c r="CB10" s="124" t="s">
        <v>263</v>
      </c>
      <c r="CC10" s="124" t="s">
        <v>217</v>
      </c>
      <c r="CD10" s="124" t="s">
        <v>244</v>
      </c>
      <c r="CE10" s="124" t="s">
        <v>105</v>
      </c>
      <c r="CF10" s="116" t="str">
        <f t="shared" si="2"/>
        <v>7.7</v>
      </c>
      <c r="CG10" s="116" t="str">
        <f t="shared" si="3"/>
        <v>0.2</v>
      </c>
      <c r="CH10" s="116" t="e">
        <f t="shared" si="4"/>
        <v>#VALUE!</v>
      </c>
      <c r="CI10" s="116" t="e">
        <f t="shared" si="5"/>
        <v>#VALUE!</v>
      </c>
      <c r="CJ10" s="116" t="e">
        <f t="shared" si="6"/>
        <v>#VALUE!</v>
      </c>
      <c r="CK10" s="116" t="e">
        <f t="shared" si="7"/>
        <v>#VALUE!</v>
      </c>
      <c r="CL10" s="116" t="str">
        <f t="shared" si="8"/>
        <v>1.0</v>
      </c>
      <c r="CM10" s="116" t="str">
        <f t="shared" si="9"/>
        <v>0.2</v>
      </c>
      <c r="CN10" s="116" t="e">
        <f t="shared" si="10"/>
        <v>#VALUE!</v>
      </c>
      <c r="CO10" s="116" t="e">
        <f t="shared" si="11"/>
        <v>#VALUE!</v>
      </c>
      <c r="CP10" s="116" t="e">
        <f t="shared" si="12"/>
        <v>#VALUE!</v>
      </c>
      <c r="CQ10" s="116" t="e">
        <f t="shared" si="13"/>
        <v>#VALUE!</v>
      </c>
      <c r="CR10" s="116" t="str">
        <f t="shared" si="14"/>
        <v>2.0</v>
      </c>
      <c r="CS10" s="116" t="str">
        <f t="shared" si="15"/>
        <v>0.2</v>
      </c>
      <c r="CT10" s="116" t="e">
        <f t="shared" si="16"/>
        <v>#VALUE!</v>
      </c>
      <c r="CU10" s="116" t="e">
        <f t="shared" si="17"/>
        <v>#VALUE!</v>
      </c>
      <c r="CV10" s="116" t="e">
        <f t="shared" si="18"/>
        <v>#VALUE!</v>
      </c>
      <c r="CW10" s="116" t="e">
        <f t="shared" si="19"/>
        <v>#VALUE!</v>
      </c>
      <c r="CX10" s="116" t="str">
        <f t="shared" si="20"/>
        <v>3.4</v>
      </c>
      <c r="CY10" s="116" t="str">
        <f t="shared" si="21"/>
        <v>0.2</v>
      </c>
      <c r="CZ10" s="116" t="e">
        <f t="shared" si="22"/>
        <v>#VALUE!</v>
      </c>
      <c r="DA10" s="116" t="e">
        <f t="shared" si="23"/>
        <v>#VALUE!</v>
      </c>
      <c r="DB10" s="116" t="e">
        <f t="shared" si="24"/>
        <v>#VALUE!</v>
      </c>
      <c r="DC10" s="116" t="e">
        <f t="shared" si="25"/>
        <v>#VALUE!</v>
      </c>
      <c r="DD10" s="127" t="s">
        <v>556</v>
      </c>
    </row>
    <row r="11" spans="1:108" s="127" customFormat="1">
      <c r="A11" s="116" t="str">
        <f t="shared" si="1"/>
        <v>5-1</v>
      </c>
      <c r="B11" s="117">
        <v>5</v>
      </c>
      <c r="C11" s="22" t="s">
        <v>116</v>
      </c>
      <c r="D11" s="21" t="s">
        <v>465</v>
      </c>
      <c r="E11" s="21" t="s">
        <v>270</v>
      </c>
      <c r="F11" s="21" t="s">
        <v>271</v>
      </c>
      <c r="G11" s="23">
        <v>1</v>
      </c>
      <c r="H11" s="118" t="s">
        <v>92</v>
      </c>
      <c r="I11" s="119" t="s">
        <v>122</v>
      </c>
      <c r="J11" s="118" t="str">
        <f>CONCATENATE(K11,"; ",L11,"; ",M11," ")</f>
        <v xml:space="preserve">Hose, Fuel; Ø 7.6 mm × 14 mm; TSE7151G-2 </v>
      </c>
      <c r="K11" s="118" t="s">
        <v>75</v>
      </c>
      <c r="L11" s="118" t="s">
        <v>220</v>
      </c>
      <c r="M11" s="118" t="s">
        <v>266</v>
      </c>
      <c r="N11" s="121" t="s">
        <v>264</v>
      </c>
      <c r="O11" s="121" t="s">
        <v>264</v>
      </c>
      <c r="P11" s="121" t="s">
        <v>265</v>
      </c>
      <c r="Q11" s="122" t="s">
        <v>188</v>
      </c>
      <c r="R11" s="122" t="s">
        <v>188</v>
      </c>
      <c r="S11" s="122" t="s">
        <v>188</v>
      </c>
      <c r="T11" s="123" t="s">
        <v>189</v>
      </c>
      <c r="U11" s="124" t="s">
        <v>136</v>
      </c>
      <c r="V11" s="124" t="s">
        <v>137</v>
      </c>
      <c r="W11" s="124" t="s">
        <v>274</v>
      </c>
      <c r="X11" s="124" t="s">
        <v>275</v>
      </c>
      <c r="Y11" s="124" t="s">
        <v>276</v>
      </c>
      <c r="Z11" s="124" t="s">
        <v>247</v>
      </c>
      <c r="AA11" s="124" t="s">
        <v>248</v>
      </c>
      <c r="AB11" s="124" t="s">
        <v>113</v>
      </c>
      <c r="AC11" s="117" t="s">
        <v>145</v>
      </c>
      <c r="AD11" s="117" t="s">
        <v>432</v>
      </c>
      <c r="AE11" s="117" t="s">
        <v>145</v>
      </c>
      <c r="AF11" s="117" t="s">
        <v>432</v>
      </c>
      <c r="AG11" s="117" t="s">
        <v>146</v>
      </c>
      <c r="AH11" s="117" t="s">
        <v>432</v>
      </c>
      <c r="AI11" s="124" t="s">
        <v>148</v>
      </c>
      <c r="AJ11" s="124" t="s">
        <v>86</v>
      </c>
      <c r="AK11" s="124" t="s">
        <v>80</v>
      </c>
      <c r="AL11" s="124" t="s">
        <v>80</v>
      </c>
      <c r="AM11" s="124" t="s">
        <v>82</v>
      </c>
      <c r="AN11" s="124" t="s">
        <v>5</v>
      </c>
      <c r="AO11" s="124" t="s">
        <v>148</v>
      </c>
      <c r="AP11" s="124" t="s">
        <v>86</v>
      </c>
      <c r="AQ11" s="124" t="s">
        <v>90</v>
      </c>
      <c r="AR11" s="124" t="s">
        <v>90</v>
      </c>
      <c r="AS11" s="124" t="s">
        <v>89</v>
      </c>
      <c r="AT11" s="124" t="s">
        <v>86</v>
      </c>
      <c r="AU11" s="124" t="s">
        <v>82</v>
      </c>
      <c r="AV11" s="124" t="s">
        <v>5</v>
      </c>
      <c r="AW11" s="124" t="s">
        <v>82</v>
      </c>
      <c r="AX11" s="117" t="s">
        <v>249</v>
      </c>
      <c r="AY11" s="117" t="s">
        <v>277</v>
      </c>
      <c r="AZ11" s="117" t="s">
        <v>278</v>
      </c>
      <c r="BA11" s="117" t="s">
        <v>230</v>
      </c>
      <c r="BB11" s="117" t="s">
        <v>231</v>
      </c>
      <c r="BC11" s="117" t="s">
        <v>232</v>
      </c>
      <c r="BD11" s="117" t="s">
        <v>279</v>
      </c>
      <c r="BE11" s="117" t="s">
        <v>201</v>
      </c>
      <c r="BF11" s="117" t="s">
        <v>280</v>
      </c>
      <c r="BG11" s="117" t="s">
        <v>159</v>
      </c>
      <c r="BH11" s="117" t="s">
        <v>236</v>
      </c>
      <c r="BI11" s="117" t="s">
        <v>237</v>
      </c>
      <c r="BJ11" s="117" t="s">
        <v>238</v>
      </c>
      <c r="BK11" s="117" t="s">
        <v>239</v>
      </c>
      <c r="BL11" s="117">
        <v>31.9</v>
      </c>
      <c r="BM11" s="117" t="s">
        <v>438</v>
      </c>
      <c r="BN11" s="124" t="s">
        <v>281</v>
      </c>
      <c r="BO11" s="124" t="s">
        <v>108</v>
      </c>
      <c r="BP11" s="124">
        <v>0.5</v>
      </c>
      <c r="BQ11" s="117" t="s">
        <v>178</v>
      </c>
      <c r="BR11" s="117" t="s">
        <v>282</v>
      </c>
      <c r="BS11" s="117" t="s">
        <v>85</v>
      </c>
      <c r="BT11" s="117" t="s">
        <v>173</v>
      </c>
      <c r="BU11" s="128" t="s">
        <v>112</v>
      </c>
      <c r="BV11" s="128" t="s">
        <v>351</v>
      </c>
      <c r="BW11" s="128" t="s">
        <v>351</v>
      </c>
      <c r="BX11" s="128" t="s">
        <v>343</v>
      </c>
      <c r="BY11" s="126" t="s">
        <v>177</v>
      </c>
      <c r="BZ11" s="124" t="s">
        <v>309</v>
      </c>
      <c r="CA11" s="124" t="s">
        <v>284</v>
      </c>
      <c r="CB11" s="124" t="s">
        <v>263</v>
      </c>
      <c r="CC11" s="124" t="s">
        <v>217</v>
      </c>
      <c r="CD11" s="124" t="s">
        <v>283</v>
      </c>
      <c r="CE11" s="124" t="s">
        <v>105</v>
      </c>
      <c r="CF11" s="116" t="str">
        <f t="shared" si="2"/>
        <v>7.6</v>
      </c>
      <c r="CG11" s="116" t="str">
        <f t="shared" si="3"/>
        <v>0.2</v>
      </c>
      <c r="CH11" s="116" t="e">
        <f t="shared" si="4"/>
        <v>#VALUE!</v>
      </c>
      <c r="CI11" s="116" t="e">
        <f t="shared" si="5"/>
        <v>#VALUE!</v>
      </c>
      <c r="CJ11" s="116" t="e">
        <f t="shared" si="6"/>
        <v>#VALUE!</v>
      </c>
      <c r="CK11" s="116" t="e">
        <f t="shared" si="7"/>
        <v>#VALUE!</v>
      </c>
      <c r="CL11" s="116" t="str">
        <f t="shared" si="8"/>
        <v>1.0</v>
      </c>
      <c r="CM11" s="116" t="str">
        <f t="shared" si="9"/>
        <v>0.2</v>
      </c>
      <c r="CN11" s="116" t="e">
        <f t="shared" si="10"/>
        <v>#VALUE!</v>
      </c>
      <c r="CO11" s="116" t="e">
        <f t="shared" si="11"/>
        <v>#VALUE!</v>
      </c>
      <c r="CP11" s="116" t="e">
        <f t="shared" si="12"/>
        <v>#VALUE!</v>
      </c>
      <c r="CQ11" s="116" t="e">
        <f t="shared" si="13"/>
        <v>#VALUE!</v>
      </c>
      <c r="CR11" s="116" t="str">
        <f t="shared" si="14"/>
        <v>2.0</v>
      </c>
      <c r="CS11" s="116" t="str">
        <f t="shared" si="15"/>
        <v>0.2</v>
      </c>
      <c r="CT11" s="116" t="e">
        <f t="shared" si="16"/>
        <v>#VALUE!</v>
      </c>
      <c r="CU11" s="116" t="e">
        <f t="shared" si="17"/>
        <v>#VALUE!</v>
      </c>
      <c r="CV11" s="116" t="e">
        <f t="shared" si="18"/>
        <v>#VALUE!</v>
      </c>
      <c r="CW11" s="116" t="e">
        <f t="shared" si="19"/>
        <v>#VALUE!</v>
      </c>
      <c r="CX11" s="116" t="str">
        <f t="shared" si="20"/>
        <v>3.2</v>
      </c>
      <c r="CY11" s="116" t="str">
        <f t="shared" si="21"/>
        <v>0.2</v>
      </c>
      <c r="CZ11" s="116" t="e">
        <f t="shared" si="22"/>
        <v>#VALUE!</v>
      </c>
      <c r="DA11" s="116" t="e">
        <f t="shared" si="23"/>
        <v>#VALUE!</v>
      </c>
      <c r="DB11" s="116" t="e">
        <f t="shared" si="24"/>
        <v>#VALUE!</v>
      </c>
      <c r="DC11" s="116" t="e">
        <f t="shared" si="25"/>
        <v>#VALUE!</v>
      </c>
      <c r="DD11" s="127" t="s">
        <v>554</v>
      </c>
    </row>
    <row r="12" spans="1:108" s="30" customFormat="1">
      <c r="A12" s="20" t="str">
        <f t="shared" ref="A12" si="26">CONCATENATE(B12,"-",G12)</f>
        <v>6-1</v>
      </c>
      <c r="B12" s="21">
        <v>6</v>
      </c>
      <c r="C12" s="22" t="s">
        <v>116</v>
      </c>
      <c r="D12" s="21" t="s">
        <v>466</v>
      </c>
      <c r="E12" s="21" t="s">
        <v>285</v>
      </c>
      <c r="F12" s="21" t="s">
        <v>286</v>
      </c>
      <c r="G12" s="23">
        <v>1</v>
      </c>
      <c r="H12" s="24" t="s">
        <v>83</v>
      </c>
      <c r="I12" s="25" t="s">
        <v>122</v>
      </c>
      <c r="J12" s="24" t="str">
        <f t="shared" ref="J12" si="27">CONCATENATE(K12,"; ",L12,"; ",M12," ")</f>
        <v xml:space="preserve">Hose, Vacuum; Ø 8.73 mm × 17.46 mm; TSM1652G-6 </v>
      </c>
      <c r="K12" s="24" t="s">
        <v>93</v>
      </c>
      <c r="L12" s="24" t="s">
        <v>287</v>
      </c>
      <c r="M12" s="24" t="s">
        <v>8</v>
      </c>
      <c r="N12" s="22" t="s">
        <v>185</v>
      </c>
      <c r="O12" s="22" t="s">
        <v>186</v>
      </c>
      <c r="P12" s="22" t="s">
        <v>187</v>
      </c>
      <c r="Q12" s="26" t="s">
        <v>188</v>
      </c>
      <c r="R12" s="26" t="s">
        <v>188</v>
      </c>
      <c r="S12" s="26" t="s">
        <v>188</v>
      </c>
      <c r="T12" s="52" t="s">
        <v>189</v>
      </c>
      <c r="U12" s="28" t="s">
        <v>136</v>
      </c>
      <c r="V12" s="28" t="s">
        <v>137</v>
      </c>
      <c r="W12" s="28" t="s">
        <v>348</v>
      </c>
      <c r="X12" s="28" t="s">
        <v>288</v>
      </c>
      <c r="Y12" s="28" t="s">
        <v>289</v>
      </c>
      <c r="Z12" s="28" t="s">
        <v>96</v>
      </c>
      <c r="AA12" s="28" t="s">
        <v>290</v>
      </c>
      <c r="AB12" s="28" t="s">
        <v>291</v>
      </c>
      <c r="AC12" s="21" t="s">
        <v>145</v>
      </c>
      <c r="AD12" s="21" t="s">
        <v>432</v>
      </c>
      <c r="AE12" s="21" t="s">
        <v>145</v>
      </c>
      <c r="AF12" s="21" t="s">
        <v>432</v>
      </c>
      <c r="AG12" s="21" t="s">
        <v>146</v>
      </c>
      <c r="AH12" s="21" t="s">
        <v>432</v>
      </c>
      <c r="AI12" s="28" t="s">
        <v>86</v>
      </c>
      <c r="AJ12" s="28" t="s">
        <v>80</v>
      </c>
      <c r="AK12" s="28" t="s">
        <v>82</v>
      </c>
      <c r="AL12" s="28" t="s">
        <v>82</v>
      </c>
      <c r="AM12" s="28" t="s">
        <v>82</v>
      </c>
      <c r="AN12" s="28" t="s">
        <v>5</v>
      </c>
      <c r="AO12" s="28" t="s">
        <v>80</v>
      </c>
      <c r="AP12" s="28" t="s">
        <v>82</v>
      </c>
      <c r="AQ12" s="28" t="s">
        <v>82</v>
      </c>
      <c r="AR12" s="28" t="s">
        <v>82</v>
      </c>
      <c r="AS12" s="28" t="s">
        <v>86</v>
      </c>
      <c r="AT12" s="28" t="s">
        <v>80</v>
      </c>
      <c r="AU12" s="28" t="s">
        <v>82</v>
      </c>
      <c r="AV12" s="28" t="s">
        <v>5</v>
      </c>
      <c r="AW12" s="28" t="s">
        <v>194</v>
      </c>
      <c r="AX12" s="21" t="s">
        <v>292</v>
      </c>
      <c r="AY12" s="21" t="s">
        <v>293</v>
      </c>
      <c r="AZ12" s="21" t="s">
        <v>294</v>
      </c>
      <c r="BA12" s="21" t="s">
        <v>295</v>
      </c>
      <c r="BB12" s="21" t="s">
        <v>154</v>
      </c>
      <c r="BC12" s="21" t="s">
        <v>296</v>
      </c>
      <c r="BD12" s="21" t="s">
        <v>297</v>
      </c>
      <c r="BE12" s="21" t="s">
        <v>298</v>
      </c>
      <c r="BF12" s="21" t="s">
        <v>299</v>
      </c>
      <c r="BG12" s="21" t="s">
        <v>300</v>
      </c>
      <c r="BH12" s="21" t="s">
        <v>301</v>
      </c>
      <c r="BI12" s="21" t="s">
        <v>302</v>
      </c>
      <c r="BJ12" s="21" t="s">
        <v>303</v>
      </c>
      <c r="BK12" s="21" t="s">
        <v>304</v>
      </c>
      <c r="BL12" s="21">
        <v>65</v>
      </c>
      <c r="BM12" s="21" t="s">
        <v>81</v>
      </c>
      <c r="BN12" s="28" t="s">
        <v>305</v>
      </c>
      <c r="BO12" s="28" t="s">
        <v>343</v>
      </c>
      <c r="BP12" s="28">
        <v>0.5</v>
      </c>
      <c r="BQ12" s="21" t="s">
        <v>178</v>
      </c>
      <c r="BR12" s="21" t="s">
        <v>306</v>
      </c>
      <c r="BS12" s="21" t="s">
        <v>107</v>
      </c>
      <c r="BT12" s="21" t="s">
        <v>173</v>
      </c>
      <c r="BU12" s="29" t="s">
        <v>307</v>
      </c>
      <c r="BV12" s="29" t="s">
        <v>100</v>
      </c>
      <c r="BW12" s="29" t="s">
        <v>100</v>
      </c>
      <c r="BX12" s="29" t="s">
        <v>88</v>
      </c>
      <c r="BY12" s="57" t="s">
        <v>177</v>
      </c>
      <c r="BZ12" s="28" t="s">
        <v>308</v>
      </c>
      <c r="CA12" s="28" t="s">
        <v>310</v>
      </c>
      <c r="CB12" s="28" t="s">
        <v>104</v>
      </c>
      <c r="CC12" s="28" t="s">
        <v>217</v>
      </c>
      <c r="CD12" s="28" t="s">
        <v>87</v>
      </c>
      <c r="CE12" s="28" t="s">
        <v>105</v>
      </c>
      <c r="CF12" s="20" t="str">
        <f t="shared" ref="CF12" si="28">MID(BZ12,1,3)</f>
        <v>8.7</v>
      </c>
      <c r="CG12" s="20" t="str">
        <f t="shared" ref="CG12" si="29">MID(BZ12,5,3)</f>
        <v>0.2</v>
      </c>
      <c r="CH12" s="20" t="e">
        <f t="shared" ref="CH12" si="30">CF12-(CG12/2)</f>
        <v>#VALUE!</v>
      </c>
      <c r="CI12" s="20" t="e">
        <f t="shared" ref="CI12" si="31">CF12-CG12</f>
        <v>#VALUE!</v>
      </c>
      <c r="CJ12" s="20" t="e">
        <f t="shared" ref="CJ12" si="32">CF12+(CG12/2)</f>
        <v>#VALUE!</v>
      </c>
      <c r="CK12" s="20" t="e">
        <f t="shared" ref="CK12" si="33">CF12+CG12</f>
        <v>#VALUE!</v>
      </c>
      <c r="CL12" s="20" t="str">
        <f t="shared" ref="CL12" si="34">MID(CB12,1,3)</f>
        <v>1.6</v>
      </c>
      <c r="CM12" s="20" t="str">
        <f t="shared" ref="CM12" si="35">MID(CB12,5,3)</f>
        <v>0.2</v>
      </c>
      <c r="CN12" s="20" t="e">
        <f t="shared" ref="CN12" si="36">CL12-(CM12/2)</f>
        <v>#VALUE!</v>
      </c>
      <c r="CO12" s="20" t="e">
        <f t="shared" ref="CO12" si="37">CL12-CM12</f>
        <v>#VALUE!</v>
      </c>
      <c r="CP12" s="20" t="e">
        <f t="shared" ref="CP12" si="38">CL12+(CM12/2)</f>
        <v>#VALUE!</v>
      </c>
      <c r="CQ12" s="20" t="e">
        <f t="shared" ref="CQ12" si="39">CL12+CM12</f>
        <v>#VALUE!</v>
      </c>
      <c r="CR12" s="20" t="str">
        <f t="shared" ref="CR12" si="40">MID(CC12,1,3)</f>
        <v>2.0</v>
      </c>
      <c r="CS12" s="20" t="str">
        <f t="shared" ref="CS12" si="41">MID(CC12,5,3)</f>
        <v>0.2</v>
      </c>
      <c r="CT12" s="20" t="e">
        <f t="shared" ref="CT12" si="42">CR12-(CS12/2)</f>
        <v>#VALUE!</v>
      </c>
      <c r="CU12" s="20" t="e">
        <f t="shared" ref="CU12" si="43">CR12-CS12</f>
        <v>#VALUE!</v>
      </c>
      <c r="CV12" s="20" t="e">
        <f t="shared" ref="CV12" si="44">CR12+(CS12/2)</f>
        <v>#VALUE!</v>
      </c>
      <c r="CW12" s="20" t="e">
        <f t="shared" ref="CW12" si="45">CR12+CS12</f>
        <v>#VALUE!</v>
      </c>
      <c r="CX12" s="20" t="str">
        <f t="shared" ref="CX12" si="46">MID(CD12,1,3)</f>
        <v>4.0</v>
      </c>
      <c r="CY12" s="20" t="str">
        <f t="shared" ref="CY12" si="47">MID(CD12,5,3)</f>
        <v>0.2</v>
      </c>
      <c r="CZ12" s="20" t="e">
        <f t="shared" ref="CZ12" si="48">CX12-(CY12/2)</f>
        <v>#VALUE!</v>
      </c>
      <c r="DA12" s="20" t="e">
        <f t="shared" ref="DA12" si="49">CX12-CY12</f>
        <v>#VALUE!</v>
      </c>
      <c r="DB12" s="20" t="e">
        <f t="shared" ref="DB12" si="50">CX12+(CY12/2)</f>
        <v>#VALUE!</v>
      </c>
      <c r="DC12" s="20" t="e">
        <f t="shared" ref="DC12" si="51">CX12+CY12</f>
        <v>#VALUE!</v>
      </c>
      <c r="DD12" s="30" t="s">
        <v>561</v>
      </c>
    </row>
    <row r="13" spans="1:108" s="127" customFormat="1">
      <c r="A13" s="116" t="str">
        <f t="shared" si="1"/>
        <v>6-2</v>
      </c>
      <c r="B13" s="117">
        <v>6</v>
      </c>
      <c r="C13" s="22" t="s">
        <v>116</v>
      </c>
      <c r="D13" s="21" t="s">
        <v>467</v>
      </c>
      <c r="E13" s="21" t="s">
        <v>285</v>
      </c>
      <c r="F13" s="21" t="s">
        <v>286</v>
      </c>
      <c r="G13" s="23">
        <v>2</v>
      </c>
      <c r="H13" s="118" t="s">
        <v>83</v>
      </c>
      <c r="I13" s="119" t="s">
        <v>431</v>
      </c>
      <c r="J13" s="118" t="str">
        <f t="shared" si="0"/>
        <v xml:space="preserve">Hose, Vacuum; Ø 8.73 mm × 17.46 mm; TSM1652G-6 </v>
      </c>
      <c r="K13" s="118" t="s">
        <v>93</v>
      </c>
      <c r="L13" s="118" t="s">
        <v>287</v>
      </c>
      <c r="M13" s="118" t="s">
        <v>8</v>
      </c>
      <c r="N13" s="121" t="s">
        <v>185</v>
      </c>
      <c r="O13" s="121" t="s">
        <v>186</v>
      </c>
      <c r="P13" s="121" t="s">
        <v>187</v>
      </c>
      <c r="Q13" s="122" t="s">
        <v>188</v>
      </c>
      <c r="R13" s="122" t="s">
        <v>188</v>
      </c>
      <c r="S13" s="122" t="s">
        <v>188</v>
      </c>
      <c r="T13" s="123" t="s">
        <v>189</v>
      </c>
      <c r="U13" s="124" t="s">
        <v>136</v>
      </c>
      <c r="V13" s="124" t="s">
        <v>137</v>
      </c>
      <c r="W13" s="124" t="s">
        <v>348</v>
      </c>
      <c r="X13" s="124" t="s">
        <v>288</v>
      </c>
      <c r="Y13" s="124" t="s">
        <v>289</v>
      </c>
      <c r="Z13" s="124" t="s">
        <v>96</v>
      </c>
      <c r="AA13" s="124" t="s">
        <v>290</v>
      </c>
      <c r="AB13" s="124" t="s">
        <v>291</v>
      </c>
      <c r="AC13" s="117" t="s">
        <v>145</v>
      </c>
      <c r="AD13" s="117" t="s">
        <v>432</v>
      </c>
      <c r="AE13" s="117" t="s">
        <v>145</v>
      </c>
      <c r="AF13" s="117" t="s">
        <v>432</v>
      </c>
      <c r="AG13" s="117" t="s">
        <v>146</v>
      </c>
      <c r="AH13" s="117" t="s">
        <v>432</v>
      </c>
      <c r="AI13" s="124" t="s">
        <v>86</v>
      </c>
      <c r="AJ13" s="124" t="s">
        <v>80</v>
      </c>
      <c r="AK13" s="124" t="s">
        <v>82</v>
      </c>
      <c r="AL13" s="124" t="s">
        <v>82</v>
      </c>
      <c r="AM13" s="124" t="s">
        <v>82</v>
      </c>
      <c r="AN13" s="124" t="s">
        <v>5</v>
      </c>
      <c r="AO13" s="124" t="s">
        <v>80</v>
      </c>
      <c r="AP13" s="124" t="s">
        <v>82</v>
      </c>
      <c r="AQ13" s="124" t="s">
        <v>82</v>
      </c>
      <c r="AR13" s="124" t="s">
        <v>82</v>
      </c>
      <c r="AS13" s="124" t="s">
        <v>86</v>
      </c>
      <c r="AT13" s="124" t="s">
        <v>80</v>
      </c>
      <c r="AU13" s="124" t="s">
        <v>82</v>
      </c>
      <c r="AV13" s="124" t="s">
        <v>5</v>
      </c>
      <c r="AW13" s="124" t="s">
        <v>194</v>
      </c>
      <c r="AX13" s="117" t="s">
        <v>292</v>
      </c>
      <c r="AY13" s="117" t="s">
        <v>293</v>
      </c>
      <c r="AZ13" s="117" t="s">
        <v>294</v>
      </c>
      <c r="BA13" s="117" t="s">
        <v>295</v>
      </c>
      <c r="BB13" s="117" t="s">
        <v>154</v>
      </c>
      <c r="BC13" s="117" t="s">
        <v>296</v>
      </c>
      <c r="BD13" s="117" t="s">
        <v>297</v>
      </c>
      <c r="BE13" s="117" t="s">
        <v>298</v>
      </c>
      <c r="BF13" s="117" t="s">
        <v>299</v>
      </c>
      <c r="BG13" s="117" t="s">
        <v>300</v>
      </c>
      <c r="BH13" s="117" t="s">
        <v>301</v>
      </c>
      <c r="BI13" s="117" t="s">
        <v>302</v>
      </c>
      <c r="BJ13" s="117" t="s">
        <v>303</v>
      </c>
      <c r="BK13" s="117" t="s">
        <v>304</v>
      </c>
      <c r="BL13" s="117">
        <v>65</v>
      </c>
      <c r="BM13" s="117" t="s">
        <v>81</v>
      </c>
      <c r="BN13" s="124" t="s">
        <v>305</v>
      </c>
      <c r="BO13" s="124" t="s">
        <v>343</v>
      </c>
      <c r="BP13" s="124">
        <v>0.5</v>
      </c>
      <c r="BQ13" s="117" t="s">
        <v>178</v>
      </c>
      <c r="BR13" s="117" t="s">
        <v>306</v>
      </c>
      <c r="BS13" s="117" t="s">
        <v>107</v>
      </c>
      <c r="BT13" s="117" t="s">
        <v>173</v>
      </c>
      <c r="BU13" s="128" t="s">
        <v>307</v>
      </c>
      <c r="BV13" s="128" t="s">
        <v>100</v>
      </c>
      <c r="BW13" s="128" t="s">
        <v>100</v>
      </c>
      <c r="BX13" s="128" t="s">
        <v>88</v>
      </c>
      <c r="BY13" s="126" t="s">
        <v>177</v>
      </c>
      <c r="BZ13" s="124" t="s">
        <v>430</v>
      </c>
      <c r="CA13" s="124" t="s">
        <v>310</v>
      </c>
      <c r="CB13" s="124" t="s">
        <v>104</v>
      </c>
      <c r="CC13" s="124" t="s">
        <v>217</v>
      </c>
      <c r="CD13" s="124" t="s">
        <v>87</v>
      </c>
      <c r="CE13" s="124" t="s">
        <v>105</v>
      </c>
      <c r="CF13" s="116" t="str">
        <f t="shared" si="2"/>
        <v>8.5</v>
      </c>
      <c r="CG13" s="116" t="str">
        <f t="shared" si="3"/>
        <v>0.1</v>
      </c>
      <c r="CH13" s="116" t="e">
        <f t="shared" si="4"/>
        <v>#VALUE!</v>
      </c>
      <c r="CI13" s="116" t="e">
        <f t="shared" si="5"/>
        <v>#VALUE!</v>
      </c>
      <c r="CJ13" s="116" t="e">
        <f t="shared" si="6"/>
        <v>#VALUE!</v>
      </c>
      <c r="CK13" s="116" t="e">
        <f t="shared" si="7"/>
        <v>#VALUE!</v>
      </c>
      <c r="CL13" s="116" t="str">
        <f t="shared" si="8"/>
        <v>1.6</v>
      </c>
      <c r="CM13" s="116" t="str">
        <f t="shared" si="9"/>
        <v>0.2</v>
      </c>
      <c r="CN13" s="116" t="e">
        <f t="shared" si="10"/>
        <v>#VALUE!</v>
      </c>
      <c r="CO13" s="116" t="e">
        <f t="shared" si="11"/>
        <v>#VALUE!</v>
      </c>
      <c r="CP13" s="116" t="e">
        <f t="shared" si="12"/>
        <v>#VALUE!</v>
      </c>
      <c r="CQ13" s="116" t="e">
        <f t="shared" si="13"/>
        <v>#VALUE!</v>
      </c>
      <c r="CR13" s="116" t="str">
        <f t="shared" si="14"/>
        <v>2.0</v>
      </c>
      <c r="CS13" s="116" t="str">
        <f t="shared" si="15"/>
        <v>0.2</v>
      </c>
      <c r="CT13" s="116" t="e">
        <f t="shared" si="16"/>
        <v>#VALUE!</v>
      </c>
      <c r="CU13" s="116" t="e">
        <f t="shared" si="17"/>
        <v>#VALUE!</v>
      </c>
      <c r="CV13" s="116" t="e">
        <f t="shared" si="18"/>
        <v>#VALUE!</v>
      </c>
      <c r="CW13" s="116" t="e">
        <f t="shared" si="19"/>
        <v>#VALUE!</v>
      </c>
      <c r="CX13" s="116" t="str">
        <f t="shared" si="20"/>
        <v>4.0</v>
      </c>
      <c r="CY13" s="116" t="str">
        <f t="shared" si="21"/>
        <v>0.2</v>
      </c>
      <c r="CZ13" s="116" t="e">
        <f t="shared" si="22"/>
        <v>#VALUE!</v>
      </c>
      <c r="DA13" s="116" t="e">
        <f t="shared" si="23"/>
        <v>#VALUE!</v>
      </c>
      <c r="DB13" s="116" t="e">
        <f t="shared" si="24"/>
        <v>#VALUE!</v>
      </c>
      <c r="DC13" s="116" t="e">
        <f t="shared" si="25"/>
        <v>#VALUE!</v>
      </c>
      <c r="DD13" s="127" t="s">
        <v>561</v>
      </c>
    </row>
    <row r="14" spans="1:108" s="127" customFormat="1">
      <c r="A14" s="116" t="str">
        <f t="shared" si="1"/>
        <v>7-1</v>
      </c>
      <c r="B14" s="117">
        <v>7</v>
      </c>
      <c r="C14" s="22" t="s">
        <v>116</v>
      </c>
      <c r="D14" s="21" t="s">
        <v>468</v>
      </c>
      <c r="E14" s="21" t="s">
        <v>311</v>
      </c>
      <c r="F14" s="21" t="s">
        <v>312</v>
      </c>
      <c r="G14" s="23">
        <v>1</v>
      </c>
      <c r="H14" s="118" t="s">
        <v>92</v>
      </c>
      <c r="I14" s="119" t="s">
        <v>122</v>
      </c>
      <c r="J14" s="118" t="str">
        <f t="shared" si="0"/>
        <v xml:space="preserve">Hose, Vacuum; Ø 8.73 mm × 17.46 mm; TSM1652G-6 </v>
      </c>
      <c r="K14" s="118" t="s">
        <v>93</v>
      </c>
      <c r="L14" s="118" t="s">
        <v>287</v>
      </c>
      <c r="M14" s="118" t="s">
        <v>8</v>
      </c>
      <c r="N14" s="121" t="s">
        <v>313</v>
      </c>
      <c r="O14" s="121" t="s">
        <v>314</v>
      </c>
      <c r="P14" s="121" t="s">
        <v>315</v>
      </c>
      <c r="Q14" s="122" t="s">
        <v>188</v>
      </c>
      <c r="R14" s="122" t="s">
        <v>188</v>
      </c>
      <c r="S14" s="122" t="s">
        <v>188</v>
      </c>
      <c r="T14" s="123" t="s">
        <v>189</v>
      </c>
      <c r="U14" s="124" t="s">
        <v>136</v>
      </c>
      <c r="V14" s="124" t="s">
        <v>137</v>
      </c>
      <c r="W14" s="124" t="s">
        <v>348</v>
      </c>
      <c r="X14" s="124" t="s">
        <v>316</v>
      </c>
      <c r="Y14" s="124" t="s">
        <v>289</v>
      </c>
      <c r="Z14" s="124" t="s">
        <v>96</v>
      </c>
      <c r="AA14" s="124" t="s">
        <v>290</v>
      </c>
      <c r="AB14" s="124" t="s">
        <v>291</v>
      </c>
      <c r="AC14" s="117" t="s">
        <v>145</v>
      </c>
      <c r="AD14" s="117" t="s">
        <v>432</v>
      </c>
      <c r="AE14" s="117" t="s">
        <v>145</v>
      </c>
      <c r="AF14" s="117" t="s">
        <v>432</v>
      </c>
      <c r="AG14" s="117" t="s">
        <v>146</v>
      </c>
      <c r="AH14" s="117" t="s">
        <v>432</v>
      </c>
      <c r="AI14" s="124" t="s">
        <v>86</v>
      </c>
      <c r="AJ14" s="124" t="s">
        <v>80</v>
      </c>
      <c r="AK14" s="124" t="s">
        <v>82</v>
      </c>
      <c r="AL14" s="124" t="s">
        <v>82</v>
      </c>
      <c r="AM14" s="124" t="s">
        <v>82</v>
      </c>
      <c r="AN14" s="124" t="s">
        <v>5</v>
      </c>
      <c r="AO14" s="124" t="s">
        <v>80</v>
      </c>
      <c r="AP14" s="124" t="s">
        <v>82</v>
      </c>
      <c r="AQ14" s="124" t="s">
        <v>82</v>
      </c>
      <c r="AR14" s="124" t="s">
        <v>82</v>
      </c>
      <c r="AS14" s="124" t="s">
        <v>86</v>
      </c>
      <c r="AT14" s="124" t="s">
        <v>80</v>
      </c>
      <c r="AU14" s="124" t="s">
        <v>82</v>
      </c>
      <c r="AV14" s="124" t="s">
        <v>5</v>
      </c>
      <c r="AW14" s="124" t="s">
        <v>194</v>
      </c>
      <c r="AX14" s="117" t="s">
        <v>317</v>
      </c>
      <c r="AY14" s="117" t="s">
        <v>293</v>
      </c>
      <c r="AZ14" s="117" t="s">
        <v>318</v>
      </c>
      <c r="BA14" s="117" t="s">
        <v>319</v>
      </c>
      <c r="BB14" s="117" t="s">
        <v>154</v>
      </c>
      <c r="BC14" s="117" t="s">
        <v>155</v>
      </c>
      <c r="BD14" s="117" t="s">
        <v>320</v>
      </c>
      <c r="BE14" s="117" t="s">
        <v>321</v>
      </c>
      <c r="BF14" s="117" t="s">
        <v>322</v>
      </c>
      <c r="BG14" s="117" t="s">
        <v>300</v>
      </c>
      <c r="BH14" s="117" t="s">
        <v>301</v>
      </c>
      <c r="BI14" s="117" t="s">
        <v>302</v>
      </c>
      <c r="BJ14" s="117" t="s">
        <v>323</v>
      </c>
      <c r="BK14" s="117" t="s">
        <v>324</v>
      </c>
      <c r="BL14" s="117">
        <v>65</v>
      </c>
      <c r="BM14" s="117" t="s">
        <v>81</v>
      </c>
      <c r="BN14" s="124" t="s">
        <v>325</v>
      </c>
      <c r="BO14" s="124" t="s">
        <v>100</v>
      </c>
      <c r="BP14" s="124">
        <v>0.5</v>
      </c>
      <c r="BQ14" s="117" t="s">
        <v>178</v>
      </c>
      <c r="BR14" s="117" t="s">
        <v>326</v>
      </c>
      <c r="BS14" s="117" t="s">
        <v>107</v>
      </c>
      <c r="BT14" s="117" t="s">
        <v>173</v>
      </c>
      <c r="BU14" s="128" t="s">
        <v>307</v>
      </c>
      <c r="BV14" s="128" t="s">
        <v>327</v>
      </c>
      <c r="BW14" s="128" t="s">
        <v>353</v>
      </c>
      <c r="BX14" s="128" t="s">
        <v>328</v>
      </c>
      <c r="BY14" s="126" t="s">
        <v>177</v>
      </c>
      <c r="BZ14" s="124" t="s">
        <v>91</v>
      </c>
      <c r="CA14" s="124" t="s">
        <v>329</v>
      </c>
      <c r="CB14" s="124" t="s">
        <v>104</v>
      </c>
      <c r="CC14" s="124" t="s">
        <v>217</v>
      </c>
      <c r="CD14" s="124" t="s">
        <v>330</v>
      </c>
      <c r="CE14" s="124" t="s">
        <v>105</v>
      </c>
      <c r="CF14" s="116" t="str">
        <f t="shared" si="2"/>
        <v>8.4</v>
      </c>
      <c r="CG14" s="116" t="str">
        <f t="shared" si="3"/>
        <v>0.2</v>
      </c>
      <c r="CH14" s="116" t="e">
        <f t="shared" si="4"/>
        <v>#VALUE!</v>
      </c>
      <c r="CI14" s="116" t="e">
        <f t="shared" si="5"/>
        <v>#VALUE!</v>
      </c>
      <c r="CJ14" s="116" t="e">
        <f t="shared" si="6"/>
        <v>#VALUE!</v>
      </c>
      <c r="CK14" s="116" t="e">
        <f t="shared" si="7"/>
        <v>#VALUE!</v>
      </c>
      <c r="CL14" s="116" t="str">
        <f t="shared" si="8"/>
        <v>1.6</v>
      </c>
      <c r="CM14" s="116" t="str">
        <f t="shared" si="9"/>
        <v>0.2</v>
      </c>
      <c r="CN14" s="116" t="e">
        <f t="shared" si="10"/>
        <v>#VALUE!</v>
      </c>
      <c r="CO14" s="116" t="e">
        <f t="shared" si="11"/>
        <v>#VALUE!</v>
      </c>
      <c r="CP14" s="116" t="e">
        <f t="shared" si="12"/>
        <v>#VALUE!</v>
      </c>
      <c r="CQ14" s="116" t="e">
        <f t="shared" si="13"/>
        <v>#VALUE!</v>
      </c>
      <c r="CR14" s="116" t="str">
        <f t="shared" si="14"/>
        <v>2.0</v>
      </c>
      <c r="CS14" s="116" t="str">
        <f t="shared" si="15"/>
        <v>0.2</v>
      </c>
      <c r="CT14" s="116" t="e">
        <f t="shared" si="16"/>
        <v>#VALUE!</v>
      </c>
      <c r="CU14" s="116" t="e">
        <f t="shared" si="17"/>
        <v>#VALUE!</v>
      </c>
      <c r="CV14" s="116" t="e">
        <f t="shared" si="18"/>
        <v>#VALUE!</v>
      </c>
      <c r="CW14" s="116" t="e">
        <f t="shared" si="19"/>
        <v>#VALUE!</v>
      </c>
      <c r="CX14" s="116" t="str">
        <f t="shared" si="20"/>
        <v>4.3</v>
      </c>
      <c r="CY14" s="116" t="str">
        <f t="shared" si="21"/>
        <v>0.2</v>
      </c>
      <c r="CZ14" s="116" t="e">
        <f t="shared" si="22"/>
        <v>#VALUE!</v>
      </c>
      <c r="DA14" s="116" t="e">
        <f t="shared" si="23"/>
        <v>#VALUE!</v>
      </c>
      <c r="DB14" s="116" t="e">
        <f t="shared" si="24"/>
        <v>#VALUE!</v>
      </c>
      <c r="DC14" s="116" t="e">
        <f t="shared" si="25"/>
        <v>#VALUE!</v>
      </c>
      <c r="DD14" s="127" t="s">
        <v>561</v>
      </c>
    </row>
    <row r="15" spans="1:108" s="127" customFormat="1">
      <c r="A15" s="116" t="str">
        <f t="shared" si="1"/>
        <v>8-1</v>
      </c>
      <c r="B15" s="117">
        <v>8</v>
      </c>
      <c r="C15" s="22" t="s">
        <v>116</v>
      </c>
      <c r="D15" s="21" t="s">
        <v>469</v>
      </c>
      <c r="E15" s="21" t="s">
        <v>331</v>
      </c>
      <c r="F15" s="21" t="s">
        <v>332</v>
      </c>
      <c r="G15" s="23">
        <v>1</v>
      </c>
      <c r="H15" s="118" t="s">
        <v>83</v>
      </c>
      <c r="I15" s="119" t="s">
        <v>122</v>
      </c>
      <c r="J15" s="118" t="str">
        <f t="shared" si="0"/>
        <v xml:space="preserve">Hose, Vacuum; Ø 8.73 mm × 17.46 mm; TSM1652G-7 </v>
      </c>
      <c r="K15" s="118" t="s">
        <v>93</v>
      </c>
      <c r="L15" s="118" t="s">
        <v>287</v>
      </c>
      <c r="M15" s="118" t="s">
        <v>16</v>
      </c>
      <c r="N15" s="121" t="s">
        <v>185</v>
      </c>
      <c r="O15" s="121" t="s">
        <v>333</v>
      </c>
      <c r="P15" s="121" t="s">
        <v>334</v>
      </c>
      <c r="Q15" s="122" t="s">
        <v>188</v>
      </c>
      <c r="R15" s="122" t="s">
        <v>188</v>
      </c>
      <c r="S15" s="122" t="s">
        <v>188</v>
      </c>
      <c r="T15" s="123" t="s">
        <v>189</v>
      </c>
      <c r="U15" s="124" t="s">
        <v>136</v>
      </c>
      <c r="V15" s="124" t="s">
        <v>137</v>
      </c>
      <c r="W15" s="124" t="s">
        <v>348</v>
      </c>
      <c r="X15" s="124" t="s">
        <v>191</v>
      </c>
      <c r="Y15" s="124" t="s">
        <v>289</v>
      </c>
      <c r="Z15" s="124" t="s">
        <v>96</v>
      </c>
      <c r="AA15" s="124" t="s">
        <v>193</v>
      </c>
      <c r="AB15" s="124" t="s">
        <v>113</v>
      </c>
      <c r="AC15" s="117" t="s">
        <v>145</v>
      </c>
      <c r="AD15" s="117" t="s">
        <v>432</v>
      </c>
      <c r="AE15" s="117" t="s">
        <v>145</v>
      </c>
      <c r="AF15" s="117" t="s">
        <v>432</v>
      </c>
      <c r="AG15" s="117" t="s">
        <v>146</v>
      </c>
      <c r="AH15" s="117" t="s">
        <v>432</v>
      </c>
      <c r="AI15" s="124" t="s">
        <v>86</v>
      </c>
      <c r="AJ15" s="124" t="s">
        <v>80</v>
      </c>
      <c r="AK15" s="124" t="s">
        <v>82</v>
      </c>
      <c r="AL15" s="124" t="s">
        <v>82</v>
      </c>
      <c r="AM15" s="124" t="s">
        <v>82</v>
      </c>
      <c r="AN15" s="124" t="s">
        <v>5</v>
      </c>
      <c r="AO15" s="124" t="s">
        <v>89</v>
      </c>
      <c r="AP15" s="124" t="s">
        <v>90</v>
      </c>
      <c r="AQ15" s="124" t="s">
        <v>90</v>
      </c>
      <c r="AR15" s="124" t="s">
        <v>82</v>
      </c>
      <c r="AS15" s="124" t="s">
        <v>86</v>
      </c>
      <c r="AT15" s="124" t="s">
        <v>80</v>
      </c>
      <c r="AU15" s="124" t="s">
        <v>81</v>
      </c>
      <c r="AV15" s="124" t="s">
        <v>5</v>
      </c>
      <c r="AW15" s="124" t="s">
        <v>82</v>
      </c>
      <c r="AX15" s="117" t="s">
        <v>335</v>
      </c>
      <c r="AY15" s="117" t="s">
        <v>336</v>
      </c>
      <c r="AZ15" s="117" t="s">
        <v>337</v>
      </c>
      <c r="BA15" s="117" t="s">
        <v>295</v>
      </c>
      <c r="BB15" s="117" t="s">
        <v>231</v>
      </c>
      <c r="BC15" s="117" t="s">
        <v>155</v>
      </c>
      <c r="BD15" s="117" t="s">
        <v>338</v>
      </c>
      <c r="BE15" s="117" t="s">
        <v>339</v>
      </c>
      <c r="BF15" s="117" t="s">
        <v>340</v>
      </c>
      <c r="BG15" s="117" t="s">
        <v>341</v>
      </c>
      <c r="BH15" s="117" t="s">
        <v>342</v>
      </c>
      <c r="BI15" s="117" t="s">
        <v>302</v>
      </c>
      <c r="BJ15" s="117" t="s">
        <v>303</v>
      </c>
      <c r="BK15" s="117" t="s">
        <v>304</v>
      </c>
      <c r="BL15" s="117">
        <v>65</v>
      </c>
      <c r="BM15" s="117" t="s">
        <v>81</v>
      </c>
      <c r="BN15" s="124" t="s">
        <v>305</v>
      </c>
      <c r="BO15" s="124" t="s">
        <v>343</v>
      </c>
      <c r="BP15" s="124">
        <v>0.5</v>
      </c>
      <c r="BQ15" s="117" t="s">
        <v>178</v>
      </c>
      <c r="BR15" s="117" t="s">
        <v>344</v>
      </c>
      <c r="BS15" s="117" t="s">
        <v>85</v>
      </c>
      <c r="BT15" s="117" t="s">
        <v>173</v>
      </c>
      <c r="BU15" s="128" t="s">
        <v>307</v>
      </c>
      <c r="BV15" s="128" t="s">
        <v>100</v>
      </c>
      <c r="BW15" s="128" t="s">
        <v>100</v>
      </c>
      <c r="BX15" s="128" t="s">
        <v>88</v>
      </c>
      <c r="BY15" s="126" t="s">
        <v>177</v>
      </c>
      <c r="BZ15" s="124" t="s">
        <v>345</v>
      </c>
      <c r="CA15" s="124" t="s">
        <v>211</v>
      </c>
      <c r="CB15" s="124" t="s">
        <v>104</v>
      </c>
      <c r="CC15" s="124" t="s">
        <v>217</v>
      </c>
      <c r="CD15" s="124" t="s">
        <v>87</v>
      </c>
      <c r="CE15" s="124" t="s">
        <v>105</v>
      </c>
      <c r="CF15" s="116" t="str">
        <f t="shared" si="2"/>
        <v>8.1</v>
      </c>
      <c r="CG15" s="116" t="str">
        <f t="shared" si="3"/>
        <v>0.2</v>
      </c>
      <c r="CH15" s="116" t="e">
        <f t="shared" si="4"/>
        <v>#VALUE!</v>
      </c>
      <c r="CI15" s="116" t="e">
        <f t="shared" si="5"/>
        <v>#VALUE!</v>
      </c>
      <c r="CJ15" s="116" t="e">
        <f t="shared" si="6"/>
        <v>#VALUE!</v>
      </c>
      <c r="CK15" s="116" t="e">
        <f t="shared" si="7"/>
        <v>#VALUE!</v>
      </c>
      <c r="CL15" s="116" t="str">
        <f t="shared" si="8"/>
        <v>1.6</v>
      </c>
      <c r="CM15" s="116" t="str">
        <f t="shared" si="9"/>
        <v>0.2</v>
      </c>
      <c r="CN15" s="116" t="e">
        <f t="shared" si="10"/>
        <v>#VALUE!</v>
      </c>
      <c r="CO15" s="116" t="e">
        <f t="shared" si="11"/>
        <v>#VALUE!</v>
      </c>
      <c r="CP15" s="116" t="e">
        <f t="shared" si="12"/>
        <v>#VALUE!</v>
      </c>
      <c r="CQ15" s="116" t="e">
        <f t="shared" si="13"/>
        <v>#VALUE!</v>
      </c>
      <c r="CR15" s="116" t="str">
        <f t="shared" si="14"/>
        <v>2.0</v>
      </c>
      <c r="CS15" s="116" t="str">
        <f t="shared" si="15"/>
        <v>0.2</v>
      </c>
      <c r="CT15" s="116" t="e">
        <f t="shared" si="16"/>
        <v>#VALUE!</v>
      </c>
      <c r="CU15" s="116" t="e">
        <f t="shared" si="17"/>
        <v>#VALUE!</v>
      </c>
      <c r="CV15" s="116" t="e">
        <f t="shared" si="18"/>
        <v>#VALUE!</v>
      </c>
      <c r="CW15" s="116" t="e">
        <f t="shared" si="19"/>
        <v>#VALUE!</v>
      </c>
      <c r="CX15" s="116" t="str">
        <f t="shared" si="20"/>
        <v>4.0</v>
      </c>
      <c r="CY15" s="116" t="str">
        <f t="shared" si="21"/>
        <v>0.2</v>
      </c>
      <c r="CZ15" s="116" t="e">
        <f t="shared" si="22"/>
        <v>#VALUE!</v>
      </c>
      <c r="DA15" s="116" t="e">
        <f t="shared" si="23"/>
        <v>#VALUE!</v>
      </c>
      <c r="DB15" s="116" t="e">
        <f t="shared" si="24"/>
        <v>#VALUE!</v>
      </c>
      <c r="DC15" s="116" t="e">
        <f t="shared" si="25"/>
        <v>#VALUE!</v>
      </c>
      <c r="DD15" s="127" t="s">
        <v>562</v>
      </c>
    </row>
    <row r="16" spans="1:108" s="127" customFormat="1">
      <c r="A16" s="116" t="str">
        <f t="shared" si="1"/>
        <v>9-1</v>
      </c>
      <c r="B16" s="117">
        <v>9</v>
      </c>
      <c r="C16" s="22" t="s">
        <v>116</v>
      </c>
      <c r="D16" s="21" t="s">
        <v>470</v>
      </c>
      <c r="E16" s="21" t="s">
        <v>346</v>
      </c>
      <c r="F16" s="21" t="s">
        <v>347</v>
      </c>
      <c r="G16" s="23">
        <v>1</v>
      </c>
      <c r="H16" s="118" t="s">
        <v>92</v>
      </c>
      <c r="I16" s="119" t="s">
        <v>122</v>
      </c>
      <c r="J16" s="118" t="str">
        <f t="shared" si="0"/>
        <v xml:space="preserve">Hose, Vacuum; Ø 8.73 mm × 17.46 mm; TSM1652G-7 </v>
      </c>
      <c r="K16" s="118" t="s">
        <v>93</v>
      </c>
      <c r="L16" s="118" t="s">
        <v>287</v>
      </c>
      <c r="M16" s="118" t="s">
        <v>16</v>
      </c>
      <c r="N16" s="121" t="s">
        <v>313</v>
      </c>
      <c r="O16" s="121" t="s">
        <v>314</v>
      </c>
      <c r="P16" s="121" t="s">
        <v>315</v>
      </c>
      <c r="Q16" s="122" t="s">
        <v>188</v>
      </c>
      <c r="R16" s="122" t="s">
        <v>188</v>
      </c>
      <c r="S16" s="122" t="s">
        <v>188</v>
      </c>
      <c r="T16" s="123" t="s">
        <v>189</v>
      </c>
      <c r="U16" s="124" t="s">
        <v>136</v>
      </c>
      <c r="V16" s="124" t="s">
        <v>137</v>
      </c>
      <c r="W16" s="124" t="s">
        <v>348</v>
      </c>
      <c r="X16" s="124" t="s">
        <v>316</v>
      </c>
      <c r="Y16" s="124" t="s">
        <v>289</v>
      </c>
      <c r="Z16" s="124" t="s">
        <v>96</v>
      </c>
      <c r="AA16" s="124" t="s">
        <v>290</v>
      </c>
      <c r="AB16" s="124" t="s">
        <v>291</v>
      </c>
      <c r="AC16" s="117" t="s">
        <v>145</v>
      </c>
      <c r="AD16" s="117" t="s">
        <v>432</v>
      </c>
      <c r="AE16" s="117" t="s">
        <v>145</v>
      </c>
      <c r="AF16" s="117" t="s">
        <v>432</v>
      </c>
      <c r="AG16" s="117" t="s">
        <v>146</v>
      </c>
      <c r="AH16" s="117" t="s">
        <v>432</v>
      </c>
      <c r="AI16" s="124" t="s">
        <v>86</v>
      </c>
      <c r="AJ16" s="124" t="s">
        <v>80</v>
      </c>
      <c r="AK16" s="124" t="s">
        <v>82</v>
      </c>
      <c r="AL16" s="124" t="s">
        <v>82</v>
      </c>
      <c r="AM16" s="124" t="s">
        <v>82</v>
      </c>
      <c r="AN16" s="124" t="s">
        <v>5</v>
      </c>
      <c r="AO16" s="124" t="s">
        <v>80</v>
      </c>
      <c r="AP16" s="124" t="s">
        <v>82</v>
      </c>
      <c r="AQ16" s="124" t="s">
        <v>82</v>
      </c>
      <c r="AR16" s="124" t="s">
        <v>82</v>
      </c>
      <c r="AS16" s="124" t="s">
        <v>86</v>
      </c>
      <c r="AT16" s="124" t="s">
        <v>80</v>
      </c>
      <c r="AU16" s="124" t="s">
        <v>82</v>
      </c>
      <c r="AV16" s="124" t="s">
        <v>5</v>
      </c>
      <c r="AW16" s="124" t="s">
        <v>194</v>
      </c>
      <c r="AX16" s="117" t="s">
        <v>317</v>
      </c>
      <c r="AY16" s="117" t="s">
        <v>293</v>
      </c>
      <c r="AZ16" s="117" t="s">
        <v>318</v>
      </c>
      <c r="BA16" s="117" t="s">
        <v>319</v>
      </c>
      <c r="BB16" s="117" t="s">
        <v>154</v>
      </c>
      <c r="BC16" s="117" t="s">
        <v>155</v>
      </c>
      <c r="BD16" s="117" t="s">
        <v>320</v>
      </c>
      <c r="BE16" s="117" t="s">
        <v>321</v>
      </c>
      <c r="BF16" s="117" t="s">
        <v>322</v>
      </c>
      <c r="BG16" s="117" t="s">
        <v>300</v>
      </c>
      <c r="BH16" s="117" t="s">
        <v>301</v>
      </c>
      <c r="BI16" s="117" t="s">
        <v>302</v>
      </c>
      <c r="BJ16" s="117" t="s">
        <v>323</v>
      </c>
      <c r="BK16" s="117" t="s">
        <v>324</v>
      </c>
      <c r="BL16" s="117">
        <v>65</v>
      </c>
      <c r="BM16" s="117" t="s">
        <v>81</v>
      </c>
      <c r="BN16" s="124" t="s">
        <v>325</v>
      </c>
      <c r="BO16" s="124" t="s">
        <v>100</v>
      </c>
      <c r="BP16" s="124">
        <v>0.5</v>
      </c>
      <c r="BQ16" s="117" t="s">
        <v>178</v>
      </c>
      <c r="BR16" s="117" t="s">
        <v>349</v>
      </c>
      <c r="BS16" s="117" t="s">
        <v>85</v>
      </c>
      <c r="BT16" s="117" t="s">
        <v>173</v>
      </c>
      <c r="BU16" s="128" t="s">
        <v>307</v>
      </c>
      <c r="BV16" s="128" t="s">
        <v>327</v>
      </c>
      <c r="BW16" s="128" t="s">
        <v>353</v>
      </c>
      <c r="BX16" s="128" t="s">
        <v>328</v>
      </c>
      <c r="BY16" s="126" t="s">
        <v>177</v>
      </c>
      <c r="BZ16" s="124" t="s">
        <v>91</v>
      </c>
      <c r="CA16" s="124" t="s">
        <v>329</v>
      </c>
      <c r="CB16" s="124" t="s">
        <v>104</v>
      </c>
      <c r="CC16" s="124" t="s">
        <v>217</v>
      </c>
      <c r="CD16" s="124" t="s">
        <v>330</v>
      </c>
      <c r="CE16" s="124" t="s">
        <v>105</v>
      </c>
      <c r="CF16" s="116" t="str">
        <f t="shared" si="2"/>
        <v>8.4</v>
      </c>
      <c r="CG16" s="116" t="str">
        <f t="shared" si="3"/>
        <v>0.2</v>
      </c>
      <c r="CH16" s="116" t="e">
        <f t="shared" si="4"/>
        <v>#VALUE!</v>
      </c>
      <c r="CI16" s="116" t="e">
        <f t="shared" si="5"/>
        <v>#VALUE!</v>
      </c>
      <c r="CJ16" s="116" t="e">
        <f t="shared" si="6"/>
        <v>#VALUE!</v>
      </c>
      <c r="CK16" s="116" t="e">
        <f t="shared" si="7"/>
        <v>#VALUE!</v>
      </c>
      <c r="CL16" s="116" t="str">
        <f t="shared" si="8"/>
        <v>1.6</v>
      </c>
      <c r="CM16" s="116" t="str">
        <f t="shared" si="9"/>
        <v>0.2</v>
      </c>
      <c r="CN16" s="116" t="e">
        <f t="shared" si="10"/>
        <v>#VALUE!</v>
      </c>
      <c r="CO16" s="116" t="e">
        <f t="shared" si="11"/>
        <v>#VALUE!</v>
      </c>
      <c r="CP16" s="116" t="e">
        <f t="shared" si="12"/>
        <v>#VALUE!</v>
      </c>
      <c r="CQ16" s="116" t="e">
        <f t="shared" si="13"/>
        <v>#VALUE!</v>
      </c>
      <c r="CR16" s="116" t="str">
        <f t="shared" si="14"/>
        <v>2.0</v>
      </c>
      <c r="CS16" s="116" t="str">
        <f t="shared" si="15"/>
        <v>0.2</v>
      </c>
      <c r="CT16" s="116" t="e">
        <f t="shared" si="16"/>
        <v>#VALUE!</v>
      </c>
      <c r="CU16" s="116" t="e">
        <f t="shared" si="17"/>
        <v>#VALUE!</v>
      </c>
      <c r="CV16" s="116" t="e">
        <f t="shared" si="18"/>
        <v>#VALUE!</v>
      </c>
      <c r="CW16" s="116" t="e">
        <f t="shared" si="19"/>
        <v>#VALUE!</v>
      </c>
      <c r="CX16" s="116" t="str">
        <f t="shared" si="20"/>
        <v>4.3</v>
      </c>
      <c r="CY16" s="116" t="str">
        <f t="shared" si="21"/>
        <v>0.2</v>
      </c>
      <c r="CZ16" s="116" t="e">
        <f t="shared" si="22"/>
        <v>#VALUE!</v>
      </c>
      <c r="DA16" s="116" t="e">
        <f t="shared" si="23"/>
        <v>#VALUE!</v>
      </c>
      <c r="DB16" s="116" t="e">
        <f t="shared" si="24"/>
        <v>#VALUE!</v>
      </c>
      <c r="DC16" s="116" t="e">
        <f t="shared" si="25"/>
        <v>#VALUE!</v>
      </c>
      <c r="DD16" s="127" t="s">
        <v>563</v>
      </c>
    </row>
    <row r="17" spans="1:108" s="30" customFormat="1">
      <c r="A17" s="20" t="str">
        <f t="shared" si="1"/>
        <v>10-1</v>
      </c>
      <c r="B17" s="21">
        <v>10</v>
      </c>
      <c r="C17" s="22" t="s">
        <v>116</v>
      </c>
      <c r="D17" s="21" t="s">
        <v>471</v>
      </c>
      <c r="E17" s="21" t="s">
        <v>355</v>
      </c>
      <c r="F17" s="21" t="s">
        <v>356</v>
      </c>
      <c r="G17" s="23">
        <v>1</v>
      </c>
      <c r="H17" s="24" t="s">
        <v>83</v>
      </c>
      <c r="I17" s="25" t="s">
        <v>122</v>
      </c>
      <c r="J17" s="24" t="str">
        <f t="shared" si="0"/>
        <v xml:space="preserve">Hose, Fuel; Ø 9.5 mm × 16.5 mm; TSM1644G-7 </v>
      </c>
      <c r="K17" s="24" t="s">
        <v>75</v>
      </c>
      <c r="L17" s="24" t="s">
        <v>357</v>
      </c>
      <c r="M17" s="24" t="s">
        <v>22</v>
      </c>
      <c r="N17" s="22" t="s">
        <v>126</v>
      </c>
      <c r="O17" s="22" t="s">
        <v>127</v>
      </c>
      <c r="P17" s="22" t="s">
        <v>128</v>
      </c>
      <c r="Q17" s="26" t="s">
        <v>188</v>
      </c>
      <c r="R17" s="26" t="s">
        <v>188</v>
      </c>
      <c r="S17" s="26" t="s">
        <v>188</v>
      </c>
      <c r="T17" s="52" t="s">
        <v>434</v>
      </c>
      <c r="U17" s="28" t="s">
        <v>136</v>
      </c>
      <c r="V17" s="28" t="s">
        <v>137</v>
      </c>
      <c r="W17" s="28" t="s">
        <v>190</v>
      </c>
      <c r="X17" s="28" t="s">
        <v>276</v>
      </c>
      <c r="Y17" s="28" t="s">
        <v>358</v>
      </c>
      <c r="Z17" s="28" t="s">
        <v>98</v>
      </c>
      <c r="AA17" s="28" t="s">
        <v>350</v>
      </c>
      <c r="AB17" s="28" t="s">
        <v>113</v>
      </c>
      <c r="AC17" s="21" t="s">
        <v>145</v>
      </c>
      <c r="AD17" s="21" t="s">
        <v>432</v>
      </c>
      <c r="AE17" s="21" t="s">
        <v>145</v>
      </c>
      <c r="AF17" s="21" t="s">
        <v>432</v>
      </c>
      <c r="AG17" s="21" t="s">
        <v>146</v>
      </c>
      <c r="AH17" s="21" t="s">
        <v>432</v>
      </c>
      <c r="AI17" s="28" t="s">
        <v>148</v>
      </c>
      <c r="AJ17" s="28" t="s">
        <v>86</v>
      </c>
      <c r="AK17" s="28" t="s">
        <v>80</v>
      </c>
      <c r="AL17" s="28" t="s">
        <v>82</v>
      </c>
      <c r="AM17" s="28" t="s">
        <v>82</v>
      </c>
      <c r="AN17" s="28" t="s">
        <v>5</v>
      </c>
      <c r="AO17" s="28" t="s">
        <v>86</v>
      </c>
      <c r="AP17" s="28" t="s">
        <v>86</v>
      </c>
      <c r="AQ17" s="28" t="s">
        <v>80</v>
      </c>
      <c r="AR17" s="28" t="s">
        <v>82</v>
      </c>
      <c r="AS17" s="28" t="s">
        <v>148</v>
      </c>
      <c r="AT17" s="28" t="s">
        <v>86</v>
      </c>
      <c r="AU17" s="28" t="s">
        <v>80</v>
      </c>
      <c r="AV17" s="28" t="s">
        <v>5</v>
      </c>
      <c r="AW17" s="28" t="s">
        <v>82</v>
      </c>
      <c r="AX17" s="21" t="s">
        <v>359</v>
      </c>
      <c r="AY17" s="21" t="s">
        <v>150</v>
      </c>
      <c r="AZ17" s="21" t="s">
        <v>360</v>
      </c>
      <c r="BA17" s="21" t="s">
        <v>197</v>
      </c>
      <c r="BB17" s="21" t="s">
        <v>198</v>
      </c>
      <c r="BC17" s="21" t="s">
        <v>199</v>
      </c>
      <c r="BD17" s="21" t="s">
        <v>361</v>
      </c>
      <c r="BE17" s="21" t="s">
        <v>362</v>
      </c>
      <c r="BF17" s="21" t="s">
        <v>363</v>
      </c>
      <c r="BG17" s="21" t="s">
        <v>203</v>
      </c>
      <c r="BH17" s="21" t="s">
        <v>160</v>
      </c>
      <c r="BI17" s="21" t="s">
        <v>161</v>
      </c>
      <c r="BJ17" s="21" t="s">
        <v>364</v>
      </c>
      <c r="BK17" s="21" t="s">
        <v>365</v>
      </c>
      <c r="BL17" s="21">
        <v>45</v>
      </c>
      <c r="BM17" s="21" t="s">
        <v>439</v>
      </c>
      <c r="BN17" s="28" t="s">
        <v>366</v>
      </c>
      <c r="BO17" s="28" t="s">
        <v>212</v>
      </c>
      <c r="BP17" s="28">
        <v>0.5</v>
      </c>
      <c r="BQ17" s="21" t="s">
        <v>178</v>
      </c>
      <c r="BR17" s="21" t="s">
        <v>367</v>
      </c>
      <c r="BS17" s="21" t="s">
        <v>107</v>
      </c>
      <c r="BT17" s="21" t="s">
        <v>173</v>
      </c>
      <c r="BU17" s="29" t="s">
        <v>323</v>
      </c>
      <c r="BV17" s="29" t="s">
        <v>108</v>
      </c>
      <c r="BW17" s="29" t="s">
        <v>108</v>
      </c>
      <c r="BX17" s="29" t="s">
        <v>259</v>
      </c>
      <c r="BY17" s="57" t="s">
        <v>177</v>
      </c>
      <c r="BZ17" s="28" t="s">
        <v>368</v>
      </c>
      <c r="CA17" s="28" t="s">
        <v>329</v>
      </c>
      <c r="CB17" s="28" t="s">
        <v>263</v>
      </c>
      <c r="CC17" s="28" t="s">
        <v>217</v>
      </c>
      <c r="CD17" s="28" t="s">
        <v>244</v>
      </c>
      <c r="CE17" s="28" t="s">
        <v>105</v>
      </c>
      <c r="CF17" s="20" t="str">
        <f t="shared" si="2"/>
        <v>9.6</v>
      </c>
      <c r="CG17" s="20" t="str">
        <f t="shared" si="3"/>
        <v>0.2</v>
      </c>
      <c r="CH17" s="20" t="e">
        <f t="shared" si="4"/>
        <v>#VALUE!</v>
      </c>
      <c r="CI17" s="20" t="e">
        <f t="shared" si="5"/>
        <v>#VALUE!</v>
      </c>
      <c r="CJ17" s="20" t="e">
        <f t="shared" si="6"/>
        <v>#VALUE!</v>
      </c>
      <c r="CK17" s="20" t="e">
        <f t="shared" si="7"/>
        <v>#VALUE!</v>
      </c>
      <c r="CL17" s="20" t="str">
        <f t="shared" si="8"/>
        <v>1.0</v>
      </c>
      <c r="CM17" s="20" t="str">
        <f t="shared" si="9"/>
        <v>0.2</v>
      </c>
      <c r="CN17" s="20" t="e">
        <f t="shared" si="10"/>
        <v>#VALUE!</v>
      </c>
      <c r="CO17" s="20" t="e">
        <f t="shared" si="11"/>
        <v>#VALUE!</v>
      </c>
      <c r="CP17" s="20" t="e">
        <f t="shared" si="12"/>
        <v>#VALUE!</v>
      </c>
      <c r="CQ17" s="20" t="e">
        <f t="shared" si="13"/>
        <v>#VALUE!</v>
      </c>
      <c r="CR17" s="20" t="str">
        <f t="shared" si="14"/>
        <v>2.0</v>
      </c>
      <c r="CS17" s="20" t="str">
        <f t="shared" si="15"/>
        <v>0.2</v>
      </c>
      <c r="CT17" s="20" t="e">
        <f t="shared" si="16"/>
        <v>#VALUE!</v>
      </c>
      <c r="CU17" s="20" t="e">
        <f t="shared" si="17"/>
        <v>#VALUE!</v>
      </c>
      <c r="CV17" s="20" t="e">
        <f t="shared" si="18"/>
        <v>#VALUE!</v>
      </c>
      <c r="CW17" s="20" t="e">
        <f t="shared" si="19"/>
        <v>#VALUE!</v>
      </c>
      <c r="CX17" s="20" t="str">
        <f t="shared" si="20"/>
        <v>3.4</v>
      </c>
      <c r="CY17" s="20" t="str">
        <f t="shared" si="21"/>
        <v>0.2</v>
      </c>
      <c r="CZ17" s="20" t="e">
        <f t="shared" si="22"/>
        <v>#VALUE!</v>
      </c>
      <c r="DA17" s="20" t="e">
        <f t="shared" si="23"/>
        <v>#VALUE!</v>
      </c>
      <c r="DB17" s="20" t="e">
        <f t="shared" si="24"/>
        <v>#VALUE!</v>
      </c>
      <c r="DC17" s="20" t="e">
        <f t="shared" si="25"/>
        <v>#VALUE!</v>
      </c>
      <c r="DD17" s="30" t="s">
        <v>558</v>
      </c>
    </row>
    <row r="18" spans="1:108" s="127" customFormat="1">
      <c r="A18" s="116" t="str">
        <f t="shared" si="1"/>
        <v>11-1</v>
      </c>
      <c r="B18" s="117">
        <v>11</v>
      </c>
      <c r="C18" s="22" t="s">
        <v>116</v>
      </c>
      <c r="D18" s="21" t="s">
        <v>472</v>
      </c>
      <c r="E18" s="21" t="s">
        <v>369</v>
      </c>
      <c r="F18" s="21" t="s">
        <v>370</v>
      </c>
      <c r="G18" s="23">
        <v>1</v>
      </c>
      <c r="H18" s="118" t="s">
        <v>92</v>
      </c>
      <c r="I18" s="119" t="s">
        <v>122</v>
      </c>
      <c r="J18" s="118" t="str">
        <f t="shared" si="0"/>
        <v xml:space="preserve">Hose, Fuel; Ø 9.5 mm × 16.8 mm; TSM1644G-7 </v>
      </c>
      <c r="K18" s="118" t="s">
        <v>75</v>
      </c>
      <c r="L18" s="118" t="s">
        <v>371</v>
      </c>
      <c r="M18" s="118" t="s">
        <v>22</v>
      </c>
      <c r="N18" s="121" t="s">
        <v>264</v>
      </c>
      <c r="O18" s="121" t="s">
        <v>264</v>
      </c>
      <c r="P18" s="121" t="s">
        <v>265</v>
      </c>
      <c r="Q18" s="122" t="s">
        <v>188</v>
      </c>
      <c r="R18" s="122" t="s">
        <v>188</v>
      </c>
      <c r="S18" s="122" t="s">
        <v>188</v>
      </c>
      <c r="T18" s="123" t="s">
        <v>189</v>
      </c>
      <c r="U18" s="124" t="s">
        <v>136</v>
      </c>
      <c r="V18" s="124" t="s">
        <v>137</v>
      </c>
      <c r="W18" s="124" t="s">
        <v>372</v>
      </c>
      <c r="X18" s="124" t="s">
        <v>276</v>
      </c>
      <c r="Y18" s="124" t="s">
        <v>373</v>
      </c>
      <c r="Z18" s="124" t="s">
        <v>111</v>
      </c>
      <c r="AA18" s="124" t="s">
        <v>350</v>
      </c>
      <c r="AB18" s="124" t="s">
        <v>113</v>
      </c>
      <c r="AC18" s="117" t="s">
        <v>145</v>
      </c>
      <c r="AD18" s="117" t="s">
        <v>432</v>
      </c>
      <c r="AE18" s="117" t="s">
        <v>145</v>
      </c>
      <c r="AF18" s="117" t="s">
        <v>432</v>
      </c>
      <c r="AG18" s="117" t="s">
        <v>146</v>
      </c>
      <c r="AH18" s="117" t="s">
        <v>432</v>
      </c>
      <c r="AI18" s="124" t="s">
        <v>86</v>
      </c>
      <c r="AJ18" s="124" t="s">
        <v>80</v>
      </c>
      <c r="AK18" s="124" t="s">
        <v>82</v>
      </c>
      <c r="AL18" s="124" t="s">
        <v>82</v>
      </c>
      <c r="AM18" s="124" t="s">
        <v>82</v>
      </c>
      <c r="AN18" s="124" t="s">
        <v>5</v>
      </c>
      <c r="AO18" s="124" t="s">
        <v>80</v>
      </c>
      <c r="AP18" s="124" t="s">
        <v>82</v>
      </c>
      <c r="AQ18" s="124" t="s">
        <v>82</v>
      </c>
      <c r="AR18" s="124" t="s">
        <v>82</v>
      </c>
      <c r="AS18" s="124" t="s">
        <v>89</v>
      </c>
      <c r="AT18" s="124" t="s">
        <v>80</v>
      </c>
      <c r="AU18" s="124" t="s">
        <v>82</v>
      </c>
      <c r="AV18" s="124" t="s">
        <v>5</v>
      </c>
      <c r="AW18" s="124" t="s">
        <v>194</v>
      </c>
      <c r="AX18" s="117" t="s">
        <v>195</v>
      </c>
      <c r="AY18" s="117" t="s">
        <v>150</v>
      </c>
      <c r="AZ18" s="117" t="s">
        <v>196</v>
      </c>
      <c r="BA18" s="117" t="s">
        <v>197</v>
      </c>
      <c r="BB18" s="117" t="s">
        <v>198</v>
      </c>
      <c r="BC18" s="117" t="s">
        <v>199</v>
      </c>
      <c r="BD18" s="117" t="s">
        <v>200</v>
      </c>
      <c r="BE18" s="117" t="s">
        <v>201</v>
      </c>
      <c r="BF18" s="117" t="s">
        <v>202</v>
      </c>
      <c r="BG18" s="117" t="s">
        <v>203</v>
      </c>
      <c r="BH18" s="117" t="s">
        <v>160</v>
      </c>
      <c r="BI18" s="117" t="s">
        <v>161</v>
      </c>
      <c r="BJ18" s="117" t="s">
        <v>204</v>
      </c>
      <c r="BK18" s="117" t="s">
        <v>205</v>
      </c>
      <c r="BL18" s="117">
        <v>45</v>
      </c>
      <c r="BM18" s="117" t="s">
        <v>439</v>
      </c>
      <c r="BN18" s="124" t="s">
        <v>374</v>
      </c>
      <c r="BO18" s="124" t="s">
        <v>114</v>
      </c>
      <c r="BP18" s="124">
        <v>0.5</v>
      </c>
      <c r="BQ18" s="117" t="s">
        <v>178</v>
      </c>
      <c r="BR18" s="117" t="s">
        <v>375</v>
      </c>
      <c r="BS18" s="117" t="s">
        <v>54</v>
      </c>
      <c r="BT18" s="117" t="s">
        <v>173</v>
      </c>
      <c r="BU18" s="128" t="s">
        <v>376</v>
      </c>
      <c r="BV18" s="128" t="s">
        <v>377</v>
      </c>
      <c r="BW18" s="128" t="s">
        <v>99</v>
      </c>
      <c r="BX18" s="128" t="s">
        <v>97</v>
      </c>
      <c r="BY18" s="126" t="s">
        <v>177</v>
      </c>
      <c r="BZ18" s="124" t="s">
        <v>421</v>
      </c>
      <c r="CA18" s="124" t="s">
        <v>420</v>
      </c>
      <c r="CB18" s="124" t="s">
        <v>263</v>
      </c>
      <c r="CC18" s="124" t="s">
        <v>217</v>
      </c>
      <c r="CD18" s="124" t="s">
        <v>378</v>
      </c>
      <c r="CE18" s="124" t="s">
        <v>105</v>
      </c>
      <c r="CF18" s="116" t="str">
        <f t="shared" si="2"/>
        <v>9.4</v>
      </c>
      <c r="CG18" s="116" t="str">
        <f t="shared" si="3"/>
        <v>0.2</v>
      </c>
      <c r="CH18" s="116" t="e">
        <f t="shared" si="4"/>
        <v>#VALUE!</v>
      </c>
      <c r="CI18" s="116" t="e">
        <f t="shared" si="5"/>
        <v>#VALUE!</v>
      </c>
      <c r="CJ18" s="116" t="e">
        <f t="shared" si="6"/>
        <v>#VALUE!</v>
      </c>
      <c r="CK18" s="116" t="e">
        <f t="shared" si="7"/>
        <v>#VALUE!</v>
      </c>
      <c r="CL18" s="116" t="str">
        <f t="shared" si="8"/>
        <v>1.0</v>
      </c>
      <c r="CM18" s="116" t="str">
        <f t="shared" si="9"/>
        <v>0.2</v>
      </c>
      <c r="CN18" s="116" t="e">
        <f t="shared" si="10"/>
        <v>#VALUE!</v>
      </c>
      <c r="CO18" s="116" t="e">
        <f t="shared" si="11"/>
        <v>#VALUE!</v>
      </c>
      <c r="CP18" s="116" t="e">
        <f t="shared" si="12"/>
        <v>#VALUE!</v>
      </c>
      <c r="CQ18" s="116" t="e">
        <f t="shared" si="13"/>
        <v>#VALUE!</v>
      </c>
      <c r="CR18" s="116" t="str">
        <f t="shared" si="14"/>
        <v>2.0</v>
      </c>
      <c r="CS18" s="116" t="str">
        <f t="shared" si="15"/>
        <v>0.2</v>
      </c>
      <c r="CT18" s="116" t="e">
        <f t="shared" si="16"/>
        <v>#VALUE!</v>
      </c>
      <c r="CU18" s="116" t="e">
        <f t="shared" si="17"/>
        <v>#VALUE!</v>
      </c>
      <c r="CV18" s="116" t="e">
        <f t="shared" si="18"/>
        <v>#VALUE!</v>
      </c>
      <c r="CW18" s="116" t="e">
        <f t="shared" si="19"/>
        <v>#VALUE!</v>
      </c>
      <c r="CX18" s="116" t="str">
        <f t="shared" si="20"/>
        <v>3.6</v>
      </c>
      <c r="CY18" s="116" t="str">
        <f t="shared" si="21"/>
        <v>0.2</v>
      </c>
      <c r="CZ18" s="116" t="e">
        <f t="shared" si="22"/>
        <v>#VALUE!</v>
      </c>
      <c r="DA18" s="116" t="e">
        <f t="shared" si="23"/>
        <v>#VALUE!</v>
      </c>
      <c r="DB18" s="116" t="e">
        <f t="shared" si="24"/>
        <v>#VALUE!</v>
      </c>
      <c r="DC18" s="116" t="e">
        <f t="shared" si="25"/>
        <v>#VALUE!</v>
      </c>
      <c r="DD18" s="127" t="s">
        <v>559</v>
      </c>
    </row>
    <row r="19" spans="1:108" s="127" customFormat="1">
      <c r="A19" s="116" t="str">
        <f t="shared" si="1"/>
        <v>12-0</v>
      </c>
      <c r="B19" s="117">
        <v>12</v>
      </c>
      <c r="C19" s="22" t="s">
        <v>116</v>
      </c>
      <c r="D19" s="21" t="s">
        <v>473</v>
      </c>
      <c r="E19" s="21" t="s">
        <v>455</v>
      </c>
      <c r="F19" s="21" t="s">
        <v>457</v>
      </c>
      <c r="G19" s="23">
        <v>0</v>
      </c>
      <c r="H19" s="118" t="s">
        <v>379</v>
      </c>
      <c r="I19" s="119" t="s">
        <v>380</v>
      </c>
      <c r="J19" s="118" t="str">
        <f t="shared" si="0"/>
        <v xml:space="preserve">Hose, Fuel; Ø 5.8 mm × 12.2 mm; ISA-A-021Y </v>
      </c>
      <c r="K19" s="118" t="s">
        <v>75</v>
      </c>
      <c r="L19" s="118" t="s">
        <v>119</v>
      </c>
      <c r="M19" s="118" t="s">
        <v>267</v>
      </c>
      <c r="N19" s="121" t="s">
        <v>268</v>
      </c>
      <c r="O19" s="121" t="s">
        <v>269</v>
      </c>
      <c r="P19" s="121" t="s">
        <v>269</v>
      </c>
      <c r="Q19" s="122" t="s">
        <v>188</v>
      </c>
      <c r="R19" s="122" t="s">
        <v>188</v>
      </c>
      <c r="S19" s="122" t="s">
        <v>188</v>
      </c>
      <c r="T19" s="123" t="s">
        <v>433</v>
      </c>
      <c r="U19" s="124" t="s">
        <v>136</v>
      </c>
      <c r="V19" s="124" t="s">
        <v>137</v>
      </c>
      <c r="W19" s="124" t="s">
        <v>352</v>
      </c>
      <c r="X19" s="124" t="s">
        <v>382</v>
      </c>
      <c r="Y19" s="124" t="s">
        <v>110</v>
      </c>
      <c r="Z19" s="124" t="s">
        <v>140</v>
      </c>
      <c r="AA19" s="124" t="s">
        <v>353</v>
      </c>
      <c r="AB19" s="124" t="s">
        <v>113</v>
      </c>
      <c r="AC19" s="117" t="s">
        <v>145</v>
      </c>
      <c r="AD19" s="117" t="s">
        <v>432</v>
      </c>
      <c r="AE19" s="117" t="s">
        <v>145</v>
      </c>
      <c r="AF19" s="117" t="s">
        <v>432</v>
      </c>
      <c r="AG19" s="117" t="s">
        <v>146</v>
      </c>
      <c r="AH19" s="117" t="s">
        <v>432</v>
      </c>
      <c r="AI19" s="124" t="s">
        <v>148</v>
      </c>
      <c r="AJ19" s="124" t="s">
        <v>148</v>
      </c>
      <c r="AK19" s="124" t="s">
        <v>148</v>
      </c>
      <c r="AL19" s="124" t="s">
        <v>148</v>
      </c>
      <c r="AM19" s="124" t="s">
        <v>148</v>
      </c>
      <c r="AN19" s="124" t="s">
        <v>5</v>
      </c>
      <c r="AO19" s="124" t="s">
        <v>148</v>
      </c>
      <c r="AP19" s="124" t="s">
        <v>86</v>
      </c>
      <c r="AQ19" s="124" t="s">
        <v>80</v>
      </c>
      <c r="AR19" s="124" t="s">
        <v>82</v>
      </c>
      <c r="AS19" s="124" t="s">
        <v>86</v>
      </c>
      <c r="AT19" s="124" t="s">
        <v>80</v>
      </c>
      <c r="AU19" s="124" t="s">
        <v>80</v>
      </c>
      <c r="AV19" s="124" t="s">
        <v>5</v>
      </c>
      <c r="AW19" s="124" t="s">
        <v>82</v>
      </c>
      <c r="AX19" s="117" t="s">
        <v>383</v>
      </c>
      <c r="AY19" s="117" t="s">
        <v>384</v>
      </c>
      <c r="AZ19" s="117" t="s">
        <v>385</v>
      </c>
      <c r="BA19" s="117" t="s">
        <v>386</v>
      </c>
      <c r="BB19" s="117" t="s">
        <v>387</v>
      </c>
      <c r="BC19" s="117" t="s">
        <v>388</v>
      </c>
      <c r="BD19" s="117" t="s">
        <v>389</v>
      </c>
      <c r="BE19" s="117" t="s">
        <v>390</v>
      </c>
      <c r="BF19" s="117" t="s">
        <v>391</v>
      </c>
      <c r="BG19" s="117" t="s">
        <v>236</v>
      </c>
      <c r="BH19" s="117" t="s">
        <v>161</v>
      </c>
      <c r="BI19" s="117" t="s">
        <v>161</v>
      </c>
      <c r="BJ19" s="117" t="s">
        <v>109</v>
      </c>
      <c r="BK19" s="117" t="s">
        <v>392</v>
      </c>
      <c r="BL19" s="117">
        <v>32</v>
      </c>
      <c r="BM19" s="117" t="s">
        <v>440</v>
      </c>
      <c r="BN19" s="124" t="s">
        <v>393</v>
      </c>
      <c r="BO19" s="124" t="s">
        <v>114</v>
      </c>
      <c r="BP19" s="124">
        <v>0.5</v>
      </c>
      <c r="BQ19" s="117" t="s">
        <v>178</v>
      </c>
      <c r="BR19" s="117" t="s">
        <v>394</v>
      </c>
      <c r="BS19" s="117" t="s">
        <v>54</v>
      </c>
      <c r="BT19" s="117" t="s">
        <v>173</v>
      </c>
      <c r="BU19" s="128" t="s">
        <v>395</v>
      </c>
      <c r="BV19" s="128" t="s">
        <v>328</v>
      </c>
      <c r="BW19" s="128" t="s">
        <v>328</v>
      </c>
      <c r="BX19" s="128" t="s">
        <v>350</v>
      </c>
      <c r="BY19" s="126" t="s">
        <v>177</v>
      </c>
      <c r="BZ19" s="124" t="s">
        <v>396</v>
      </c>
      <c r="CA19" s="124" t="s">
        <v>398</v>
      </c>
      <c r="CB19" s="124" t="s">
        <v>397</v>
      </c>
      <c r="CC19" s="124" t="s">
        <v>217</v>
      </c>
      <c r="CD19" s="124" t="s">
        <v>283</v>
      </c>
      <c r="CE19" s="124" t="s">
        <v>105</v>
      </c>
      <c r="CF19" s="116" t="str">
        <f t="shared" si="2"/>
        <v>5.7</v>
      </c>
      <c r="CG19" s="116" t="str">
        <f t="shared" si="3"/>
        <v>0.2</v>
      </c>
      <c r="CH19" s="116" t="e">
        <f t="shared" si="4"/>
        <v>#VALUE!</v>
      </c>
      <c r="CI19" s="116" t="e">
        <f t="shared" si="5"/>
        <v>#VALUE!</v>
      </c>
      <c r="CJ19" s="116" t="e">
        <f t="shared" si="6"/>
        <v>#VALUE!</v>
      </c>
      <c r="CK19" s="116" t="e">
        <f t="shared" si="7"/>
        <v>#VALUE!</v>
      </c>
      <c r="CL19" s="116" t="str">
        <f t="shared" si="8"/>
        <v>0.8</v>
      </c>
      <c r="CM19" s="116" t="str">
        <f t="shared" si="9"/>
        <v>0.2</v>
      </c>
      <c r="CN19" s="116" t="e">
        <f t="shared" si="10"/>
        <v>#VALUE!</v>
      </c>
      <c r="CO19" s="116" t="e">
        <f t="shared" si="11"/>
        <v>#VALUE!</v>
      </c>
      <c r="CP19" s="116" t="e">
        <f t="shared" si="12"/>
        <v>#VALUE!</v>
      </c>
      <c r="CQ19" s="116" t="e">
        <f t="shared" si="13"/>
        <v>#VALUE!</v>
      </c>
      <c r="CR19" s="116" t="str">
        <f t="shared" si="14"/>
        <v>2.0</v>
      </c>
      <c r="CS19" s="116" t="str">
        <f t="shared" si="15"/>
        <v>0.2</v>
      </c>
      <c r="CT19" s="116" t="e">
        <f t="shared" si="16"/>
        <v>#VALUE!</v>
      </c>
      <c r="CU19" s="116" t="e">
        <f t="shared" si="17"/>
        <v>#VALUE!</v>
      </c>
      <c r="CV19" s="116" t="e">
        <f t="shared" si="18"/>
        <v>#VALUE!</v>
      </c>
      <c r="CW19" s="116" t="e">
        <f t="shared" si="19"/>
        <v>#VALUE!</v>
      </c>
      <c r="CX19" s="116" t="str">
        <f t="shared" si="20"/>
        <v>3.2</v>
      </c>
      <c r="CY19" s="116" t="str">
        <f t="shared" si="21"/>
        <v>0.2</v>
      </c>
      <c r="CZ19" s="116" t="e">
        <f t="shared" si="22"/>
        <v>#VALUE!</v>
      </c>
      <c r="DA19" s="116" t="e">
        <f t="shared" si="23"/>
        <v>#VALUE!</v>
      </c>
      <c r="DB19" s="116" t="e">
        <f t="shared" si="24"/>
        <v>#VALUE!</v>
      </c>
      <c r="DC19" s="116" t="e">
        <f t="shared" si="25"/>
        <v>#VALUE!</v>
      </c>
    </row>
    <row r="20" spans="1:108" s="127" customFormat="1">
      <c r="A20" s="116" t="str">
        <f t="shared" si="1"/>
        <v>13-0</v>
      </c>
      <c r="B20" s="117">
        <v>13</v>
      </c>
      <c r="C20" s="22" t="s">
        <v>116</v>
      </c>
      <c r="D20" s="21" t="s">
        <v>474</v>
      </c>
      <c r="E20" s="21" t="s">
        <v>456</v>
      </c>
      <c r="F20" s="21" t="s">
        <v>458</v>
      </c>
      <c r="G20" s="23">
        <v>0</v>
      </c>
      <c r="H20" s="118" t="s">
        <v>379</v>
      </c>
      <c r="I20" s="119" t="s">
        <v>380</v>
      </c>
      <c r="J20" s="118" t="str">
        <f t="shared" si="0"/>
        <v xml:space="preserve">Hose, Fuel; Ø 9.3 mm × 17 mm; ISA-A-021Y </v>
      </c>
      <c r="K20" s="118" t="s">
        <v>75</v>
      </c>
      <c r="L20" s="118" t="s">
        <v>381</v>
      </c>
      <c r="M20" s="118" t="s">
        <v>267</v>
      </c>
      <c r="N20" s="121" t="s">
        <v>268</v>
      </c>
      <c r="O20" s="121" t="s">
        <v>269</v>
      </c>
      <c r="P20" s="121" t="s">
        <v>269</v>
      </c>
      <c r="Q20" s="122" t="s">
        <v>188</v>
      </c>
      <c r="R20" s="122" t="s">
        <v>188</v>
      </c>
      <c r="S20" s="122" t="s">
        <v>188</v>
      </c>
      <c r="T20" s="123" t="s">
        <v>434</v>
      </c>
      <c r="U20" s="124" t="s">
        <v>136</v>
      </c>
      <c r="V20" s="124" t="s">
        <v>137</v>
      </c>
      <c r="W20" s="124" t="s">
        <v>403</v>
      </c>
      <c r="X20" s="124" t="s">
        <v>404</v>
      </c>
      <c r="Y20" s="124" t="s">
        <v>192</v>
      </c>
      <c r="Z20" s="124" t="s">
        <v>405</v>
      </c>
      <c r="AA20" s="124" t="s">
        <v>406</v>
      </c>
      <c r="AB20" s="124" t="s">
        <v>113</v>
      </c>
      <c r="AC20" s="117" t="s">
        <v>145</v>
      </c>
      <c r="AD20" s="117" t="s">
        <v>432</v>
      </c>
      <c r="AE20" s="117" t="s">
        <v>145</v>
      </c>
      <c r="AF20" s="117" t="s">
        <v>432</v>
      </c>
      <c r="AG20" s="117" t="s">
        <v>146</v>
      </c>
      <c r="AH20" s="117" t="s">
        <v>432</v>
      </c>
      <c r="AI20" s="124" t="s">
        <v>148</v>
      </c>
      <c r="AJ20" s="124" t="s">
        <v>148</v>
      </c>
      <c r="AK20" s="124" t="s">
        <v>148</v>
      </c>
      <c r="AL20" s="124" t="s">
        <v>148</v>
      </c>
      <c r="AM20" s="124" t="s">
        <v>148</v>
      </c>
      <c r="AN20" s="124" t="s">
        <v>5</v>
      </c>
      <c r="AO20" s="124" t="s">
        <v>86</v>
      </c>
      <c r="AP20" s="124" t="s">
        <v>86</v>
      </c>
      <c r="AQ20" s="124" t="s">
        <v>80</v>
      </c>
      <c r="AR20" s="124" t="s">
        <v>82</v>
      </c>
      <c r="AS20" s="124" t="s">
        <v>86</v>
      </c>
      <c r="AT20" s="124" t="s">
        <v>80</v>
      </c>
      <c r="AU20" s="124" t="s">
        <v>80</v>
      </c>
      <c r="AV20" s="124" t="s">
        <v>5</v>
      </c>
      <c r="AW20" s="124" t="s">
        <v>82</v>
      </c>
      <c r="AX20" s="117" t="s">
        <v>407</v>
      </c>
      <c r="AY20" s="117" t="s">
        <v>228</v>
      </c>
      <c r="AZ20" s="117" t="s">
        <v>385</v>
      </c>
      <c r="BA20" s="117" t="s">
        <v>408</v>
      </c>
      <c r="BB20" s="117" t="s">
        <v>387</v>
      </c>
      <c r="BC20" s="117" t="s">
        <v>388</v>
      </c>
      <c r="BD20" s="117" t="s">
        <v>409</v>
      </c>
      <c r="BE20" s="117" t="s">
        <v>410</v>
      </c>
      <c r="BF20" s="117" t="s">
        <v>391</v>
      </c>
      <c r="BG20" s="117" t="s">
        <v>301</v>
      </c>
      <c r="BH20" s="117" t="s">
        <v>411</v>
      </c>
      <c r="BI20" s="117" t="s">
        <v>161</v>
      </c>
      <c r="BJ20" s="117" t="s">
        <v>412</v>
      </c>
      <c r="BK20" s="117" t="s">
        <v>413</v>
      </c>
      <c r="BL20" s="117">
        <v>45</v>
      </c>
      <c r="BM20" s="117" t="s">
        <v>439</v>
      </c>
      <c r="BN20" s="124" t="s">
        <v>414</v>
      </c>
      <c r="BO20" s="124" t="s">
        <v>114</v>
      </c>
      <c r="BP20" s="124">
        <v>0.5</v>
      </c>
      <c r="BQ20" s="117" t="s">
        <v>178</v>
      </c>
      <c r="BR20" s="117" t="s">
        <v>415</v>
      </c>
      <c r="BS20" s="117" t="s">
        <v>54</v>
      </c>
      <c r="BT20" s="117" t="s">
        <v>173</v>
      </c>
      <c r="BU20" s="128" t="s">
        <v>416</v>
      </c>
      <c r="BV20" s="128" t="s">
        <v>259</v>
      </c>
      <c r="BW20" s="128" t="s">
        <v>351</v>
      </c>
      <c r="BX20" s="128" t="s">
        <v>343</v>
      </c>
      <c r="BY20" s="126" t="s">
        <v>177</v>
      </c>
      <c r="BZ20" s="124" t="s">
        <v>417</v>
      </c>
      <c r="CA20" s="124" t="s">
        <v>419</v>
      </c>
      <c r="CB20" s="124" t="s">
        <v>418</v>
      </c>
      <c r="CC20" s="124" t="s">
        <v>243</v>
      </c>
      <c r="CD20" s="124" t="s">
        <v>244</v>
      </c>
      <c r="CE20" s="124" t="s">
        <v>105</v>
      </c>
      <c r="CF20" s="116" t="str">
        <f t="shared" si="2"/>
        <v>9.2</v>
      </c>
      <c r="CG20" s="116" t="str">
        <f t="shared" si="3"/>
        <v>0.2</v>
      </c>
      <c r="CH20" s="116" t="e">
        <f t="shared" si="4"/>
        <v>#VALUE!</v>
      </c>
      <c r="CI20" s="116" t="e">
        <f t="shared" si="5"/>
        <v>#VALUE!</v>
      </c>
      <c r="CJ20" s="116" t="e">
        <f t="shared" si="6"/>
        <v>#VALUE!</v>
      </c>
      <c r="CK20" s="116" t="e">
        <f t="shared" si="7"/>
        <v>#VALUE!</v>
      </c>
      <c r="CL20" s="116" t="str">
        <f t="shared" si="8"/>
        <v>0.9</v>
      </c>
      <c r="CM20" s="116" t="str">
        <f t="shared" si="9"/>
        <v>0.2</v>
      </c>
      <c r="CN20" s="116" t="e">
        <f t="shared" si="10"/>
        <v>#VALUE!</v>
      </c>
      <c r="CO20" s="116" t="e">
        <f t="shared" si="11"/>
        <v>#VALUE!</v>
      </c>
      <c r="CP20" s="116" t="e">
        <f t="shared" si="12"/>
        <v>#VALUE!</v>
      </c>
      <c r="CQ20" s="116" t="e">
        <f t="shared" si="13"/>
        <v>#VALUE!</v>
      </c>
      <c r="CR20" s="116" t="str">
        <f t="shared" si="14"/>
        <v>2.2</v>
      </c>
      <c r="CS20" s="116" t="str">
        <f t="shared" si="15"/>
        <v>0.2</v>
      </c>
      <c r="CT20" s="116" t="e">
        <f t="shared" si="16"/>
        <v>#VALUE!</v>
      </c>
      <c r="CU20" s="116" t="e">
        <f t="shared" si="17"/>
        <v>#VALUE!</v>
      </c>
      <c r="CV20" s="116" t="e">
        <f t="shared" si="18"/>
        <v>#VALUE!</v>
      </c>
      <c r="CW20" s="116" t="e">
        <f t="shared" si="19"/>
        <v>#VALUE!</v>
      </c>
      <c r="CX20" s="116" t="str">
        <f t="shared" si="20"/>
        <v>3.4</v>
      </c>
      <c r="CY20" s="116" t="str">
        <f t="shared" si="21"/>
        <v>0.2</v>
      </c>
      <c r="CZ20" s="116" t="e">
        <f t="shared" si="22"/>
        <v>#VALUE!</v>
      </c>
      <c r="DA20" s="116" t="e">
        <f t="shared" si="23"/>
        <v>#VALUE!</v>
      </c>
      <c r="DB20" s="116" t="e">
        <f t="shared" si="24"/>
        <v>#VALUE!</v>
      </c>
      <c r="DC20" s="116" t="e">
        <f t="shared" si="25"/>
        <v>#VALUE!</v>
      </c>
      <c r="DD20" s="127" t="s">
        <v>557</v>
      </c>
    </row>
    <row r="21" spans="1:108" s="30" customFormat="1">
      <c r="A21" s="20" t="str">
        <f t="shared" si="1"/>
        <v>14-0</v>
      </c>
      <c r="B21" s="21">
        <v>14</v>
      </c>
      <c r="C21" s="22" t="s">
        <v>116</v>
      </c>
      <c r="D21" s="21" t="s">
        <v>475</v>
      </c>
      <c r="E21" s="21" t="s">
        <v>460</v>
      </c>
      <c r="F21" s="21" t="s">
        <v>459</v>
      </c>
      <c r="G21" s="23">
        <v>0</v>
      </c>
      <c r="H21" s="24" t="s">
        <v>379</v>
      </c>
      <c r="I21" s="25" t="s">
        <v>441</v>
      </c>
      <c r="J21" s="24" t="str">
        <f t="shared" si="0"/>
        <v xml:space="preserve">Hose, Fuel ; Ø 11.3 mm × 19.5 mm; ISD-V01-001Y TYPE 2D </v>
      </c>
      <c r="K21" s="31" t="s">
        <v>482</v>
      </c>
      <c r="L21" s="24" t="s">
        <v>442</v>
      </c>
      <c r="M21" s="24" t="s">
        <v>443</v>
      </c>
      <c r="N21" s="22" t="s">
        <v>268</v>
      </c>
      <c r="O21" s="22" t="s">
        <v>269</v>
      </c>
      <c r="P21" s="22" t="s">
        <v>269</v>
      </c>
      <c r="Q21" s="26" t="s">
        <v>188</v>
      </c>
      <c r="R21" s="26" t="s">
        <v>188</v>
      </c>
      <c r="S21" s="26" t="s">
        <v>188</v>
      </c>
      <c r="T21" s="52" t="s">
        <v>434</v>
      </c>
      <c r="U21" s="28" t="s">
        <v>136</v>
      </c>
      <c r="V21" s="28" t="s">
        <v>137</v>
      </c>
      <c r="W21" s="28" t="s">
        <v>444</v>
      </c>
      <c r="X21" s="28" t="s">
        <v>404</v>
      </c>
      <c r="Y21" s="28" t="s">
        <v>192</v>
      </c>
      <c r="Z21" s="28" t="s">
        <v>405</v>
      </c>
      <c r="AA21" s="28" t="s">
        <v>476</v>
      </c>
      <c r="AB21" s="28" t="s">
        <v>113</v>
      </c>
      <c r="AC21" s="21" t="s">
        <v>145</v>
      </c>
      <c r="AD21" s="21" t="s">
        <v>432</v>
      </c>
      <c r="AE21" s="21" t="s">
        <v>145</v>
      </c>
      <c r="AF21" s="21" t="s">
        <v>432</v>
      </c>
      <c r="AG21" s="21" t="s">
        <v>146</v>
      </c>
      <c r="AH21" s="21" t="s">
        <v>432</v>
      </c>
      <c r="AI21" s="28" t="s">
        <v>148</v>
      </c>
      <c r="AJ21" s="28" t="s">
        <v>148</v>
      </c>
      <c r="AK21" s="28" t="s">
        <v>148</v>
      </c>
      <c r="AL21" s="28" t="s">
        <v>148</v>
      </c>
      <c r="AM21" s="28" t="s">
        <v>148</v>
      </c>
      <c r="AN21" s="28" t="s">
        <v>5</v>
      </c>
      <c r="AO21" s="28" t="s">
        <v>89</v>
      </c>
      <c r="AP21" s="28" t="s">
        <v>89</v>
      </c>
      <c r="AQ21" s="28" t="s">
        <v>89</v>
      </c>
      <c r="AR21" s="28" t="s">
        <v>89</v>
      </c>
      <c r="AS21" s="28" t="s">
        <v>148</v>
      </c>
      <c r="AT21" s="28" t="s">
        <v>89</v>
      </c>
      <c r="AU21" s="28" t="s">
        <v>89</v>
      </c>
      <c r="AV21" s="28" t="s">
        <v>5</v>
      </c>
      <c r="AW21" s="28" t="s">
        <v>89</v>
      </c>
      <c r="AX21" s="21" t="s">
        <v>477</v>
      </c>
      <c r="AY21" s="21" t="s">
        <v>445</v>
      </c>
      <c r="AZ21" s="21" t="s">
        <v>446</v>
      </c>
      <c r="BA21" s="21" t="s">
        <v>5</v>
      </c>
      <c r="BB21" s="21" t="s">
        <v>252</v>
      </c>
      <c r="BC21" s="21" t="s">
        <v>447</v>
      </c>
      <c r="BD21" s="21" t="s">
        <v>448</v>
      </c>
      <c r="BE21" s="21" t="s">
        <v>338</v>
      </c>
      <c r="BF21" s="21" t="s">
        <v>449</v>
      </c>
      <c r="BG21" s="21" t="s">
        <v>94</v>
      </c>
      <c r="BH21" s="21" t="s">
        <v>411</v>
      </c>
      <c r="BI21" s="21" t="s">
        <v>161</v>
      </c>
      <c r="BJ21" s="21" t="s">
        <v>478</v>
      </c>
      <c r="BK21" s="21" t="s">
        <v>478</v>
      </c>
      <c r="BL21" s="21">
        <v>48</v>
      </c>
      <c r="BM21" s="21" t="s">
        <v>479</v>
      </c>
      <c r="BN21" s="28" t="s">
        <v>450</v>
      </c>
      <c r="BO21" s="21" t="s">
        <v>5</v>
      </c>
      <c r="BP21" s="28">
        <v>0.5</v>
      </c>
      <c r="BQ21" s="21" t="s">
        <v>178</v>
      </c>
      <c r="BR21" s="21" t="s">
        <v>451</v>
      </c>
      <c r="BS21" s="21" t="s">
        <v>54</v>
      </c>
      <c r="BT21" s="21" t="s">
        <v>173</v>
      </c>
      <c r="BU21" s="21" t="s">
        <v>5</v>
      </c>
      <c r="BV21" s="29" t="s">
        <v>480</v>
      </c>
      <c r="BW21" s="29" t="s">
        <v>480</v>
      </c>
      <c r="BX21" s="29" t="s">
        <v>480</v>
      </c>
      <c r="BY21" s="57" t="s">
        <v>177</v>
      </c>
      <c r="BZ21" s="28" t="s">
        <v>316</v>
      </c>
      <c r="CA21" s="28" t="s">
        <v>453</v>
      </c>
      <c r="CB21" s="28" t="s">
        <v>454</v>
      </c>
      <c r="CC21" s="28" t="s">
        <v>243</v>
      </c>
      <c r="CD21" s="28" t="s">
        <v>452</v>
      </c>
      <c r="CE21" s="28" t="s">
        <v>105</v>
      </c>
      <c r="CF21" s="20" t="str">
        <f>MID(BZ21,1,4)</f>
        <v>11.4</v>
      </c>
      <c r="CG21" s="20" t="str">
        <f>MID(BZ21,6,5)</f>
        <v>0.1</v>
      </c>
      <c r="CH21" s="20" t="e">
        <f t="shared" ref="CH21:CH23" si="52">CF21-(CG21/2)</f>
        <v>#VALUE!</v>
      </c>
      <c r="CI21" s="20" t="e">
        <f t="shared" ref="CI21:CI23" si="53">CF21-CG21</f>
        <v>#VALUE!</v>
      </c>
      <c r="CJ21" s="20" t="e">
        <f t="shared" ref="CJ21:CJ23" si="54">CF21+(CG21/2)</f>
        <v>#VALUE!</v>
      </c>
      <c r="CK21" s="20" t="e">
        <f t="shared" ref="CK21:CK23" si="55">CF21+CG21</f>
        <v>#VALUE!</v>
      </c>
      <c r="CL21" s="20" t="str">
        <f t="shared" ref="CL21" si="56">MID(CB21,1,3)</f>
        <v>1.2</v>
      </c>
      <c r="CM21" s="20" t="str">
        <f t="shared" ref="CM21" si="57">MID(CB21,5,3)</f>
        <v>0.2</v>
      </c>
      <c r="CN21" s="20" t="e">
        <f t="shared" ref="CN21" si="58">CL21-(CM21/2)</f>
        <v>#VALUE!</v>
      </c>
      <c r="CO21" s="20" t="e">
        <f t="shared" ref="CO21" si="59">CL21-CM21</f>
        <v>#VALUE!</v>
      </c>
      <c r="CP21" s="20" t="e">
        <f t="shared" ref="CP21" si="60">CL21+(CM21/2)</f>
        <v>#VALUE!</v>
      </c>
      <c r="CQ21" s="20" t="e">
        <f t="shared" ref="CQ21" si="61">CL21+CM21</f>
        <v>#VALUE!</v>
      </c>
      <c r="CR21" s="20" t="str">
        <f t="shared" ref="CR21" si="62">MID(CC21,1,3)</f>
        <v>2.2</v>
      </c>
      <c r="CS21" s="20" t="str">
        <f t="shared" ref="CS21" si="63">MID(CC21,5,3)</f>
        <v>0.2</v>
      </c>
      <c r="CT21" s="20" t="e">
        <f t="shared" ref="CT21" si="64">CR21-(CS21/2)</f>
        <v>#VALUE!</v>
      </c>
      <c r="CU21" s="20" t="e">
        <f t="shared" ref="CU21" si="65">CR21-CS21</f>
        <v>#VALUE!</v>
      </c>
      <c r="CV21" s="20" t="e">
        <f t="shared" ref="CV21" si="66">CR21+(CS21/2)</f>
        <v>#VALUE!</v>
      </c>
      <c r="CW21" s="20" t="e">
        <f t="shared" ref="CW21" si="67">CR21+CS21</f>
        <v>#VALUE!</v>
      </c>
      <c r="CX21" s="20" t="str">
        <f t="shared" ref="CX21" si="68">MID(CD21,1,3)</f>
        <v>4.1</v>
      </c>
      <c r="CY21" s="20" t="str">
        <f t="shared" ref="CY21" si="69">MID(CD21,5,3)</f>
        <v>0.1</v>
      </c>
      <c r="CZ21" s="20" t="e">
        <f t="shared" ref="CZ21" si="70">CX21-(CY21/2)</f>
        <v>#VALUE!</v>
      </c>
      <c r="DA21" s="20" t="e">
        <f t="shared" ref="DA21" si="71">CX21-CY21</f>
        <v>#VALUE!</v>
      </c>
      <c r="DB21" s="20" t="e">
        <f t="shared" ref="DB21" si="72">CX21+(CY21/2)</f>
        <v>#VALUE!</v>
      </c>
      <c r="DC21" s="20" t="e">
        <f t="shared" ref="DC21" si="73">CX21+CY21</f>
        <v>#VALUE!</v>
      </c>
      <c r="DD21" s="30" t="s">
        <v>550</v>
      </c>
    </row>
    <row r="22" spans="1:108" s="30" customFormat="1">
      <c r="A22" s="20" t="str">
        <f>CONCATENATE(B22,"-",G22)</f>
        <v>15-0</v>
      </c>
      <c r="B22" s="21">
        <v>15</v>
      </c>
      <c r="C22" s="22" t="s">
        <v>116</v>
      </c>
      <c r="D22" s="21" t="s">
        <v>481</v>
      </c>
      <c r="E22" s="21" t="s">
        <v>497</v>
      </c>
      <c r="F22" s="21" t="s">
        <v>459</v>
      </c>
      <c r="G22" s="23">
        <v>0</v>
      </c>
      <c r="H22" s="24" t="s">
        <v>379</v>
      </c>
      <c r="I22" s="25" t="s">
        <v>441</v>
      </c>
      <c r="J22" s="24" t="str">
        <f t="shared" ref="J22:J23" si="74">CONCATENATE(K22,"; ",L22,"; ",M22," ")</f>
        <v xml:space="preserve">Hose, Fuel ; Ø 5.8 mm × 12.2 mm; ISD-V01-001Y  </v>
      </c>
      <c r="K22" s="31" t="s">
        <v>482</v>
      </c>
      <c r="L22" s="24" t="s">
        <v>119</v>
      </c>
      <c r="M22" s="24" t="s">
        <v>483</v>
      </c>
      <c r="N22" s="22" t="s">
        <v>268</v>
      </c>
      <c r="O22" s="22" t="s">
        <v>269</v>
      </c>
      <c r="P22" s="22" t="s">
        <v>269</v>
      </c>
      <c r="Q22" s="26" t="s">
        <v>188</v>
      </c>
      <c r="R22" s="26" t="s">
        <v>188</v>
      </c>
      <c r="S22" s="26" t="s">
        <v>188</v>
      </c>
      <c r="T22" s="52" t="s">
        <v>484</v>
      </c>
      <c r="U22" s="28" t="s">
        <v>136</v>
      </c>
      <c r="V22" s="28" t="s">
        <v>137</v>
      </c>
      <c r="W22" s="28" t="s">
        <v>259</v>
      </c>
      <c r="X22" s="28" t="s">
        <v>382</v>
      </c>
      <c r="Y22" s="28" t="s">
        <v>110</v>
      </c>
      <c r="Z22" s="28" t="s">
        <v>444</v>
      </c>
      <c r="AA22" s="28" t="s">
        <v>224</v>
      </c>
      <c r="AB22" s="28" t="s">
        <v>113</v>
      </c>
      <c r="AC22" s="21" t="s">
        <v>145</v>
      </c>
      <c r="AD22" s="21" t="s">
        <v>432</v>
      </c>
      <c r="AE22" s="21" t="s">
        <v>145</v>
      </c>
      <c r="AF22" s="21" t="s">
        <v>432</v>
      </c>
      <c r="AG22" s="21" t="s">
        <v>146</v>
      </c>
      <c r="AH22" s="21" t="s">
        <v>432</v>
      </c>
      <c r="AI22" s="28" t="s">
        <v>148</v>
      </c>
      <c r="AJ22" s="28" t="s">
        <v>148</v>
      </c>
      <c r="AK22" s="28" t="s">
        <v>148</v>
      </c>
      <c r="AL22" s="28" t="s">
        <v>148</v>
      </c>
      <c r="AM22" s="28" t="s">
        <v>148</v>
      </c>
      <c r="AN22" s="28" t="s">
        <v>5</v>
      </c>
      <c r="AO22" s="28" t="s">
        <v>148</v>
      </c>
      <c r="AP22" s="28" t="s">
        <v>86</v>
      </c>
      <c r="AQ22" s="28" t="s">
        <v>80</v>
      </c>
      <c r="AR22" s="28" t="s">
        <v>82</v>
      </c>
      <c r="AS22" s="28" t="s">
        <v>148</v>
      </c>
      <c r="AT22" s="28" t="s">
        <v>148</v>
      </c>
      <c r="AU22" s="28" t="s">
        <v>148</v>
      </c>
      <c r="AV22" s="28" t="s">
        <v>148</v>
      </c>
      <c r="AW22" s="28" t="s">
        <v>148</v>
      </c>
      <c r="AX22" s="21" t="s">
        <v>485</v>
      </c>
      <c r="AY22" s="21" t="s">
        <v>486</v>
      </c>
      <c r="AZ22" s="21" t="s">
        <v>487</v>
      </c>
      <c r="BA22" s="21" t="s">
        <v>488</v>
      </c>
      <c r="BB22" s="21" t="s">
        <v>488</v>
      </c>
      <c r="BC22" s="21" t="s">
        <v>488</v>
      </c>
      <c r="BD22" s="21" t="s">
        <v>5</v>
      </c>
      <c r="BE22" s="21" t="s">
        <v>5</v>
      </c>
      <c r="BF22" s="21" t="s">
        <v>5</v>
      </c>
      <c r="BG22" s="21" t="s">
        <v>489</v>
      </c>
      <c r="BH22" s="21" t="s">
        <v>489</v>
      </c>
      <c r="BI22" s="21" t="s">
        <v>490</v>
      </c>
      <c r="BJ22" s="21" t="s">
        <v>491</v>
      </c>
      <c r="BK22" s="21" t="s">
        <v>491</v>
      </c>
      <c r="BL22" s="21" t="s">
        <v>440</v>
      </c>
      <c r="BM22" s="21" t="s">
        <v>440</v>
      </c>
      <c r="BN22" s="28" t="s">
        <v>492</v>
      </c>
      <c r="BO22" s="21" t="s">
        <v>5</v>
      </c>
      <c r="BP22" s="28">
        <v>0.5</v>
      </c>
      <c r="BQ22" s="21" t="s">
        <v>178</v>
      </c>
      <c r="BR22" s="21" t="s">
        <v>451</v>
      </c>
      <c r="BS22" s="21" t="s">
        <v>54</v>
      </c>
      <c r="BT22" s="21" t="s">
        <v>173</v>
      </c>
      <c r="BU22" s="21">
        <v>12.2</v>
      </c>
      <c r="BV22" s="29" t="s">
        <v>493</v>
      </c>
      <c r="BW22" s="29" t="s">
        <v>493</v>
      </c>
      <c r="BX22" s="29" t="s">
        <v>494</v>
      </c>
      <c r="BY22" s="57" t="s">
        <v>177</v>
      </c>
      <c r="BZ22" s="28" t="s">
        <v>520</v>
      </c>
      <c r="CA22" s="28" t="s">
        <v>398</v>
      </c>
      <c r="CB22" s="28" t="s">
        <v>521</v>
      </c>
      <c r="CC22" s="28" t="s">
        <v>495</v>
      </c>
      <c r="CD22" s="28" t="s">
        <v>496</v>
      </c>
      <c r="CE22" s="28" t="s">
        <v>105</v>
      </c>
      <c r="CF22" s="20" t="str">
        <f>MID(BZ22,1,1)</f>
        <v>6</v>
      </c>
      <c r="CG22" s="20">
        <v>0.1</v>
      </c>
      <c r="CH22" s="20">
        <f t="shared" si="52"/>
        <v>5.95</v>
      </c>
      <c r="CI22" s="20">
        <f t="shared" si="53"/>
        <v>5.9</v>
      </c>
      <c r="CJ22" s="20">
        <f t="shared" si="54"/>
        <v>6.05</v>
      </c>
      <c r="CK22" s="20">
        <f t="shared" si="55"/>
        <v>6.1</v>
      </c>
      <c r="CL22" s="20" t="str">
        <f t="shared" ref="CL22:CL23" si="75">MID(CB22,1,3)</f>
        <v>0.5</v>
      </c>
      <c r="CM22" s="20" t="str">
        <f t="shared" ref="CM22:CM23" si="76">MID(CB22,5,3)</f>
        <v>0.2</v>
      </c>
      <c r="CN22" s="20" t="e">
        <f t="shared" ref="CN22:CN23" si="77">CL22-(CM22/2)</f>
        <v>#VALUE!</v>
      </c>
      <c r="CO22" s="20" t="e">
        <f t="shared" ref="CO22:CO23" si="78">CL22-CM22</f>
        <v>#VALUE!</v>
      </c>
      <c r="CP22" s="20" t="e">
        <f t="shared" ref="CP22:CP23" si="79">CL22+(CM22/2)</f>
        <v>#VALUE!</v>
      </c>
      <c r="CQ22" s="20" t="e">
        <f t="shared" ref="CQ22:CQ23" si="80">CL22+CM22</f>
        <v>#VALUE!</v>
      </c>
      <c r="CR22" s="20" t="str">
        <f t="shared" ref="CR22:CR23" si="81">MID(CC22,1,3)</f>
        <v>2.0</v>
      </c>
      <c r="CS22" s="20" t="str">
        <f t="shared" ref="CS22:CS23" si="82">MID(CC22,5,3)</f>
        <v>0.1</v>
      </c>
      <c r="CT22" s="20" t="e">
        <f t="shared" ref="CT22:CT23" si="83">CR22-(CS22/2)</f>
        <v>#VALUE!</v>
      </c>
      <c r="CU22" s="20" t="e">
        <f t="shared" ref="CU22:CU23" si="84">CR22-CS22</f>
        <v>#VALUE!</v>
      </c>
      <c r="CV22" s="20" t="e">
        <f t="shared" ref="CV22:CV23" si="85">CR22+(CS22/2)</f>
        <v>#VALUE!</v>
      </c>
      <c r="CW22" s="20" t="e">
        <f t="shared" ref="CW22:CW23" si="86">CR22+CS22</f>
        <v>#VALUE!</v>
      </c>
      <c r="CX22" s="20" t="str">
        <f t="shared" ref="CX22:CX23" si="87">MID(CD22,1,3)</f>
        <v>3.0</v>
      </c>
      <c r="CY22" s="20" t="str">
        <f t="shared" ref="CY22:CY23" si="88">MID(CD22,5,3)</f>
        <v>0.1</v>
      </c>
      <c r="CZ22" s="20" t="e">
        <f t="shared" ref="CZ22:CZ23" si="89">CX22-(CY22/2)</f>
        <v>#VALUE!</v>
      </c>
      <c r="DA22" s="20" t="e">
        <f t="shared" ref="DA22:DA23" si="90">CX22-CY22</f>
        <v>#VALUE!</v>
      </c>
      <c r="DB22" s="20" t="e">
        <f t="shared" ref="DB22:DB23" si="91">CX22+(CY22/2)</f>
        <v>#VALUE!</v>
      </c>
      <c r="DC22" s="20" t="e">
        <f t="shared" ref="DC22:DC23" si="92">CX22+CY22</f>
        <v>#VALUE!</v>
      </c>
      <c r="DD22" s="30" t="s">
        <v>551</v>
      </c>
    </row>
    <row r="23" spans="1:108" s="127" customFormat="1">
      <c r="A23" s="116" t="str">
        <f>CONCATENATE(B23,"-",G23)</f>
        <v>16-0</v>
      </c>
      <c r="B23" s="117">
        <v>16</v>
      </c>
      <c r="C23" s="22" t="s">
        <v>116</v>
      </c>
      <c r="D23" s="21"/>
      <c r="E23" s="21"/>
      <c r="F23" s="21"/>
      <c r="G23" s="23">
        <v>0</v>
      </c>
      <c r="H23" s="118" t="s">
        <v>498</v>
      </c>
      <c r="I23" s="119" t="s">
        <v>499</v>
      </c>
      <c r="J23" s="118" t="str">
        <f t="shared" si="74"/>
        <v xml:space="preserve">Hose, Fuel; Ø 11.5 mm × 18.3 mm; ES-W56901 </v>
      </c>
      <c r="K23" s="118" t="s">
        <v>75</v>
      </c>
      <c r="L23" s="118" t="s">
        <v>500</v>
      </c>
      <c r="M23" s="118" t="s">
        <v>501</v>
      </c>
      <c r="N23" s="121" t="s">
        <v>268</v>
      </c>
      <c r="O23" s="121" t="s">
        <v>222</v>
      </c>
      <c r="P23" s="121" t="s">
        <v>223</v>
      </c>
      <c r="Q23" s="122" t="s">
        <v>188</v>
      </c>
      <c r="R23" s="122" t="s">
        <v>188</v>
      </c>
      <c r="S23" s="129" t="s">
        <v>188</v>
      </c>
      <c r="T23" s="123" t="s">
        <v>434</v>
      </c>
      <c r="U23" s="124" t="s">
        <v>136</v>
      </c>
      <c r="V23" s="124" t="s">
        <v>137</v>
      </c>
      <c r="W23" s="130" t="s">
        <v>502</v>
      </c>
      <c r="X23" s="130" t="s">
        <v>503</v>
      </c>
      <c r="Y23" s="121" t="s">
        <v>504</v>
      </c>
      <c r="Z23" s="121" t="s">
        <v>505</v>
      </c>
      <c r="AA23" s="121" t="s">
        <v>506</v>
      </c>
      <c r="AB23" s="124" t="s">
        <v>113</v>
      </c>
      <c r="AC23" s="117" t="s">
        <v>145</v>
      </c>
      <c r="AD23" s="117" t="s">
        <v>432</v>
      </c>
      <c r="AE23" s="117" t="s">
        <v>145</v>
      </c>
      <c r="AF23" s="117" t="s">
        <v>432</v>
      </c>
      <c r="AG23" s="117" t="s">
        <v>146</v>
      </c>
      <c r="AH23" s="117" t="s">
        <v>432</v>
      </c>
      <c r="AI23" s="124" t="s">
        <v>148</v>
      </c>
      <c r="AJ23" s="124" t="s">
        <v>148</v>
      </c>
      <c r="AK23" s="124" t="s">
        <v>148</v>
      </c>
      <c r="AL23" s="124" t="s">
        <v>148</v>
      </c>
      <c r="AM23" s="124" t="s">
        <v>148</v>
      </c>
      <c r="AN23" s="124" t="s">
        <v>507</v>
      </c>
      <c r="AO23" s="124" t="s">
        <v>89</v>
      </c>
      <c r="AP23" s="124" t="s">
        <v>89</v>
      </c>
      <c r="AQ23" s="124" t="s">
        <v>86</v>
      </c>
      <c r="AR23" s="124" t="s">
        <v>90</v>
      </c>
      <c r="AS23" s="124" t="s">
        <v>148</v>
      </c>
      <c r="AT23" s="124" t="s">
        <v>86</v>
      </c>
      <c r="AU23" s="124" t="s">
        <v>80</v>
      </c>
      <c r="AV23" s="124" t="s">
        <v>5</v>
      </c>
      <c r="AW23" s="124" t="s">
        <v>82</v>
      </c>
      <c r="AX23" s="117" t="s">
        <v>508</v>
      </c>
      <c r="AY23" s="117" t="s">
        <v>509</v>
      </c>
      <c r="AZ23" s="117" t="s">
        <v>510</v>
      </c>
      <c r="BA23" s="117" t="s">
        <v>488</v>
      </c>
      <c r="BB23" s="117" t="s">
        <v>488</v>
      </c>
      <c r="BC23" s="117" t="s">
        <v>488</v>
      </c>
      <c r="BD23" s="117" t="s">
        <v>511</v>
      </c>
      <c r="BE23" s="117" t="s">
        <v>511</v>
      </c>
      <c r="BF23" s="117" t="s">
        <v>511</v>
      </c>
      <c r="BG23" s="117" t="s">
        <v>489</v>
      </c>
      <c r="BH23" s="117" t="s">
        <v>489</v>
      </c>
      <c r="BI23" s="117" t="s">
        <v>489</v>
      </c>
      <c r="BJ23" s="117" t="s">
        <v>512</v>
      </c>
      <c r="BK23" s="117" t="s">
        <v>512</v>
      </c>
      <c r="BL23" s="117" t="s">
        <v>513</v>
      </c>
      <c r="BM23" s="117" t="s">
        <v>513</v>
      </c>
      <c r="BN23" s="117" t="s">
        <v>514</v>
      </c>
      <c r="BO23" s="117" t="s">
        <v>507</v>
      </c>
      <c r="BP23" s="124">
        <v>0.5</v>
      </c>
      <c r="BQ23" s="117" t="s">
        <v>178</v>
      </c>
      <c r="BR23" s="117" t="s">
        <v>515</v>
      </c>
      <c r="BS23" s="117" t="s">
        <v>54</v>
      </c>
      <c r="BT23" s="117" t="s">
        <v>173</v>
      </c>
      <c r="BU23" s="117" t="s">
        <v>516</v>
      </c>
      <c r="BV23" s="128" t="s">
        <v>517</v>
      </c>
      <c r="BW23" s="128" t="s">
        <v>517</v>
      </c>
      <c r="BX23" s="128" t="s">
        <v>517</v>
      </c>
      <c r="BY23" s="126" t="s">
        <v>177</v>
      </c>
      <c r="BZ23" s="124" t="s">
        <v>518</v>
      </c>
      <c r="CA23" s="124" t="s">
        <v>376</v>
      </c>
      <c r="CB23" s="124" t="s">
        <v>418</v>
      </c>
      <c r="CC23" s="124" t="s">
        <v>522</v>
      </c>
      <c r="CD23" s="124" t="s">
        <v>519</v>
      </c>
      <c r="CE23" s="124" t="s">
        <v>105</v>
      </c>
      <c r="CF23" s="116" t="str">
        <f>MID(BZ23,1,4)</f>
        <v>10.2</v>
      </c>
      <c r="CG23" s="116">
        <v>0.1</v>
      </c>
      <c r="CH23" s="116" t="e">
        <f t="shared" si="52"/>
        <v>#VALUE!</v>
      </c>
      <c r="CI23" s="116" t="e">
        <f t="shared" si="53"/>
        <v>#VALUE!</v>
      </c>
      <c r="CJ23" s="116" t="e">
        <f t="shared" si="54"/>
        <v>#VALUE!</v>
      </c>
      <c r="CK23" s="116" t="e">
        <f t="shared" si="55"/>
        <v>#VALUE!</v>
      </c>
      <c r="CL23" s="116" t="str">
        <f t="shared" si="75"/>
        <v>0.9</v>
      </c>
      <c r="CM23" s="116" t="str">
        <f t="shared" si="76"/>
        <v>0.2</v>
      </c>
      <c r="CN23" s="116" t="e">
        <f t="shared" si="77"/>
        <v>#VALUE!</v>
      </c>
      <c r="CO23" s="116" t="e">
        <f t="shared" si="78"/>
        <v>#VALUE!</v>
      </c>
      <c r="CP23" s="116" t="e">
        <f t="shared" si="79"/>
        <v>#VALUE!</v>
      </c>
      <c r="CQ23" s="116" t="e">
        <f t="shared" si="80"/>
        <v>#VALUE!</v>
      </c>
      <c r="CR23" s="116" t="str">
        <f t="shared" si="81"/>
        <v>2.2</v>
      </c>
      <c r="CS23" s="116" t="str">
        <f t="shared" si="82"/>
        <v>0.1</v>
      </c>
      <c r="CT23" s="116" t="e">
        <f t="shared" si="83"/>
        <v>#VALUE!</v>
      </c>
      <c r="CU23" s="116" t="e">
        <f t="shared" si="84"/>
        <v>#VALUE!</v>
      </c>
      <c r="CV23" s="116" t="e">
        <f t="shared" si="85"/>
        <v>#VALUE!</v>
      </c>
      <c r="CW23" s="116" t="e">
        <f t="shared" si="86"/>
        <v>#VALUE!</v>
      </c>
      <c r="CX23" s="116" t="str">
        <f t="shared" si="87"/>
        <v>3.3</v>
      </c>
      <c r="CY23" s="116" t="str">
        <f t="shared" si="88"/>
        <v>0.2</v>
      </c>
      <c r="CZ23" s="116" t="e">
        <f t="shared" si="89"/>
        <v>#VALUE!</v>
      </c>
      <c r="DA23" s="116" t="e">
        <f t="shared" si="90"/>
        <v>#VALUE!</v>
      </c>
      <c r="DB23" s="116" t="e">
        <f t="shared" si="91"/>
        <v>#VALUE!</v>
      </c>
      <c r="DC23" s="116" t="e">
        <f t="shared" si="92"/>
        <v>#VALUE!</v>
      </c>
      <c r="DD23" s="127" t="s">
        <v>552</v>
      </c>
    </row>
    <row r="24" spans="1:108" s="127" customFormat="1">
      <c r="A24" s="116" t="str">
        <f>CONCATENATE(B24,"-",G24)</f>
        <v>15-1</v>
      </c>
      <c r="B24" s="117">
        <v>15</v>
      </c>
      <c r="C24" s="22" t="s">
        <v>116</v>
      </c>
      <c r="D24" s="21" t="s">
        <v>481</v>
      </c>
      <c r="E24" s="21" t="s">
        <v>497</v>
      </c>
      <c r="F24" s="21" t="s">
        <v>459</v>
      </c>
      <c r="G24" s="23">
        <v>1</v>
      </c>
      <c r="H24" s="118" t="s">
        <v>379</v>
      </c>
      <c r="I24" s="119" t="s">
        <v>523</v>
      </c>
      <c r="J24" s="118" t="str">
        <f t="shared" ref="J24:J27" si="93">CONCATENATE(K24,"; ",L24,"; ",M24," ")</f>
        <v xml:space="preserve">Hose, Fuel ; Ø 5.8 mm × 12.2 mm; ISD-V01-001Y  </v>
      </c>
      <c r="K24" s="120" t="s">
        <v>482</v>
      </c>
      <c r="L24" s="118" t="s">
        <v>119</v>
      </c>
      <c r="M24" s="118" t="s">
        <v>483</v>
      </c>
      <c r="N24" s="121" t="s">
        <v>268</v>
      </c>
      <c r="O24" s="121" t="s">
        <v>269</v>
      </c>
      <c r="P24" s="121" t="s">
        <v>269</v>
      </c>
      <c r="Q24" s="122" t="s">
        <v>188</v>
      </c>
      <c r="R24" s="122" t="s">
        <v>188</v>
      </c>
      <c r="S24" s="122" t="s">
        <v>188</v>
      </c>
      <c r="T24" s="123" t="s">
        <v>484</v>
      </c>
      <c r="U24" s="124" t="s">
        <v>136</v>
      </c>
      <c r="V24" s="124" t="s">
        <v>137</v>
      </c>
      <c r="W24" s="124" t="s">
        <v>259</v>
      </c>
      <c r="X24" s="124" t="s">
        <v>193</v>
      </c>
      <c r="Y24" s="124" t="s">
        <v>110</v>
      </c>
      <c r="Z24" s="124" t="s">
        <v>444</v>
      </c>
      <c r="AA24" s="124" t="s">
        <v>224</v>
      </c>
      <c r="AB24" s="124" t="s">
        <v>113</v>
      </c>
      <c r="AC24" s="117" t="s">
        <v>145</v>
      </c>
      <c r="AD24" s="117" t="s">
        <v>432</v>
      </c>
      <c r="AE24" s="117" t="s">
        <v>145</v>
      </c>
      <c r="AF24" s="117" t="s">
        <v>432</v>
      </c>
      <c r="AG24" s="117" t="s">
        <v>146</v>
      </c>
      <c r="AH24" s="117" t="s">
        <v>432</v>
      </c>
      <c r="AI24" s="124" t="s">
        <v>148</v>
      </c>
      <c r="AJ24" s="124" t="s">
        <v>148</v>
      </c>
      <c r="AK24" s="124" t="s">
        <v>148</v>
      </c>
      <c r="AL24" s="124" t="s">
        <v>148</v>
      </c>
      <c r="AM24" s="124" t="s">
        <v>148</v>
      </c>
      <c r="AN24" s="124" t="s">
        <v>5</v>
      </c>
      <c r="AO24" s="124" t="s">
        <v>148</v>
      </c>
      <c r="AP24" s="124" t="s">
        <v>148</v>
      </c>
      <c r="AQ24" s="124" t="s">
        <v>148</v>
      </c>
      <c r="AR24" s="124" t="s">
        <v>148</v>
      </c>
      <c r="AS24" s="124" t="s">
        <v>148</v>
      </c>
      <c r="AT24" s="124" t="s">
        <v>148</v>
      </c>
      <c r="AU24" s="124" t="s">
        <v>148</v>
      </c>
      <c r="AV24" s="124" t="s">
        <v>148</v>
      </c>
      <c r="AW24" s="124" t="s">
        <v>148</v>
      </c>
      <c r="AX24" s="117" t="s">
        <v>524</v>
      </c>
      <c r="AY24" s="117" t="s">
        <v>525</v>
      </c>
      <c r="AZ24" s="117" t="s">
        <v>526</v>
      </c>
      <c r="BA24" s="117" t="s">
        <v>488</v>
      </c>
      <c r="BB24" s="117" t="s">
        <v>488</v>
      </c>
      <c r="BC24" s="117" t="s">
        <v>488</v>
      </c>
      <c r="BD24" s="117" t="s">
        <v>5</v>
      </c>
      <c r="BE24" s="117" t="s">
        <v>5</v>
      </c>
      <c r="BF24" s="117" t="s">
        <v>5</v>
      </c>
      <c r="BG24" s="117" t="s">
        <v>489</v>
      </c>
      <c r="BH24" s="117" t="s">
        <v>489</v>
      </c>
      <c r="BI24" s="117" t="s">
        <v>490</v>
      </c>
      <c r="BJ24" s="117" t="s">
        <v>527</v>
      </c>
      <c r="BK24" s="117" t="s">
        <v>527</v>
      </c>
      <c r="BL24" s="117" t="s">
        <v>528</v>
      </c>
      <c r="BM24" s="117" t="s">
        <v>528</v>
      </c>
      <c r="BN24" s="124" t="s">
        <v>492</v>
      </c>
      <c r="BO24" s="117" t="s">
        <v>5</v>
      </c>
      <c r="BP24" s="124">
        <v>0.5</v>
      </c>
      <c r="BQ24" s="117" t="s">
        <v>178</v>
      </c>
      <c r="BR24" s="117" t="s">
        <v>451</v>
      </c>
      <c r="BS24" s="117" t="s">
        <v>54</v>
      </c>
      <c r="BT24" s="117" t="s">
        <v>173</v>
      </c>
      <c r="BU24" s="117">
        <v>12.2</v>
      </c>
      <c r="BV24" s="125" t="s">
        <v>529</v>
      </c>
      <c r="BW24" s="125" t="s">
        <v>529</v>
      </c>
      <c r="BX24" s="128" t="s">
        <v>530</v>
      </c>
      <c r="BY24" s="126" t="s">
        <v>177</v>
      </c>
      <c r="BZ24" s="124" t="s">
        <v>179</v>
      </c>
      <c r="CA24" s="124" t="s">
        <v>398</v>
      </c>
      <c r="CB24" s="124" t="s">
        <v>521</v>
      </c>
      <c r="CC24" s="124" t="s">
        <v>495</v>
      </c>
      <c r="CD24" s="124" t="s">
        <v>496</v>
      </c>
      <c r="CE24" s="124" t="s">
        <v>105</v>
      </c>
      <c r="CF24" s="116" t="str">
        <f>MID(BZ24,1,1)</f>
        <v>5</v>
      </c>
      <c r="CG24" s="116">
        <v>0.1</v>
      </c>
      <c r="CH24" s="116">
        <f t="shared" ref="CH24:CH27" si="94">CF24-(CG24/2)</f>
        <v>4.95</v>
      </c>
      <c r="CI24" s="116">
        <f t="shared" ref="CI24:CI27" si="95">CF24-CG24</f>
        <v>4.9000000000000004</v>
      </c>
      <c r="CJ24" s="116">
        <f t="shared" ref="CJ24:CJ27" si="96">CF24+(CG24/2)</f>
        <v>5.05</v>
      </c>
      <c r="CK24" s="116">
        <f t="shared" ref="CK24:CK27" si="97">CF24+CG24</f>
        <v>5.0999999999999996</v>
      </c>
      <c r="CL24" s="116" t="str">
        <f t="shared" ref="CL24:CL27" si="98">MID(CB24,1,3)</f>
        <v>0.5</v>
      </c>
      <c r="CM24" s="116" t="str">
        <f t="shared" ref="CM24:CM27" si="99">MID(CB24,5,3)</f>
        <v>0.2</v>
      </c>
      <c r="CN24" s="116" t="e">
        <f t="shared" ref="CN24:CN27" si="100">CL24-(CM24/2)</f>
        <v>#VALUE!</v>
      </c>
      <c r="CO24" s="116" t="e">
        <f t="shared" ref="CO24:CO27" si="101">CL24-CM24</f>
        <v>#VALUE!</v>
      </c>
      <c r="CP24" s="116" t="e">
        <f t="shared" ref="CP24:CP27" si="102">CL24+(CM24/2)</f>
        <v>#VALUE!</v>
      </c>
      <c r="CQ24" s="116" t="e">
        <f t="shared" ref="CQ24:CQ27" si="103">CL24+CM24</f>
        <v>#VALUE!</v>
      </c>
      <c r="CR24" s="116" t="str">
        <f t="shared" ref="CR24:CR27" si="104">MID(CC24,1,3)</f>
        <v>2.0</v>
      </c>
      <c r="CS24" s="116" t="str">
        <f t="shared" ref="CS24:CS27" si="105">MID(CC24,5,3)</f>
        <v>0.1</v>
      </c>
      <c r="CT24" s="116" t="e">
        <f t="shared" ref="CT24:CT27" si="106">CR24-(CS24/2)</f>
        <v>#VALUE!</v>
      </c>
      <c r="CU24" s="116" t="e">
        <f t="shared" ref="CU24:CU27" si="107">CR24-CS24</f>
        <v>#VALUE!</v>
      </c>
      <c r="CV24" s="116" t="e">
        <f t="shared" ref="CV24:CV27" si="108">CR24+(CS24/2)</f>
        <v>#VALUE!</v>
      </c>
      <c r="CW24" s="116" t="e">
        <f t="shared" ref="CW24:CW27" si="109">CR24+CS24</f>
        <v>#VALUE!</v>
      </c>
      <c r="CX24" s="116" t="str">
        <f t="shared" ref="CX24:CX27" si="110">MID(CD24,1,3)</f>
        <v>3.0</v>
      </c>
      <c r="CY24" s="116" t="str">
        <f t="shared" ref="CY24:CY27" si="111">MID(CD24,5,3)</f>
        <v>0.1</v>
      </c>
      <c r="CZ24" s="116" t="e">
        <f t="shared" ref="CZ24:CZ27" si="112">CX24-(CY24/2)</f>
        <v>#VALUE!</v>
      </c>
      <c r="DA24" s="116" t="e">
        <f t="shared" ref="DA24:DA27" si="113">CX24-CY24</f>
        <v>#VALUE!</v>
      </c>
      <c r="DB24" s="116" t="e">
        <f t="shared" ref="DB24:DB27" si="114">CX24+(CY24/2)</f>
        <v>#VALUE!</v>
      </c>
      <c r="DC24" s="116" t="e">
        <f t="shared" ref="DC24:DC27" si="115">CX24+CY24</f>
        <v>#VALUE!</v>
      </c>
      <c r="DD24" s="127" t="s">
        <v>551</v>
      </c>
    </row>
    <row r="25" spans="1:108" s="127" customFormat="1">
      <c r="A25" s="116" t="str">
        <f t="shared" ref="A25:A27" si="116">CONCATENATE(B25,"-",G25)</f>
        <v>14-1</v>
      </c>
      <c r="B25" s="117">
        <v>14</v>
      </c>
      <c r="C25" s="22" t="s">
        <v>116</v>
      </c>
      <c r="D25" s="21" t="s">
        <v>475</v>
      </c>
      <c r="E25" s="21" t="s">
        <v>460</v>
      </c>
      <c r="F25" s="21" t="s">
        <v>459</v>
      </c>
      <c r="G25" s="23">
        <v>1</v>
      </c>
      <c r="H25" s="118" t="s">
        <v>379</v>
      </c>
      <c r="I25" s="119" t="s">
        <v>441</v>
      </c>
      <c r="J25" s="118" t="str">
        <f t="shared" si="93"/>
        <v xml:space="preserve">Hose, Fuel ; Ø 11.3 mm × 19.5 mm; ISD-V01-001Y TYPE 2D </v>
      </c>
      <c r="K25" s="120" t="s">
        <v>482</v>
      </c>
      <c r="L25" s="118" t="s">
        <v>442</v>
      </c>
      <c r="M25" s="118" t="s">
        <v>443</v>
      </c>
      <c r="N25" s="121" t="s">
        <v>268</v>
      </c>
      <c r="O25" s="121" t="s">
        <v>269</v>
      </c>
      <c r="P25" s="121" t="s">
        <v>269</v>
      </c>
      <c r="Q25" s="122" t="s">
        <v>188</v>
      </c>
      <c r="R25" s="122" t="s">
        <v>188</v>
      </c>
      <c r="S25" s="122" t="s">
        <v>188</v>
      </c>
      <c r="T25" s="123" t="s">
        <v>434</v>
      </c>
      <c r="U25" s="124" t="s">
        <v>136</v>
      </c>
      <c r="V25" s="124" t="s">
        <v>137</v>
      </c>
      <c r="W25" s="124" t="s">
        <v>444</v>
      </c>
      <c r="X25" s="124" t="s">
        <v>404</v>
      </c>
      <c r="Y25" s="124" t="s">
        <v>192</v>
      </c>
      <c r="Z25" s="124" t="s">
        <v>405</v>
      </c>
      <c r="AA25" s="124" t="s">
        <v>248</v>
      </c>
      <c r="AB25" s="124" t="s">
        <v>113</v>
      </c>
      <c r="AC25" s="117" t="s">
        <v>145</v>
      </c>
      <c r="AD25" s="117" t="s">
        <v>432</v>
      </c>
      <c r="AE25" s="117" t="s">
        <v>145</v>
      </c>
      <c r="AF25" s="117" t="s">
        <v>432</v>
      </c>
      <c r="AG25" s="117" t="s">
        <v>146</v>
      </c>
      <c r="AH25" s="117" t="s">
        <v>432</v>
      </c>
      <c r="AI25" s="124" t="s">
        <v>148</v>
      </c>
      <c r="AJ25" s="124" t="s">
        <v>148</v>
      </c>
      <c r="AK25" s="124" t="s">
        <v>148</v>
      </c>
      <c r="AL25" s="124" t="s">
        <v>148</v>
      </c>
      <c r="AM25" s="124" t="s">
        <v>148</v>
      </c>
      <c r="AN25" s="124" t="s">
        <v>5</v>
      </c>
      <c r="AO25" s="124" t="s">
        <v>89</v>
      </c>
      <c r="AP25" s="124" t="s">
        <v>89</v>
      </c>
      <c r="AQ25" s="124" t="s">
        <v>89</v>
      </c>
      <c r="AR25" s="124" t="s">
        <v>89</v>
      </c>
      <c r="AS25" s="124" t="s">
        <v>148</v>
      </c>
      <c r="AT25" s="124" t="s">
        <v>89</v>
      </c>
      <c r="AU25" s="124" t="s">
        <v>89</v>
      </c>
      <c r="AV25" s="124" t="s">
        <v>5</v>
      </c>
      <c r="AW25" s="124" t="s">
        <v>89</v>
      </c>
      <c r="AX25" s="117" t="s">
        <v>531</v>
      </c>
      <c r="AY25" s="117" t="s">
        <v>533</v>
      </c>
      <c r="AZ25" s="117" t="s">
        <v>532</v>
      </c>
      <c r="BA25" s="117" t="s">
        <v>488</v>
      </c>
      <c r="BB25" s="117" t="s">
        <v>488</v>
      </c>
      <c r="BC25" s="117" t="s">
        <v>488</v>
      </c>
      <c r="BD25" s="117" t="s">
        <v>511</v>
      </c>
      <c r="BE25" s="117" t="s">
        <v>511</v>
      </c>
      <c r="BF25" s="117" t="s">
        <v>511</v>
      </c>
      <c r="BG25" s="117" t="s">
        <v>489</v>
      </c>
      <c r="BH25" s="117" t="s">
        <v>489</v>
      </c>
      <c r="BI25" s="117" t="s">
        <v>490</v>
      </c>
      <c r="BJ25" s="117" t="s">
        <v>534</v>
      </c>
      <c r="BK25" s="117" t="s">
        <v>534</v>
      </c>
      <c r="BL25" s="117">
        <v>48</v>
      </c>
      <c r="BM25" s="117" t="s">
        <v>479</v>
      </c>
      <c r="BN25" s="124" t="s">
        <v>535</v>
      </c>
      <c r="BO25" s="117" t="s">
        <v>5</v>
      </c>
      <c r="BP25" s="124">
        <v>0.5</v>
      </c>
      <c r="BQ25" s="117" t="s">
        <v>178</v>
      </c>
      <c r="BR25" s="117" t="s">
        <v>451</v>
      </c>
      <c r="BS25" s="117" t="s">
        <v>54</v>
      </c>
      <c r="BT25" s="117" t="s">
        <v>173</v>
      </c>
      <c r="BU25" s="117" t="s">
        <v>5</v>
      </c>
      <c r="BV25" s="125" t="s">
        <v>536</v>
      </c>
      <c r="BW25" s="125" t="s">
        <v>536</v>
      </c>
      <c r="BX25" s="125" t="s">
        <v>536</v>
      </c>
      <c r="BY25" s="126" t="s">
        <v>177</v>
      </c>
      <c r="BZ25" s="124" t="s">
        <v>537</v>
      </c>
      <c r="CA25" s="124" t="s">
        <v>453</v>
      </c>
      <c r="CB25" s="124" t="s">
        <v>454</v>
      </c>
      <c r="CC25" s="124" t="s">
        <v>243</v>
      </c>
      <c r="CD25" s="124" t="s">
        <v>378</v>
      </c>
      <c r="CE25" s="124" t="s">
        <v>105</v>
      </c>
      <c r="CF25" s="116" t="str">
        <f>MID(BZ25,1,4)</f>
        <v>11.2</v>
      </c>
      <c r="CG25" s="116" t="str">
        <f>MID(BZ25,6,5)</f>
        <v>0.2</v>
      </c>
      <c r="CH25" s="116" t="e">
        <f t="shared" si="94"/>
        <v>#VALUE!</v>
      </c>
      <c r="CI25" s="116" t="e">
        <f t="shared" si="95"/>
        <v>#VALUE!</v>
      </c>
      <c r="CJ25" s="116" t="e">
        <f t="shared" si="96"/>
        <v>#VALUE!</v>
      </c>
      <c r="CK25" s="116" t="e">
        <f t="shared" si="97"/>
        <v>#VALUE!</v>
      </c>
      <c r="CL25" s="116" t="str">
        <f t="shared" si="98"/>
        <v>1.2</v>
      </c>
      <c r="CM25" s="116" t="str">
        <f t="shared" si="99"/>
        <v>0.2</v>
      </c>
      <c r="CN25" s="116" t="e">
        <f t="shared" si="100"/>
        <v>#VALUE!</v>
      </c>
      <c r="CO25" s="116" t="e">
        <f t="shared" si="101"/>
        <v>#VALUE!</v>
      </c>
      <c r="CP25" s="116" t="e">
        <f t="shared" si="102"/>
        <v>#VALUE!</v>
      </c>
      <c r="CQ25" s="116" t="e">
        <f t="shared" si="103"/>
        <v>#VALUE!</v>
      </c>
      <c r="CR25" s="116" t="str">
        <f t="shared" si="104"/>
        <v>2.2</v>
      </c>
      <c r="CS25" s="116" t="str">
        <f t="shared" si="105"/>
        <v>0.2</v>
      </c>
      <c r="CT25" s="116" t="e">
        <f t="shared" si="106"/>
        <v>#VALUE!</v>
      </c>
      <c r="CU25" s="116" t="e">
        <f t="shared" si="107"/>
        <v>#VALUE!</v>
      </c>
      <c r="CV25" s="116" t="e">
        <f t="shared" si="108"/>
        <v>#VALUE!</v>
      </c>
      <c r="CW25" s="116" t="e">
        <f t="shared" si="109"/>
        <v>#VALUE!</v>
      </c>
      <c r="CX25" s="116" t="str">
        <f t="shared" si="110"/>
        <v>3.6</v>
      </c>
      <c r="CY25" s="116" t="str">
        <f t="shared" si="111"/>
        <v>0.2</v>
      </c>
      <c r="CZ25" s="116" t="e">
        <f t="shared" si="112"/>
        <v>#VALUE!</v>
      </c>
      <c r="DA25" s="116" t="e">
        <f t="shared" si="113"/>
        <v>#VALUE!</v>
      </c>
      <c r="DB25" s="116" t="e">
        <f t="shared" si="114"/>
        <v>#VALUE!</v>
      </c>
      <c r="DC25" s="116" t="e">
        <f t="shared" si="115"/>
        <v>#VALUE!</v>
      </c>
      <c r="DD25" s="127" t="s">
        <v>550</v>
      </c>
    </row>
    <row r="26" spans="1:108" s="127" customFormat="1">
      <c r="A26" s="116" t="str">
        <f t="shared" si="116"/>
        <v>17-0</v>
      </c>
      <c r="B26" s="117">
        <v>17</v>
      </c>
      <c r="C26" s="22" t="s">
        <v>116</v>
      </c>
      <c r="D26" s="21" t="str">
        <f>[1]SOP!$C$37</f>
        <v>SOP/ENG/26/1/1</v>
      </c>
      <c r="E26" s="21" t="s">
        <v>355</v>
      </c>
      <c r="F26" s="21" t="s">
        <v>356</v>
      </c>
      <c r="G26" s="23">
        <v>0</v>
      </c>
      <c r="H26" s="118" t="s">
        <v>83</v>
      </c>
      <c r="I26" s="119" t="s">
        <v>539</v>
      </c>
      <c r="J26" s="118" t="str">
        <f t="shared" si="93"/>
        <v xml:space="preserve">Hose, Fuel; Ø 9.5 mm × 16.5 mm; TSM1644G-7 </v>
      </c>
      <c r="K26" s="118" t="s">
        <v>75</v>
      </c>
      <c r="L26" s="118" t="s">
        <v>357</v>
      </c>
      <c r="M26" s="118" t="s">
        <v>22</v>
      </c>
      <c r="N26" s="121" t="s">
        <v>126</v>
      </c>
      <c r="O26" s="121" t="s">
        <v>127</v>
      </c>
      <c r="P26" s="121" t="s">
        <v>128</v>
      </c>
      <c r="Q26" s="122" t="s">
        <v>188</v>
      </c>
      <c r="R26" s="122" t="s">
        <v>188</v>
      </c>
      <c r="S26" s="122" t="s">
        <v>188</v>
      </c>
      <c r="T26" s="123" t="s">
        <v>434</v>
      </c>
      <c r="U26" s="124" t="s">
        <v>136</v>
      </c>
      <c r="V26" s="124" t="s">
        <v>137</v>
      </c>
      <c r="W26" s="124" t="s">
        <v>190</v>
      </c>
      <c r="X26" s="124" t="s">
        <v>276</v>
      </c>
      <c r="Y26" s="124" t="s">
        <v>358</v>
      </c>
      <c r="Z26" s="124" t="s">
        <v>98</v>
      </c>
      <c r="AA26" s="124" t="s">
        <v>350</v>
      </c>
      <c r="AB26" s="124" t="s">
        <v>113</v>
      </c>
      <c r="AC26" s="117" t="s">
        <v>145</v>
      </c>
      <c r="AD26" s="117" t="s">
        <v>432</v>
      </c>
      <c r="AE26" s="117" t="s">
        <v>145</v>
      </c>
      <c r="AF26" s="117" t="s">
        <v>432</v>
      </c>
      <c r="AG26" s="117" t="s">
        <v>146</v>
      </c>
      <c r="AH26" s="117" t="s">
        <v>432</v>
      </c>
      <c r="AI26" s="124" t="s">
        <v>148</v>
      </c>
      <c r="AJ26" s="124" t="s">
        <v>86</v>
      </c>
      <c r="AK26" s="124" t="s">
        <v>80</v>
      </c>
      <c r="AL26" s="124" t="s">
        <v>82</v>
      </c>
      <c r="AM26" s="124" t="s">
        <v>82</v>
      </c>
      <c r="AN26" s="124" t="s">
        <v>5</v>
      </c>
      <c r="AO26" s="124" t="s">
        <v>86</v>
      </c>
      <c r="AP26" s="124" t="s">
        <v>86</v>
      </c>
      <c r="AQ26" s="124" t="s">
        <v>80</v>
      </c>
      <c r="AR26" s="124" t="s">
        <v>82</v>
      </c>
      <c r="AS26" s="124" t="s">
        <v>148</v>
      </c>
      <c r="AT26" s="124" t="s">
        <v>86</v>
      </c>
      <c r="AU26" s="124" t="s">
        <v>80</v>
      </c>
      <c r="AV26" s="124" t="s">
        <v>5</v>
      </c>
      <c r="AW26" s="124" t="s">
        <v>82</v>
      </c>
      <c r="AX26" s="117" t="s">
        <v>359</v>
      </c>
      <c r="AY26" s="117" t="s">
        <v>150</v>
      </c>
      <c r="AZ26" s="117" t="s">
        <v>360</v>
      </c>
      <c r="BA26" s="117" t="s">
        <v>197</v>
      </c>
      <c r="BB26" s="117" t="s">
        <v>198</v>
      </c>
      <c r="BC26" s="117" t="s">
        <v>199</v>
      </c>
      <c r="BD26" s="117" t="s">
        <v>361</v>
      </c>
      <c r="BE26" s="117" t="s">
        <v>362</v>
      </c>
      <c r="BF26" s="117" t="s">
        <v>363</v>
      </c>
      <c r="BG26" s="117" t="s">
        <v>203</v>
      </c>
      <c r="BH26" s="117" t="s">
        <v>160</v>
      </c>
      <c r="BI26" s="117" t="s">
        <v>161</v>
      </c>
      <c r="BJ26" s="117" t="s">
        <v>364</v>
      </c>
      <c r="BK26" s="117" t="s">
        <v>365</v>
      </c>
      <c r="BL26" s="117">
        <v>45</v>
      </c>
      <c r="BM26" s="117" t="s">
        <v>439</v>
      </c>
      <c r="BN26" s="124" t="s">
        <v>366</v>
      </c>
      <c r="BO26" s="124" t="s">
        <v>212</v>
      </c>
      <c r="BP26" s="124">
        <v>0.5</v>
      </c>
      <c r="BQ26" s="117" t="s">
        <v>178</v>
      </c>
      <c r="BR26" s="117" t="s">
        <v>538</v>
      </c>
      <c r="BS26" s="117" t="s">
        <v>107</v>
      </c>
      <c r="BT26" s="117" t="s">
        <v>173</v>
      </c>
      <c r="BU26" s="128" t="s">
        <v>323</v>
      </c>
      <c r="BV26" s="128" t="s">
        <v>108</v>
      </c>
      <c r="BW26" s="128" t="s">
        <v>108</v>
      </c>
      <c r="BX26" s="128" t="s">
        <v>259</v>
      </c>
      <c r="BY26" s="126" t="s">
        <v>177</v>
      </c>
      <c r="BZ26" s="124" t="s">
        <v>368</v>
      </c>
      <c r="CA26" s="124" t="s">
        <v>329</v>
      </c>
      <c r="CB26" s="124" t="s">
        <v>263</v>
      </c>
      <c r="CC26" s="124" t="s">
        <v>217</v>
      </c>
      <c r="CD26" s="124" t="s">
        <v>244</v>
      </c>
      <c r="CE26" s="124" t="s">
        <v>105</v>
      </c>
      <c r="CF26" s="116" t="str">
        <f t="shared" ref="CF26:CF27" si="117">MID(BZ26,1,3)</f>
        <v>9.6</v>
      </c>
      <c r="CG26" s="116" t="str">
        <f t="shared" ref="CG26:CG27" si="118">MID(BZ26,5,3)</f>
        <v>0.2</v>
      </c>
      <c r="CH26" s="116" t="e">
        <f t="shared" si="94"/>
        <v>#VALUE!</v>
      </c>
      <c r="CI26" s="116" t="e">
        <f t="shared" si="95"/>
        <v>#VALUE!</v>
      </c>
      <c r="CJ26" s="116" t="e">
        <f t="shared" si="96"/>
        <v>#VALUE!</v>
      </c>
      <c r="CK26" s="116" t="e">
        <f t="shared" si="97"/>
        <v>#VALUE!</v>
      </c>
      <c r="CL26" s="116" t="str">
        <f t="shared" si="98"/>
        <v>1.0</v>
      </c>
      <c r="CM26" s="116" t="str">
        <f t="shared" si="99"/>
        <v>0.2</v>
      </c>
      <c r="CN26" s="116" t="e">
        <f t="shared" si="100"/>
        <v>#VALUE!</v>
      </c>
      <c r="CO26" s="116" t="e">
        <f t="shared" si="101"/>
        <v>#VALUE!</v>
      </c>
      <c r="CP26" s="116" t="e">
        <f t="shared" si="102"/>
        <v>#VALUE!</v>
      </c>
      <c r="CQ26" s="116" t="e">
        <f t="shared" si="103"/>
        <v>#VALUE!</v>
      </c>
      <c r="CR26" s="116" t="str">
        <f t="shared" si="104"/>
        <v>2.0</v>
      </c>
      <c r="CS26" s="116" t="str">
        <f t="shared" si="105"/>
        <v>0.2</v>
      </c>
      <c r="CT26" s="116" t="e">
        <f t="shared" si="106"/>
        <v>#VALUE!</v>
      </c>
      <c r="CU26" s="116" t="e">
        <f t="shared" si="107"/>
        <v>#VALUE!</v>
      </c>
      <c r="CV26" s="116" t="e">
        <f t="shared" si="108"/>
        <v>#VALUE!</v>
      </c>
      <c r="CW26" s="116" t="e">
        <f t="shared" si="109"/>
        <v>#VALUE!</v>
      </c>
      <c r="CX26" s="116" t="str">
        <f t="shared" si="110"/>
        <v>3.4</v>
      </c>
      <c r="CY26" s="116" t="str">
        <f t="shared" si="111"/>
        <v>0.2</v>
      </c>
      <c r="CZ26" s="116" t="e">
        <f t="shared" si="112"/>
        <v>#VALUE!</v>
      </c>
      <c r="DA26" s="116" t="e">
        <f t="shared" si="113"/>
        <v>#VALUE!</v>
      </c>
      <c r="DB26" s="116" t="e">
        <f t="shared" si="114"/>
        <v>#VALUE!</v>
      </c>
      <c r="DC26" s="116" t="e">
        <f t="shared" si="115"/>
        <v>#VALUE!</v>
      </c>
      <c r="DD26" s="127" t="s">
        <v>558</v>
      </c>
    </row>
    <row r="27" spans="1:108" s="127" customFormat="1">
      <c r="A27" s="116" t="str">
        <f t="shared" si="116"/>
        <v>3-2</v>
      </c>
      <c r="B27" s="117">
        <v>3</v>
      </c>
      <c r="C27" s="22" t="s">
        <v>116</v>
      </c>
      <c r="D27" s="21" t="s">
        <v>463</v>
      </c>
      <c r="E27" s="21" t="s">
        <v>272</v>
      </c>
      <c r="F27" s="21" t="s">
        <v>273</v>
      </c>
      <c r="G27" s="23">
        <v>2</v>
      </c>
      <c r="H27" s="118" t="s">
        <v>83</v>
      </c>
      <c r="I27" s="119" t="s">
        <v>540</v>
      </c>
      <c r="J27" s="118" t="str">
        <f t="shared" si="93"/>
        <v xml:space="preserve">Hose, Fuel; Ø 7.6 mm × 14 mm; TSM1644G-5 </v>
      </c>
      <c r="K27" s="118" t="s">
        <v>75</v>
      </c>
      <c r="L27" s="118" t="s">
        <v>220</v>
      </c>
      <c r="M27" s="118" t="s">
        <v>30</v>
      </c>
      <c r="N27" s="121" t="s">
        <v>221</v>
      </c>
      <c r="O27" s="121" t="s">
        <v>222</v>
      </c>
      <c r="P27" s="121" t="s">
        <v>223</v>
      </c>
      <c r="Q27" s="122" t="s">
        <v>188</v>
      </c>
      <c r="R27" s="122" t="s">
        <v>188</v>
      </c>
      <c r="S27" s="122" t="s">
        <v>188</v>
      </c>
      <c r="T27" s="123" t="s">
        <v>434</v>
      </c>
      <c r="U27" s="124" t="s">
        <v>136</v>
      </c>
      <c r="V27" s="124" t="s">
        <v>137</v>
      </c>
      <c r="W27" s="124" t="s">
        <v>224</v>
      </c>
      <c r="X27" s="124" t="s">
        <v>541</v>
      </c>
      <c r="Y27" s="124" t="s">
        <v>542</v>
      </c>
      <c r="Z27" s="124" t="s">
        <v>247</v>
      </c>
      <c r="AA27" s="124" t="s">
        <v>193</v>
      </c>
      <c r="AB27" s="124" t="s">
        <v>113</v>
      </c>
      <c r="AC27" s="117" t="s">
        <v>145</v>
      </c>
      <c r="AD27" s="117" t="s">
        <v>432</v>
      </c>
      <c r="AE27" s="117" t="s">
        <v>145</v>
      </c>
      <c r="AF27" s="117" t="s">
        <v>432</v>
      </c>
      <c r="AG27" s="117" t="s">
        <v>146</v>
      </c>
      <c r="AH27" s="117" t="s">
        <v>432</v>
      </c>
      <c r="AI27" s="124" t="s">
        <v>148</v>
      </c>
      <c r="AJ27" s="124" t="s">
        <v>148</v>
      </c>
      <c r="AK27" s="124" t="s">
        <v>148</v>
      </c>
      <c r="AL27" s="124" t="s">
        <v>148</v>
      </c>
      <c r="AM27" s="124" t="s">
        <v>148</v>
      </c>
      <c r="AN27" s="124" t="s">
        <v>5</v>
      </c>
      <c r="AO27" s="124" t="s">
        <v>89</v>
      </c>
      <c r="AP27" s="124" t="s">
        <v>89</v>
      </c>
      <c r="AQ27" s="124" t="s">
        <v>148</v>
      </c>
      <c r="AR27" s="124" t="s">
        <v>148</v>
      </c>
      <c r="AS27" s="124" t="s">
        <v>148</v>
      </c>
      <c r="AT27" s="124" t="s">
        <v>86</v>
      </c>
      <c r="AU27" s="124" t="s">
        <v>80</v>
      </c>
      <c r="AV27" s="124" t="s">
        <v>5</v>
      </c>
      <c r="AW27" s="124" t="s">
        <v>82</v>
      </c>
      <c r="AX27" s="117" t="s">
        <v>544</v>
      </c>
      <c r="AY27" s="117" t="s">
        <v>228</v>
      </c>
      <c r="AZ27" s="117" t="s">
        <v>543</v>
      </c>
      <c r="BA27" s="117" t="s">
        <v>488</v>
      </c>
      <c r="BB27" s="117" t="s">
        <v>488</v>
      </c>
      <c r="BC27" s="117" t="s">
        <v>488</v>
      </c>
      <c r="BD27" s="117" t="s">
        <v>511</v>
      </c>
      <c r="BE27" s="117" t="s">
        <v>511</v>
      </c>
      <c r="BF27" s="117" t="s">
        <v>511</v>
      </c>
      <c r="BG27" s="117" t="s">
        <v>489</v>
      </c>
      <c r="BH27" s="117" t="s">
        <v>489</v>
      </c>
      <c r="BI27" s="117" t="s">
        <v>489</v>
      </c>
      <c r="BJ27" s="117" t="s">
        <v>238</v>
      </c>
      <c r="BK27" s="117" t="s">
        <v>238</v>
      </c>
      <c r="BL27" s="117">
        <v>37</v>
      </c>
      <c r="BM27" s="117" t="s">
        <v>436</v>
      </c>
      <c r="BN27" s="124" t="s">
        <v>545</v>
      </c>
      <c r="BO27" s="124" t="s">
        <v>224</v>
      </c>
      <c r="BP27" s="124">
        <v>0.5</v>
      </c>
      <c r="BQ27" s="117" t="s">
        <v>178</v>
      </c>
      <c r="BR27" s="117" t="s">
        <v>548</v>
      </c>
      <c r="BS27" s="117" t="s">
        <v>95</v>
      </c>
      <c r="BT27" s="117" t="s">
        <v>173</v>
      </c>
      <c r="BU27" s="128" t="s">
        <v>112</v>
      </c>
      <c r="BV27" s="128" t="s">
        <v>546</v>
      </c>
      <c r="BW27" s="128" t="s">
        <v>546</v>
      </c>
      <c r="BX27" s="128" t="s">
        <v>546</v>
      </c>
      <c r="BY27" s="126" t="s">
        <v>547</v>
      </c>
      <c r="BZ27" s="124" t="s">
        <v>309</v>
      </c>
      <c r="CA27" s="124" t="s">
        <v>242</v>
      </c>
      <c r="CB27" s="124" t="s">
        <v>262</v>
      </c>
      <c r="CC27" s="124" t="s">
        <v>217</v>
      </c>
      <c r="CD27" s="124" t="s">
        <v>283</v>
      </c>
      <c r="CE27" s="124" t="s">
        <v>105</v>
      </c>
      <c r="CF27" s="116" t="str">
        <f t="shared" si="117"/>
        <v>7.6</v>
      </c>
      <c r="CG27" s="116" t="str">
        <f t="shared" si="118"/>
        <v>0.2</v>
      </c>
      <c r="CH27" s="116" t="e">
        <f t="shared" si="94"/>
        <v>#VALUE!</v>
      </c>
      <c r="CI27" s="116" t="e">
        <f t="shared" si="95"/>
        <v>#VALUE!</v>
      </c>
      <c r="CJ27" s="116" t="e">
        <f t="shared" si="96"/>
        <v>#VALUE!</v>
      </c>
      <c r="CK27" s="116" t="e">
        <f t="shared" si="97"/>
        <v>#VALUE!</v>
      </c>
      <c r="CL27" s="116" t="str">
        <f t="shared" si="98"/>
        <v>0.7</v>
      </c>
      <c r="CM27" s="116" t="str">
        <f t="shared" si="99"/>
        <v>0.2</v>
      </c>
      <c r="CN27" s="116" t="e">
        <f t="shared" si="100"/>
        <v>#VALUE!</v>
      </c>
      <c r="CO27" s="116" t="e">
        <f t="shared" si="101"/>
        <v>#VALUE!</v>
      </c>
      <c r="CP27" s="116" t="e">
        <f t="shared" si="102"/>
        <v>#VALUE!</v>
      </c>
      <c r="CQ27" s="116" t="e">
        <f t="shared" si="103"/>
        <v>#VALUE!</v>
      </c>
      <c r="CR27" s="116" t="str">
        <f t="shared" si="104"/>
        <v>2.0</v>
      </c>
      <c r="CS27" s="116" t="str">
        <f t="shared" si="105"/>
        <v>0.2</v>
      </c>
      <c r="CT27" s="116" t="e">
        <f t="shared" si="106"/>
        <v>#VALUE!</v>
      </c>
      <c r="CU27" s="116" t="e">
        <f t="shared" si="107"/>
        <v>#VALUE!</v>
      </c>
      <c r="CV27" s="116" t="e">
        <f t="shared" si="108"/>
        <v>#VALUE!</v>
      </c>
      <c r="CW27" s="116" t="e">
        <f t="shared" si="109"/>
        <v>#VALUE!</v>
      </c>
      <c r="CX27" s="116" t="str">
        <f t="shared" si="110"/>
        <v>3.2</v>
      </c>
      <c r="CY27" s="116" t="str">
        <f t="shared" si="111"/>
        <v>0.2</v>
      </c>
      <c r="CZ27" s="116" t="e">
        <f t="shared" si="112"/>
        <v>#VALUE!</v>
      </c>
      <c r="DA27" s="116" t="e">
        <f t="shared" si="113"/>
        <v>#VALUE!</v>
      </c>
      <c r="DB27" s="116" t="e">
        <f t="shared" si="114"/>
        <v>#VALUE!</v>
      </c>
      <c r="DC27" s="116" t="e">
        <f t="shared" si="115"/>
        <v>#VALUE!</v>
      </c>
      <c r="DD27" s="127" t="s">
        <v>555</v>
      </c>
    </row>
    <row r="28" spans="1:108" s="30" customFormat="1">
      <c r="A28" s="20"/>
      <c r="B28" s="21"/>
      <c r="C28" s="22" t="s">
        <v>116</v>
      </c>
      <c r="D28" s="21"/>
      <c r="E28" s="21"/>
      <c r="F28" s="21"/>
      <c r="G28" s="23"/>
      <c r="H28" s="24"/>
      <c r="I28" s="25"/>
      <c r="J28" s="24"/>
      <c r="K28" s="24"/>
      <c r="L28" s="24"/>
      <c r="M28" s="24"/>
      <c r="N28" s="22"/>
      <c r="O28" s="22"/>
      <c r="P28" s="22"/>
      <c r="Q28" s="26"/>
      <c r="R28" s="26"/>
      <c r="S28" s="54"/>
      <c r="T28" s="52"/>
      <c r="U28" s="52"/>
      <c r="V28" s="52"/>
      <c r="W28" s="27"/>
      <c r="X28" s="27"/>
      <c r="Y28" s="28"/>
      <c r="Z28" s="28"/>
      <c r="AA28" s="28"/>
      <c r="AB28" s="28"/>
      <c r="AC28" s="21"/>
      <c r="AD28" s="21"/>
      <c r="AE28" s="21"/>
      <c r="AF28" s="21"/>
      <c r="AG28" s="21"/>
      <c r="AH28" s="21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8"/>
      <c r="BQ28" s="21"/>
      <c r="BR28" s="21" t="s">
        <v>548</v>
      </c>
      <c r="BS28" s="21"/>
      <c r="BT28" s="21"/>
      <c r="BU28" s="21"/>
      <c r="BV28" s="29"/>
      <c r="BW28" s="29"/>
      <c r="BX28" s="29"/>
      <c r="BY28" s="29"/>
      <c r="BZ28" s="28"/>
      <c r="CA28" s="28"/>
      <c r="CB28" s="28"/>
      <c r="CC28" s="28"/>
      <c r="CD28" s="28"/>
      <c r="CE28" s="28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</row>
    <row r="29" spans="1:108" s="30" customFormat="1">
      <c r="A29" s="20"/>
      <c r="B29" s="21"/>
      <c r="C29" s="22" t="s">
        <v>116</v>
      </c>
      <c r="D29" s="21"/>
      <c r="E29" s="21"/>
      <c r="F29" s="21"/>
      <c r="G29" s="23"/>
      <c r="H29" s="24"/>
      <c r="I29" s="25"/>
      <c r="J29" s="24"/>
      <c r="K29" s="24"/>
      <c r="L29" s="24"/>
      <c r="M29" s="24"/>
      <c r="N29" s="22"/>
      <c r="O29" s="22"/>
      <c r="P29" s="22"/>
      <c r="Q29" s="26"/>
      <c r="R29" s="26"/>
      <c r="S29" s="54"/>
      <c r="T29" s="52"/>
      <c r="U29" s="52"/>
      <c r="V29" s="52"/>
      <c r="W29" s="27"/>
      <c r="X29" s="27"/>
      <c r="Y29" s="28"/>
      <c r="Z29" s="28"/>
      <c r="AA29" s="28"/>
      <c r="AB29" s="28"/>
      <c r="AC29" s="21"/>
      <c r="AD29" s="21"/>
      <c r="AE29" s="21"/>
      <c r="AF29" s="21"/>
      <c r="AG29" s="21"/>
      <c r="AH29" s="21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8"/>
      <c r="BQ29" s="21"/>
      <c r="BR29" s="21"/>
      <c r="BS29" s="21"/>
      <c r="BT29" s="21"/>
      <c r="BU29" s="21"/>
      <c r="BV29" s="29"/>
      <c r="BW29" s="29"/>
      <c r="BX29" s="29"/>
      <c r="BY29" s="29"/>
      <c r="BZ29" s="28"/>
      <c r="CA29" s="28"/>
      <c r="CB29" s="28"/>
      <c r="CC29" s="28"/>
      <c r="CD29" s="28"/>
      <c r="CE29" s="28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</row>
    <row r="30" spans="1:108" s="30" customFormat="1">
      <c r="A30" s="20"/>
      <c r="B30" s="21"/>
      <c r="C30" s="22" t="s">
        <v>116</v>
      </c>
      <c r="D30" s="21"/>
      <c r="E30" s="21"/>
      <c r="F30" s="21"/>
      <c r="G30" s="23"/>
      <c r="H30" s="24"/>
      <c r="I30" s="25"/>
      <c r="J30" s="24"/>
      <c r="K30" s="24"/>
      <c r="L30" s="24"/>
      <c r="M30" s="24"/>
      <c r="N30" s="22"/>
      <c r="O30" s="22"/>
      <c r="P30" s="22"/>
      <c r="Q30" s="26"/>
      <c r="R30" s="26"/>
      <c r="S30" s="54"/>
      <c r="T30" s="52"/>
      <c r="U30" s="52"/>
      <c r="V30" s="52"/>
      <c r="W30" s="27"/>
      <c r="X30" s="27"/>
      <c r="Y30" s="22"/>
      <c r="Z30" s="22"/>
      <c r="AA30" s="28"/>
      <c r="AB30" s="28"/>
      <c r="AC30" s="21"/>
      <c r="AD30" s="21"/>
      <c r="AE30" s="21"/>
      <c r="AF30" s="21"/>
      <c r="AG30" s="21"/>
      <c r="AH30" s="21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8"/>
      <c r="BQ30" s="21"/>
      <c r="BR30" s="21"/>
      <c r="BS30" s="21"/>
      <c r="BT30" s="21"/>
      <c r="BU30" s="21"/>
      <c r="BV30" s="29"/>
      <c r="BW30" s="29"/>
      <c r="BX30" s="29"/>
      <c r="BY30" s="29"/>
      <c r="BZ30" s="28"/>
      <c r="CA30" s="28"/>
      <c r="CB30" s="21"/>
      <c r="CC30" s="21"/>
      <c r="CD30" s="28"/>
      <c r="CE30" s="28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</row>
    <row r="31" spans="1:108" s="30" customFormat="1">
      <c r="A31" s="20"/>
      <c r="B31" s="21"/>
      <c r="C31" s="22" t="s">
        <v>116</v>
      </c>
      <c r="D31" s="21"/>
      <c r="E31" s="21"/>
      <c r="F31" s="21"/>
      <c r="G31" s="23"/>
      <c r="H31" s="24"/>
      <c r="I31" s="25"/>
      <c r="J31" s="24"/>
      <c r="K31" s="24"/>
      <c r="L31" s="24"/>
      <c r="M31" s="24"/>
      <c r="N31" s="22"/>
      <c r="O31" s="22"/>
      <c r="P31" s="22"/>
      <c r="Q31" s="26"/>
      <c r="R31" s="26"/>
      <c r="S31" s="54"/>
      <c r="T31" s="52"/>
      <c r="U31" s="52"/>
      <c r="V31" s="52"/>
      <c r="W31" s="27"/>
      <c r="X31" s="27"/>
      <c r="Y31" s="22"/>
      <c r="Z31" s="22"/>
      <c r="AA31" s="28"/>
      <c r="AB31" s="28"/>
      <c r="AC31" s="21"/>
      <c r="AD31" s="21"/>
      <c r="AE31" s="21"/>
      <c r="AF31" s="21"/>
      <c r="AG31" s="21"/>
      <c r="AH31" s="21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8"/>
      <c r="BQ31" s="21"/>
      <c r="BR31" s="21"/>
      <c r="BS31" s="21"/>
      <c r="BT31" s="21"/>
      <c r="BU31" s="21"/>
      <c r="BV31" s="29"/>
      <c r="BW31" s="29"/>
      <c r="BX31" s="29"/>
      <c r="BY31" s="29"/>
      <c r="BZ31" s="28"/>
      <c r="CA31" s="28"/>
      <c r="CB31" s="28"/>
      <c r="CC31" s="28"/>
      <c r="CD31" s="28"/>
      <c r="CE31" s="28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</row>
    <row r="32" spans="1:108" s="30" customFormat="1">
      <c r="A32" s="20"/>
      <c r="B32" s="21"/>
      <c r="C32" s="22" t="s">
        <v>116</v>
      </c>
      <c r="D32" s="21"/>
      <c r="E32" s="21"/>
      <c r="F32" s="21"/>
      <c r="G32" s="23"/>
      <c r="H32" s="24"/>
      <c r="I32" s="25"/>
      <c r="J32" s="24"/>
      <c r="K32" s="24"/>
      <c r="L32" s="24"/>
      <c r="M32" s="24"/>
      <c r="N32" s="22"/>
      <c r="O32" s="22"/>
      <c r="P32" s="22"/>
      <c r="Q32" s="26"/>
      <c r="R32" s="26"/>
      <c r="S32" s="54"/>
      <c r="T32" s="52"/>
      <c r="U32" s="52"/>
      <c r="V32" s="52"/>
      <c r="W32" s="27"/>
      <c r="X32" s="27"/>
      <c r="Y32" s="22"/>
      <c r="Z32" s="22"/>
      <c r="AA32" s="28"/>
      <c r="AB32" s="28"/>
      <c r="AC32" s="21"/>
      <c r="AD32" s="21"/>
      <c r="AE32" s="21"/>
      <c r="AF32" s="21"/>
      <c r="AG32" s="21"/>
      <c r="AH32" s="21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8"/>
      <c r="BQ32" s="21"/>
      <c r="BR32" s="21"/>
      <c r="BS32" s="21"/>
      <c r="BT32" s="21"/>
      <c r="BU32" s="21"/>
      <c r="BV32" s="29"/>
      <c r="BW32" s="29"/>
      <c r="BX32" s="29"/>
      <c r="BY32" s="29"/>
      <c r="BZ32" s="28"/>
      <c r="CA32" s="28"/>
      <c r="CB32" s="21"/>
      <c r="CC32" s="21"/>
      <c r="CD32" s="28"/>
      <c r="CE32" s="28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</row>
    <row r="33" spans="1:107" s="30" customFormat="1">
      <c r="A33" s="20"/>
      <c r="B33" s="21"/>
      <c r="C33" s="22" t="s">
        <v>116</v>
      </c>
      <c r="D33" s="21"/>
      <c r="E33" s="21"/>
      <c r="F33" s="21"/>
      <c r="G33" s="23"/>
      <c r="H33" s="24"/>
      <c r="I33" s="25"/>
      <c r="J33" s="24"/>
      <c r="K33" s="24"/>
      <c r="L33" s="24"/>
      <c r="M33" s="24"/>
      <c r="N33" s="22"/>
      <c r="O33" s="22"/>
      <c r="P33" s="22"/>
      <c r="Q33" s="26"/>
      <c r="R33" s="26"/>
      <c r="S33" s="54"/>
      <c r="T33" s="52"/>
      <c r="U33" s="52"/>
      <c r="V33" s="52"/>
      <c r="W33" s="27"/>
      <c r="X33" s="27"/>
      <c r="Y33" s="22"/>
      <c r="Z33" s="22"/>
      <c r="AA33" s="28"/>
      <c r="AB33" s="28"/>
      <c r="AC33" s="21"/>
      <c r="AD33" s="21"/>
      <c r="AE33" s="21"/>
      <c r="AF33" s="21"/>
      <c r="AG33" s="21"/>
      <c r="AH33" s="21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8"/>
      <c r="BQ33" s="21"/>
      <c r="BR33" s="21"/>
      <c r="BS33" s="21"/>
      <c r="BT33" s="21"/>
      <c r="BU33" s="21"/>
      <c r="BV33" s="29"/>
      <c r="BW33" s="29"/>
      <c r="BX33" s="29"/>
      <c r="BY33" s="29"/>
      <c r="BZ33" s="28"/>
      <c r="CA33" s="28"/>
      <c r="CB33" s="28"/>
      <c r="CC33" s="28"/>
      <c r="CD33" s="28"/>
      <c r="CE33" s="28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</row>
    <row r="34" spans="1:107" s="30" customFormat="1">
      <c r="A34" s="20"/>
      <c r="B34" s="21"/>
      <c r="C34" s="22" t="s">
        <v>116</v>
      </c>
      <c r="D34" s="21"/>
      <c r="E34" s="21"/>
      <c r="F34" s="21"/>
      <c r="G34" s="23"/>
      <c r="H34" s="24"/>
      <c r="I34" s="25"/>
      <c r="J34" s="24"/>
      <c r="K34" s="24"/>
      <c r="L34" s="24"/>
      <c r="M34" s="24"/>
      <c r="N34" s="22"/>
      <c r="O34" s="22"/>
      <c r="P34" s="22"/>
      <c r="Q34" s="26"/>
      <c r="R34" s="26"/>
      <c r="S34" s="54"/>
      <c r="T34" s="52"/>
      <c r="U34" s="52"/>
      <c r="V34" s="52"/>
      <c r="W34" s="27"/>
      <c r="X34" s="27"/>
      <c r="Y34" s="22"/>
      <c r="Z34" s="22"/>
      <c r="AA34" s="28"/>
      <c r="AB34" s="28"/>
      <c r="AC34" s="21"/>
      <c r="AD34" s="21"/>
      <c r="AE34" s="21"/>
      <c r="AF34" s="21"/>
      <c r="AG34" s="21"/>
      <c r="AH34" s="21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8"/>
      <c r="BQ34" s="21"/>
      <c r="BR34" s="21"/>
      <c r="BS34" s="21"/>
      <c r="BT34" s="21"/>
      <c r="BU34" s="21"/>
      <c r="BV34" s="29"/>
      <c r="BW34" s="29"/>
      <c r="BX34" s="29"/>
      <c r="BY34" s="29"/>
      <c r="BZ34" s="28"/>
      <c r="CA34" s="28"/>
      <c r="CB34" s="21"/>
      <c r="CC34" s="21"/>
      <c r="CD34" s="28"/>
      <c r="CE34" s="28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</row>
    <row r="35" spans="1:107" s="30" customFormat="1">
      <c r="A35" s="20"/>
      <c r="B35" s="21"/>
      <c r="C35" s="22" t="s">
        <v>116</v>
      </c>
      <c r="D35" s="21"/>
      <c r="E35" s="21"/>
      <c r="F35" s="21"/>
      <c r="G35" s="23"/>
      <c r="H35" s="24"/>
      <c r="I35" s="25"/>
      <c r="J35" s="24"/>
      <c r="K35" s="24"/>
      <c r="L35" s="24"/>
      <c r="M35" s="31"/>
      <c r="N35" s="22"/>
      <c r="O35" s="22"/>
      <c r="P35" s="22"/>
      <c r="Q35" s="26"/>
      <c r="R35" s="26"/>
      <c r="S35" s="54"/>
      <c r="T35" s="52"/>
      <c r="U35" s="52"/>
      <c r="V35" s="52"/>
      <c r="W35" s="27"/>
      <c r="X35" s="27"/>
      <c r="Y35" s="22"/>
      <c r="Z35" s="22"/>
      <c r="AA35" s="28"/>
      <c r="AB35" s="28"/>
      <c r="AC35" s="21"/>
      <c r="AD35" s="21"/>
      <c r="AE35" s="21"/>
      <c r="AF35" s="21"/>
      <c r="AG35" s="21"/>
      <c r="AH35" s="21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8"/>
      <c r="BQ35" s="21"/>
      <c r="BR35" s="21"/>
      <c r="BS35" s="21"/>
      <c r="BT35" s="21"/>
      <c r="BU35" s="21"/>
      <c r="BV35" s="29"/>
      <c r="BW35" s="29"/>
      <c r="BX35" s="29"/>
      <c r="BY35" s="29"/>
      <c r="BZ35" s="28"/>
      <c r="CA35" s="28"/>
      <c r="CB35" s="21"/>
      <c r="CC35" s="21"/>
      <c r="CD35" s="28"/>
      <c r="CE35" s="28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</row>
    <row r="36" spans="1:107" s="30" customFormat="1">
      <c r="A36" s="20"/>
      <c r="B36" s="21"/>
      <c r="C36" s="22" t="s">
        <v>116</v>
      </c>
      <c r="D36" s="21"/>
      <c r="E36" s="21"/>
      <c r="F36" s="21"/>
      <c r="G36" s="23"/>
      <c r="H36" s="24"/>
      <c r="I36" s="25"/>
      <c r="J36" s="24"/>
      <c r="K36" s="24"/>
      <c r="L36" s="24"/>
      <c r="M36" s="44"/>
      <c r="N36" s="45"/>
      <c r="O36" s="45"/>
      <c r="P36" s="45"/>
      <c r="Q36" s="46"/>
      <c r="R36" s="46"/>
      <c r="S36" s="55"/>
      <c r="T36" s="52"/>
      <c r="U36" s="52"/>
      <c r="V36" s="52"/>
      <c r="W36" s="47"/>
      <c r="X36" s="47"/>
      <c r="Y36" s="45"/>
      <c r="Z36" s="45"/>
      <c r="AA36" s="48"/>
      <c r="AB36" s="48"/>
      <c r="AC36" s="49"/>
      <c r="AD36" s="49"/>
      <c r="AE36" s="49"/>
      <c r="AF36" s="49"/>
      <c r="AG36" s="49"/>
      <c r="AH36" s="49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8"/>
      <c r="BQ36" s="49"/>
      <c r="BR36" s="49"/>
      <c r="BS36" s="49"/>
      <c r="BT36" s="49"/>
      <c r="BU36" s="49"/>
      <c r="BV36" s="50"/>
      <c r="BW36" s="50"/>
      <c r="BX36" s="50"/>
      <c r="BY36" s="50"/>
      <c r="BZ36" s="48"/>
      <c r="CA36" s="48"/>
      <c r="CB36" s="49"/>
      <c r="CC36" s="49"/>
      <c r="CD36" s="48"/>
      <c r="CE36" s="48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</row>
    <row r="37" spans="1:107" s="30" customFormat="1">
      <c r="A37" s="20"/>
      <c r="B37" s="21"/>
      <c r="C37" s="22" t="s">
        <v>116</v>
      </c>
      <c r="D37" s="21"/>
      <c r="E37" s="21"/>
      <c r="F37" s="21"/>
      <c r="G37" s="23"/>
      <c r="H37" s="24"/>
      <c r="I37" s="25"/>
      <c r="J37" s="20"/>
      <c r="K37" s="20"/>
      <c r="L37" s="24"/>
      <c r="M37" s="20"/>
      <c r="N37" s="51"/>
      <c r="O37" s="51"/>
      <c r="P37" s="51"/>
      <c r="Q37" s="52"/>
      <c r="R37" s="52"/>
      <c r="S37" s="56"/>
      <c r="T37" s="52"/>
      <c r="U37" s="52"/>
      <c r="V37" s="52"/>
      <c r="W37" s="27"/>
      <c r="X37" s="27"/>
      <c r="Y37" s="51"/>
      <c r="Z37" s="51"/>
      <c r="AA37" s="28"/>
      <c r="AB37" s="28"/>
      <c r="AC37" s="21"/>
      <c r="AD37" s="21"/>
      <c r="AE37" s="21"/>
      <c r="AF37" s="21"/>
      <c r="AG37" s="21"/>
      <c r="AH37" s="21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1"/>
      <c r="AY37" s="21"/>
      <c r="AZ37" s="21"/>
      <c r="BA37" s="21"/>
      <c r="BB37" s="21"/>
      <c r="BC37" s="21"/>
      <c r="BD37" s="21"/>
      <c r="BE37" s="21"/>
      <c r="BF37" s="21"/>
      <c r="BG37" s="34"/>
      <c r="BH37" s="34"/>
      <c r="BI37" s="34"/>
      <c r="BJ37" s="34"/>
      <c r="BK37" s="34"/>
      <c r="BL37" s="34"/>
      <c r="BM37" s="34"/>
      <c r="BN37" s="34"/>
      <c r="BO37" s="34"/>
      <c r="BP37" s="28"/>
      <c r="BQ37" s="21"/>
      <c r="BR37" s="21"/>
      <c r="BS37" s="21"/>
      <c r="BT37" s="21"/>
      <c r="BU37" s="21"/>
      <c r="BV37" s="29"/>
      <c r="BW37" s="29"/>
      <c r="BX37" s="29"/>
      <c r="BY37" s="29"/>
      <c r="BZ37" s="28"/>
      <c r="CA37" s="21"/>
      <c r="CB37" s="21"/>
      <c r="CC37" s="21"/>
      <c r="CD37" s="28"/>
      <c r="CE37" s="28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</row>
    <row r="38" spans="1:107" s="30" customFormat="1">
      <c r="A38" s="20"/>
      <c r="B38" s="35"/>
      <c r="C38" s="22" t="s">
        <v>116</v>
      </c>
      <c r="D38" s="21"/>
      <c r="E38" s="21"/>
      <c r="F38" s="21"/>
      <c r="G38" s="23"/>
      <c r="H38" s="24"/>
      <c r="I38" s="25"/>
      <c r="J38" s="20"/>
      <c r="K38" s="32"/>
      <c r="L38" s="24"/>
      <c r="M38" s="20"/>
      <c r="N38" s="51"/>
      <c r="O38" s="51"/>
      <c r="P38" s="51"/>
      <c r="Q38" s="52"/>
      <c r="R38" s="52"/>
      <c r="S38" s="56"/>
      <c r="T38" s="52"/>
      <c r="U38" s="52"/>
      <c r="V38" s="52"/>
      <c r="W38" s="27"/>
      <c r="X38" s="27"/>
      <c r="Y38" s="22"/>
      <c r="Z38" s="22"/>
      <c r="AA38" s="28"/>
      <c r="AB38" s="28"/>
      <c r="AC38" s="21"/>
      <c r="AD38" s="21"/>
      <c r="AE38" s="21"/>
      <c r="AF38" s="21"/>
      <c r="AG38" s="21"/>
      <c r="AH38" s="21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8"/>
      <c r="BQ38" s="21"/>
      <c r="BR38" s="21"/>
      <c r="BS38" s="21"/>
      <c r="BT38" s="21"/>
      <c r="BU38" s="21"/>
      <c r="BV38" s="29"/>
      <c r="BW38" s="29"/>
      <c r="BX38" s="29"/>
      <c r="BY38" s="29"/>
      <c r="BZ38" s="28"/>
      <c r="CA38" s="28"/>
      <c r="CB38" s="28"/>
      <c r="CC38" s="28"/>
      <c r="CD38" s="28"/>
      <c r="CE38" s="28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</row>
    <row r="39" spans="1:107" s="30" customFormat="1">
      <c r="A39" s="20"/>
      <c r="B39" s="35"/>
      <c r="C39" s="22" t="s">
        <v>116</v>
      </c>
      <c r="D39" s="21"/>
      <c r="E39" s="21"/>
      <c r="F39" s="21"/>
      <c r="G39" s="23"/>
      <c r="H39" s="24"/>
      <c r="I39" s="25"/>
      <c r="J39" s="20"/>
      <c r="K39" s="32"/>
      <c r="L39" s="24"/>
      <c r="M39" s="20"/>
      <c r="N39" s="51"/>
      <c r="O39" s="51"/>
      <c r="P39" s="51"/>
      <c r="Q39" s="52"/>
      <c r="R39" s="52"/>
      <c r="S39" s="56"/>
      <c r="T39" s="52"/>
      <c r="U39" s="52"/>
      <c r="V39" s="52"/>
      <c r="W39" s="53"/>
      <c r="X39" s="53"/>
      <c r="Y39" s="28"/>
      <c r="Z39" s="28"/>
      <c r="AA39" s="28"/>
      <c r="AB39" s="28"/>
      <c r="AC39" s="21"/>
      <c r="AD39" s="21"/>
      <c r="AE39" s="21"/>
      <c r="AF39" s="21"/>
      <c r="AG39" s="21"/>
      <c r="AH39" s="21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8"/>
      <c r="BQ39" s="21"/>
      <c r="BR39" s="21"/>
      <c r="BS39" s="21"/>
      <c r="BT39" s="21"/>
      <c r="BU39" s="21"/>
      <c r="BV39" s="29"/>
      <c r="BW39" s="29"/>
      <c r="BX39" s="29"/>
      <c r="BY39" s="29"/>
      <c r="BZ39" s="28"/>
      <c r="CA39" s="28"/>
      <c r="CB39" s="28"/>
      <c r="CC39" s="28"/>
      <c r="CD39" s="28"/>
      <c r="CE39" s="28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</row>
    <row r="40" spans="1:107" s="30" customFormat="1">
      <c r="A40" s="20"/>
      <c r="B40" s="21"/>
      <c r="C40" s="22" t="s">
        <v>116</v>
      </c>
      <c r="D40" s="21"/>
      <c r="E40" s="21"/>
      <c r="F40" s="21"/>
      <c r="G40" s="23"/>
      <c r="H40" s="24"/>
      <c r="I40" s="25"/>
      <c r="J40" s="20"/>
      <c r="K40" s="20"/>
      <c r="L40" s="24"/>
      <c r="M40" s="20"/>
      <c r="N40" s="51"/>
      <c r="O40" s="51"/>
      <c r="P40" s="51"/>
      <c r="Q40" s="52"/>
      <c r="R40" s="52"/>
      <c r="S40" s="52"/>
      <c r="T40" s="52"/>
      <c r="U40" s="52"/>
      <c r="V40" s="52"/>
      <c r="W40" s="27"/>
      <c r="X40" s="27"/>
      <c r="Y40" s="51"/>
      <c r="Z40" s="51"/>
      <c r="AA40" s="28"/>
      <c r="AB40" s="28"/>
      <c r="AC40" s="21"/>
      <c r="AD40" s="21"/>
      <c r="AE40" s="21"/>
      <c r="AF40" s="21"/>
      <c r="AG40" s="21"/>
      <c r="AH40" s="21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1"/>
      <c r="AY40" s="21"/>
      <c r="AZ40" s="21"/>
      <c r="BA40" s="21"/>
      <c r="BB40" s="21"/>
      <c r="BC40" s="21"/>
      <c r="BD40" s="21"/>
      <c r="BE40" s="21"/>
      <c r="BF40" s="21"/>
      <c r="BG40" s="34"/>
      <c r="BH40" s="34"/>
      <c r="BI40" s="34"/>
      <c r="BJ40" s="34"/>
      <c r="BK40" s="34"/>
      <c r="BL40" s="34"/>
      <c r="BM40" s="34"/>
      <c r="BN40" s="34"/>
      <c r="BO40" s="34"/>
      <c r="BP40" s="28"/>
      <c r="BQ40" s="21"/>
      <c r="BR40" s="21"/>
      <c r="BS40" s="21"/>
      <c r="BT40" s="21"/>
      <c r="BU40" s="21"/>
      <c r="BV40" s="29"/>
      <c r="BW40" s="29"/>
      <c r="BX40" s="29"/>
      <c r="BY40" s="29"/>
      <c r="BZ40" s="28"/>
      <c r="CA40" s="21"/>
      <c r="CB40" s="21"/>
      <c r="CC40" s="21"/>
      <c r="CD40" s="28"/>
      <c r="CE40" s="28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</row>
    <row r="41" spans="1:107" s="30" customFormat="1">
      <c r="A41" s="20"/>
      <c r="B41" s="21"/>
      <c r="C41" s="22" t="s">
        <v>116</v>
      </c>
      <c r="D41" s="21"/>
      <c r="E41" s="21"/>
      <c r="F41" s="21"/>
      <c r="G41" s="23"/>
      <c r="H41" s="24"/>
      <c r="I41" s="25"/>
      <c r="J41" s="20"/>
      <c r="K41" s="20"/>
      <c r="L41" s="24"/>
      <c r="M41" s="24"/>
      <c r="N41" s="51"/>
      <c r="O41" s="51"/>
      <c r="P41" s="51"/>
      <c r="Q41" s="52"/>
      <c r="R41" s="52"/>
      <c r="S41" s="52"/>
      <c r="T41" s="52"/>
      <c r="U41" s="52"/>
      <c r="V41" s="52"/>
      <c r="W41" s="27"/>
      <c r="X41" s="27"/>
      <c r="Y41" s="28"/>
      <c r="Z41" s="28"/>
      <c r="AA41" s="28"/>
      <c r="AB41" s="28"/>
      <c r="AC41" s="21"/>
      <c r="AD41" s="21"/>
      <c r="AE41" s="21"/>
      <c r="AF41" s="21"/>
      <c r="AG41" s="21"/>
      <c r="AH41" s="21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8"/>
      <c r="BQ41" s="21"/>
      <c r="BR41" s="21"/>
      <c r="BS41" s="21"/>
      <c r="BT41" s="21"/>
      <c r="BU41" s="21"/>
      <c r="BV41" s="29"/>
      <c r="BW41" s="29"/>
      <c r="BX41" s="29"/>
      <c r="BY41" s="29"/>
      <c r="BZ41" s="28"/>
      <c r="CA41" s="28"/>
      <c r="CB41" s="28"/>
      <c r="CC41" s="28"/>
      <c r="CD41" s="28"/>
      <c r="CE41" s="28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</row>
    <row r="42" spans="1:107" s="30" customFormat="1">
      <c r="A42" s="20"/>
      <c r="B42" s="21"/>
      <c r="C42" s="22" t="s">
        <v>116</v>
      </c>
      <c r="D42" s="21"/>
      <c r="E42" s="21"/>
      <c r="F42" s="21"/>
      <c r="G42" s="23"/>
      <c r="H42" s="24"/>
      <c r="I42" s="25"/>
      <c r="J42" s="20"/>
      <c r="K42" s="20"/>
      <c r="L42" s="24"/>
      <c r="M42" s="20"/>
      <c r="N42" s="51"/>
      <c r="O42" s="51"/>
      <c r="P42" s="51"/>
      <c r="Q42" s="52"/>
      <c r="R42" s="52"/>
      <c r="S42" s="52"/>
      <c r="T42" s="52"/>
      <c r="U42" s="52"/>
      <c r="V42" s="52"/>
      <c r="W42" s="27"/>
      <c r="X42" s="27"/>
      <c r="Y42" s="28"/>
      <c r="Z42" s="28"/>
      <c r="AA42" s="28"/>
      <c r="AB42" s="28"/>
      <c r="AC42" s="21"/>
      <c r="AD42" s="21"/>
      <c r="AE42" s="21"/>
      <c r="AF42" s="21"/>
      <c r="AG42" s="21"/>
      <c r="AH42" s="21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8"/>
      <c r="BQ42" s="21"/>
      <c r="BR42" s="21"/>
      <c r="BS42" s="21"/>
      <c r="BT42" s="21"/>
      <c r="BU42" s="21"/>
      <c r="BV42" s="29"/>
      <c r="BW42" s="29"/>
      <c r="BX42" s="29"/>
      <c r="BY42" s="29"/>
      <c r="BZ42" s="28"/>
      <c r="CA42" s="28"/>
      <c r="CB42" s="28"/>
      <c r="CC42" s="28"/>
      <c r="CD42" s="28"/>
      <c r="CE42" s="28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</row>
    <row r="43" spans="1:107" s="30" customFormat="1">
      <c r="B43" s="32"/>
      <c r="C43" s="22" t="s">
        <v>116</v>
      </c>
      <c r="D43" s="32"/>
      <c r="E43" s="32"/>
      <c r="F43" s="32"/>
      <c r="G43" s="36"/>
      <c r="H43" s="32"/>
      <c r="I43" s="37"/>
      <c r="J43" s="32"/>
      <c r="K43" s="32"/>
      <c r="L43" s="32"/>
      <c r="M43" s="32"/>
      <c r="N43" s="33"/>
      <c r="O43" s="33"/>
      <c r="P43" s="33"/>
      <c r="Q43" s="13"/>
      <c r="R43" s="13"/>
      <c r="S43" s="13"/>
      <c r="T43" s="13"/>
      <c r="U43" s="13"/>
      <c r="V43" s="13"/>
      <c r="W43" s="33"/>
      <c r="X43" s="33"/>
      <c r="Y43" s="33"/>
      <c r="Z43" s="33"/>
      <c r="AA43" s="33"/>
      <c r="AB43" s="33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</row>
    <row r="44" spans="1:107" s="30" customFormat="1">
      <c r="B44" s="32"/>
      <c r="C44" s="22" t="s">
        <v>116</v>
      </c>
      <c r="D44" s="32"/>
      <c r="E44" s="32"/>
      <c r="F44" s="32"/>
      <c r="G44" s="36"/>
      <c r="H44" s="32"/>
      <c r="I44" s="37"/>
      <c r="J44" s="32"/>
      <c r="K44" s="32"/>
      <c r="L44" s="32"/>
      <c r="M44" s="32"/>
      <c r="N44" s="33"/>
      <c r="O44" s="33"/>
      <c r="P44" s="33"/>
      <c r="Q44" s="13"/>
      <c r="R44" s="13"/>
      <c r="S44" s="13"/>
      <c r="T44" s="13"/>
      <c r="U44" s="13"/>
      <c r="V44" s="13"/>
      <c r="W44" s="33"/>
      <c r="X44" s="33"/>
      <c r="Y44" s="33"/>
      <c r="Z44" s="33"/>
      <c r="AA44" s="33"/>
      <c r="AB44" s="33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</row>
    <row r="45" spans="1:107" s="30" customFormat="1">
      <c r="B45" s="32"/>
      <c r="C45" s="22" t="s">
        <v>116</v>
      </c>
      <c r="D45" s="32"/>
      <c r="E45" s="32"/>
      <c r="F45" s="32"/>
      <c r="G45" s="36"/>
      <c r="H45" s="32"/>
      <c r="I45" s="37"/>
      <c r="J45" s="32"/>
      <c r="K45" s="32"/>
      <c r="L45" s="32"/>
      <c r="M45" s="32"/>
      <c r="N45" s="33"/>
      <c r="O45" s="33"/>
      <c r="P45" s="33"/>
      <c r="Q45" s="13"/>
      <c r="R45" s="13"/>
      <c r="S45" s="13"/>
      <c r="T45" s="13"/>
      <c r="U45" s="13"/>
      <c r="V45" s="13"/>
      <c r="W45" s="33"/>
      <c r="X45" s="33"/>
      <c r="Y45" s="33"/>
      <c r="Z45" s="33"/>
      <c r="AA45" s="33"/>
      <c r="AB45" s="33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</row>
    <row r="46" spans="1:107" s="30" customFormat="1">
      <c r="B46" s="32"/>
      <c r="C46" s="22" t="s">
        <v>116</v>
      </c>
      <c r="D46" s="32"/>
      <c r="E46" s="32"/>
      <c r="F46" s="32"/>
      <c r="G46" s="36"/>
      <c r="H46" s="32"/>
      <c r="I46" s="37"/>
      <c r="J46" s="32"/>
      <c r="K46" s="32"/>
      <c r="L46" s="32"/>
      <c r="M46" s="32"/>
      <c r="N46" s="33"/>
      <c r="O46" s="33"/>
      <c r="P46" s="33"/>
      <c r="Q46" s="13"/>
      <c r="R46" s="13"/>
      <c r="S46" s="13"/>
      <c r="T46" s="13"/>
      <c r="U46" s="13"/>
      <c r="V46" s="13"/>
      <c r="W46" s="33"/>
      <c r="X46" s="33"/>
      <c r="Y46" s="33"/>
      <c r="Z46" s="33"/>
      <c r="AA46" s="33"/>
      <c r="AB46" s="33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</row>
    <row r="47" spans="1:107" s="30" customFormat="1">
      <c r="B47" s="32"/>
      <c r="C47" s="22" t="s">
        <v>116</v>
      </c>
      <c r="D47" s="32"/>
      <c r="E47" s="32"/>
      <c r="F47" s="32"/>
      <c r="G47" s="36"/>
      <c r="H47" s="32"/>
      <c r="I47" s="37"/>
      <c r="J47" s="32"/>
      <c r="K47" s="32"/>
      <c r="L47" s="32"/>
      <c r="M47" s="32"/>
      <c r="N47" s="33"/>
      <c r="O47" s="33"/>
      <c r="P47" s="33"/>
      <c r="Q47" s="13"/>
      <c r="R47" s="13"/>
      <c r="S47" s="13"/>
      <c r="T47" s="13"/>
      <c r="U47" s="13"/>
      <c r="V47" s="13"/>
      <c r="W47" s="33"/>
      <c r="X47" s="33"/>
      <c r="Y47" s="33"/>
      <c r="Z47" s="33"/>
      <c r="AA47" s="33"/>
      <c r="AB47" s="33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</row>
    <row r="48" spans="1:107" s="30" customFormat="1">
      <c r="B48" s="32"/>
      <c r="C48" s="22" t="s">
        <v>116</v>
      </c>
      <c r="D48" s="32"/>
      <c r="E48" s="32"/>
      <c r="F48" s="32"/>
      <c r="G48" s="36"/>
      <c r="H48" s="32"/>
      <c r="I48" s="37"/>
      <c r="J48" s="32"/>
      <c r="K48" s="32"/>
      <c r="L48" s="32"/>
      <c r="M48" s="32"/>
      <c r="N48" s="33"/>
      <c r="O48" s="33"/>
      <c r="P48" s="33"/>
      <c r="Q48" s="13"/>
      <c r="R48" s="13"/>
      <c r="S48" s="13"/>
      <c r="T48" s="13"/>
      <c r="U48" s="13"/>
      <c r="V48" s="13"/>
      <c r="W48" s="33"/>
      <c r="X48" s="33"/>
      <c r="Y48" s="33"/>
      <c r="Z48" s="33"/>
      <c r="AA48" s="33"/>
      <c r="AB48" s="33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</row>
    <row r="49" spans="2:83" s="30" customFormat="1">
      <c r="B49" s="32"/>
      <c r="C49" s="22" t="s">
        <v>116</v>
      </c>
      <c r="D49" s="32"/>
      <c r="E49" s="32"/>
      <c r="F49" s="32"/>
      <c r="G49" s="36"/>
      <c r="H49" s="32"/>
      <c r="I49" s="37"/>
      <c r="J49" s="32"/>
      <c r="K49" s="32"/>
      <c r="L49" s="32"/>
      <c r="M49" s="32"/>
      <c r="N49" s="33"/>
      <c r="O49" s="33"/>
      <c r="P49" s="33"/>
      <c r="Q49" s="13"/>
      <c r="R49" s="13"/>
      <c r="S49" s="13"/>
      <c r="T49" s="13"/>
      <c r="U49" s="13"/>
      <c r="V49" s="13"/>
      <c r="W49" s="33"/>
      <c r="X49" s="33"/>
      <c r="Y49" s="33"/>
      <c r="Z49" s="33"/>
      <c r="AA49" s="33"/>
      <c r="AB49" s="33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</row>
    <row r="50" spans="2:83" s="30" customFormat="1">
      <c r="B50" s="32"/>
      <c r="C50" s="22" t="s">
        <v>116</v>
      </c>
      <c r="D50" s="32"/>
      <c r="E50" s="32"/>
      <c r="F50" s="32"/>
      <c r="G50" s="36"/>
      <c r="H50" s="32"/>
      <c r="I50" s="37"/>
      <c r="J50" s="32"/>
      <c r="K50" s="32"/>
      <c r="L50" s="32"/>
      <c r="M50" s="32"/>
      <c r="N50" s="33"/>
      <c r="O50" s="33"/>
      <c r="P50" s="33"/>
      <c r="Q50" s="13"/>
      <c r="R50" s="13"/>
      <c r="S50" s="13"/>
      <c r="T50" s="13"/>
      <c r="U50" s="13"/>
      <c r="V50" s="13"/>
      <c r="W50" s="33"/>
      <c r="X50" s="33"/>
      <c r="Y50" s="33"/>
      <c r="Z50" s="33"/>
      <c r="AA50" s="33"/>
      <c r="AB50" s="33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</row>
    <row r="51" spans="2:83" s="30" customFormat="1">
      <c r="B51" s="32"/>
      <c r="C51" s="22" t="s">
        <v>116</v>
      </c>
      <c r="D51" s="32"/>
      <c r="E51" s="32"/>
      <c r="F51" s="32"/>
      <c r="G51" s="36"/>
      <c r="H51" s="32"/>
      <c r="I51" s="37"/>
      <c r="J51" s="32"/>
      <c r="K51" s="32"/>
      <c r="L51" s="32"/>
      <c r="M51" s="32"/>
      <c r="N51" s="33"/>
      <c r="O51" s="33"/>
      <c r="P51" s="33"/>
      <c r="Q51" s="13"/>
      <c r="R51" s="13"/>
      <c r="S51" s="13"/>
      <c r="T51" s="13"/>
      <c r="U51" s="13"/>
      <c r="V51" s="13"/>
      <c r="W51" s="33"/>
      <c r="X51" s="33"/>
      <c r="Y51" s="33"/>
      <c r="Z51" s="33"/>
      <c r="AA51" s="33"/>
      <c r="AB51" s="33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</row>
    <row r="52" spans="2:83" s="30" customFormat="1">
      <c r="B52" s="32"/>
      <c r="C52" s="22" t="s">
        <v>116</v>
      </c>
      <c r="D52" s="32"/>
      <c r="E52" s="32"/>
      <c r="F52" s="32"/>
      <c r="G52" s="36"/>
      <c r="H52" s="32"/>
      <c r="I52" s="37"/>
      <c r="J52" s="32"/>
      <c r="K52" s="32"/>
      <c r="L52" s="32"/>
      <c r="M52" s="32"/>
      <c r="N52" s="33"/>
      <c r="O52" s="33"/>
      <c r="P52" s="33"/>
      <c r="Q52" s="13"/>
      <c r="R52" s="13"/>
      <c r="S52" s="13"/>
      <c r="T52" s="13"/>
      <c r="U52" s="13"/>
      <c r="V52" s="13"/>
      <c r="W52" s="33"/>
      <c r="X52" s="33"/>
      <c r="Y52" s="33"/>
      <c r="Z52" s="33"/>
      <c r="AA52" s="33"/>
      <c r="AB52" s="33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</row>
    <row r="53" spans="2:83" s="30" customFormat="1">
      <c r="B53" s="32"/>
      <c r="C53" s="32"/>
      <c r="D53" s="32"/>
      <c r="E53" s="32"/>
      <c r="F53" s="32"/>
      <c r="G53" s="36"/>
      <c r="H53" s="32"/>
      <c r="I53" s="37"/>
      <c r="J53" s="32"/>
      <c r="K53" s="32"/>
      <c r="L53" s="32"/>
      <c r="M53" s="32"/>
      <c r="N53" s="33"/>
      <c r="O53" s="33"/>
      <c r="P53" s="33"/>
      <c r="Q53" s="13"/>
      <c r="R53" s="13"/>
      <c r="S53" s="13"/>
      <c r="T53" s="13"/>
      <c r="U53" s="13"/>
      <c r="V53" s="13"/>
      <c r="W53" s="33"/>
      <c r="X53" s="33"/>
      <c r="Y53" s="33"/>
      <c r="Z53" s="33"/>
      <c r="AA53" s="33"/>
      <c r="AB53" s="33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</row>
    <row r="54" spans="2:83" s="30" customFormat="1">
      <c r="B54" s="32"/>
      <c r="C54" s="32"/>
      <c r="D54" s="32"/>
      <c r="E54" s="32"/>
      <c r="F54" s="32"/>
      <c r="G54" s="36"/>
      <c r="H54" s="32"/>
      <c r="I54" s="37"/>
      <c r="J54" s="32"/>
      <c r="K54" s="32"/>
      <c r="L54" s="32"/>
      <c r="M54" s="32"/>
      <c r="N54" s="33"/>
      <c r="O54" s="33"/>
      <c r="P54" s="33"/>
      <c r="Q54" s="13"/>
      <c r="R54" s="13"/>
      <c r="S54" s="13"/>
      <c r="T54" s="13"/>
      <c r="U54" s="13"/>
      <c r="V54" s="13"/>
      <c r="W54" s="33"/>
      <c r="X54" s="33"/>
      <c r="Y54" s="33"/>
      <c r="Z54" s="33"/>
      <c r="AA54" s="33"/>
      <c r="AB54" s="33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</row>
    <row r="55" spans="2:83" s="30" customFormat="1">
      <c r="B55" s="32"/>
      <c r="C55" s="32"/>
      <c r="D55" s="32"/>
      <c r="E55" s="32"/>
      <c r="F55" s="32"/>
      <c r="G55" s="36"/>
      <c r="H55" s="32"/>
      <c r="I55" s="37"/>
      <c r="J55" s="32"/>
      <c r="K55" s="32"/>
      <c r="L55" s="32"/>
      <c r="M55" s="32"/>
      <c r="N55" s="33"/>
      <c r="O55" s="33"/>
      <c r="P55" s="33"/>
      <c r="Q55" s="13"/>
      <c r="R55" s="13"/>
      <c r="S55" s="13"/>
      <c r="T55" s="13"/>
      <c r="U55" s="13"/>
      <c r="V55" s="13"/>
      <c r="W55" s="33"/>
      <c r="X55" s="33"/>
      <c r="Y55" s="33"/>
      <c r="Z55" s="33"/>
      <c r="AA55" s="33"/>
      <c r="AB55" s="33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</row>
    <row r="56" spans="2:83" s="30" customFormat="1">
      <c r="B56" s="32"/>
      <c r="C56" s="32"/>
      <c r="D56" s="32"/>
      <c r="E56" s="32"/>
      <c r="F56" s="32"/>
      <c r="G56" s="36"/>
      <c r="H56" s="32"/>
      <c r="I56" s="37"/>
      <c r="J56" s="32"/>
      <c r="K56" s="32"/>
      <c r="L56" s="32"/>
      <c r="M56" s="32"/>
      <c r="N56" s="33"/>
      <c r="O56" s="33"/>
      <c r="P56" s="33"/>
      <c r="Q56" s="13"/>
      <c r="R56" s="13"/>
      <c r="S56" s="13"/>
      <c r="T56" s="13"/>
      <c r="U56" s="13"/>
      <c r="V56" s="13"/>
      <c r="W56" s="33"/>
      <c r="X56" s="33"/>
      <c r="Y56" s="33"/>
      <c r="Z56" s="33"/>
      <c r="AA56" s="33"/>
      <c r="AB56" s="33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</row>
    <row r="57" spans="2:83" s="30" customFormat="1">
      <c r="B57" s="32"/>
      <c r="C57" s="32"/>
      <c r="D57" s="32"/>
      <c r="E57" s="32"/>
      <c r="F57" s="32"/>
      <c r="G57" s="36"/>
      <c r="H57" s="32"/>
      <c r="I57" s="37"/>
      <c r="J57" s="32"/>
      <c r="K57" s="32"/>
      <c r="L57" s="32"/>
      <c r="M57" s="32"/>
      <c r="N57" s="33"/>
      <c r="O57" s="33"/>
      <c r="P57" s="33"/>
      <c r="Q57" s="13"/>
      <c r="R57" s="13"/>
      <c r="S57" s="13"/>
      <c r="T57" s="13"/>
      <c r="U57" s="13"/>
      <c r="V57" s="13"/>
      <c r="W57" s="33"/>
      <c r="X57" s="33"/>
      <c r="Y57" s="33"/>
      <c r="Z57" s="33"/>
      <c r="AA57" s="33"/>
      <c r="AB57" s="33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</row>
    <row r="58" spans="2:83" s="30" customFormat="1">
      <c r="B58" s="32"/>
      <c r="C58" s="32"/>
      <c r="D58" s="32"/>
      <c r="E58" s="32"/>
      <c r="F58" s="32"/>
      <c r="G58" s="36"/>
      <c r="H58" s="32"/>
      <c r="I58" s="37"/>
      <c r="J58" s="32"/>
      <c r="K58" s="32"/>
      <c r="L58" s="32"/>
      <c r="M58" s="32"/>
      <c r="N58" s="33"/>
      <c r="O58" s="33"/>
      <c r="P58" s="33"/>
      <c r="Q58" s="13"/>
      <c r="R58" s="13"/>
      <c r="S58" s="13"/>
      <c r="T58" s="13"/>
      <c r="U58" s="13"/>
      <c r="V58" s="13"/>
      <c r="W58" s="33"/>
      <c r="X58" s="33"/>
      <c r="Y58" s="33"/>
      <c r="Z58" s="33"/>
      <c r="AA58" s="33"/>
      <c r="AB58" s="33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</row>
    <row r="59" spans="2:83" s="30" customFormat="1">
      <c r="B59" s="32"/>
      <c r="C59" s="32"/>
      <c r="D59" s="32"/>
      <c r="E59" s="32"/>
      <c r="F59" s="32"/>
      <c r="G59" s="36"/>
      <c r="H59" s="32"/>
      <c r="I59" s="37"/>
      <c r="J59" s="32"/>
      <c r="K59" s="32"/>
      <c r="L59" s="32"/>
      <c r="M59" s="32"/>
      <c r="N59" s="33"/>
      <c r="O59" s="33"/>
      <c r="P59" s="33"/>
      <c r="Q59" s="13"/>
      <c r="R59" s="13"/>
      <c r="S59" s="13"/>
      <c r="T59" s="13"/>
      <c r="U59" s="13"/>
      <c r="V59" s="13"/>
      <c r="W59" s="33"/>
      <c r="X59" s="33"/>
      <c r="Y59" s="33"/>
      <c r="Z59" s="33"/>
      <c r="AA59" s="33"/>
      <c r="AB59" s="33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</row>
    <row r="60" spans="2:83" s="30" customFormat="1">
      <c r="B60" s="32"/>
      <c r="C60" s="32"/>
      <c r="D60" s="32"/>
      <c r="E60" s="32"/>
      <c r="F60" s="32"/>
      <c r="G60" s="36"/>
      <c r="H60" s="32"/>
      <c r="I60" s="37"/>
      <c r="J60" s="32"/>
      <c r="K60" s="32"/>
      <c r="L60" s="32"/>
      <c r="M60" s="32"/>
      <c r="N60" s="33"/>
      <c r="O60" s="33"/>
      <c r="P60" s="33"/>
      <c r="Q60" s="13"/>
      <c r="R60" s="13"/>
      <c r="S60" s="13"/>
      <c r="T60" s="13"/>
      <c r="U60" s="13"/>
      <c r="V60" s="13"/>
      <c r="W60" s="33"/>
      <c r="X60" s="33"/>
      <c r="Y60" s="33"/>
      <c r="Z60" s="33"/>
      <c r="AA60" s="33"/>
      <c r="AB60" s="33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</row>
    <row r="61" spans="2:83" s="30" customFormat="1">
      <c r="B61" s="32"/>
      <c r="C61" s="32"/>
      <c r="D61" s="32"/>
      <c r="E61" s="32"/>
      <c r="F61" s="32"/>
      <c r="G61" s="36"/>
      <c r="H61" s="32"/>
      <c r="I61" s="37"/>
      <c r="J61" s="32"/>
      <c r="K61" s="32"/>
      <c r="L61" s="32"/>
      <c r="M61" s="32"/>
      <c r="N61" s="33"/>
      <c r="O61" s="33"/>
      <c r="P61" s="33"/>
      <c r="Q61" s="13"/>
      <c r="R61" s="13"/>
      <c r="S61" s="13"/>
      <c r="T61" s="13"/>
      <c r="U61" s="13"/>
      <c r="V61" s="13"/>
      <c r="W61" s="33"/>
      <c r="X61" s="33"/>
      <c r="Y61" s="33"/>
      <c r="Z61" s="33"/>
      <c r="AA61" s="33"/>
      <c r="AB61" s="33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</row>
    <row r="62" spans="2:83" s="30" customFormat="1">
      <c r="B62" s="32"/>
      <c r="C62" s="32"/>
      <c r="D62" s="32"/>
      <c r="E62" s="32"/>
      <c r="F62" s="32"/>
      <c r="G62" s="36"/>
      <c r="H62" s="32"/>
      <c r="I62" s="37"/>
      <c r="J62" s="32"/>
      <c r="K62" s="32"/>
      <c r="L62" s="32"/>
      <c r="M62" s="32"/>
      <c r="N62" s="33"/>
      <c r="O62" s="33"/>
      <c r="P62" s="33"/>
      <c r="Q62" s="13"/>
      <c r="R62" s="13"/>
      <c r="S62" s="13"/>
      <c r="T62" s="13"/>
      <c r="U62" s="13"/>
      <c r="V62" s="13"/>
      <c r="W62" s="33"/>
      <c r="X62" s="33"/>
      <c r="Y62" s="33"/>
      <c r="Z62" s="33"/>
      <c r="AA62" s="33"/>
      <c r="AB62" s="33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</row>
    <row r="63" spans="2:83" s="30" customFormat="1">
      <c r="B63" s="32"/>
      <c r="C63" s="32"/>
      <c r="D63" s="32"/>
      <c r="E63" s="32"/>
      <c r="F63" s="32"/>
      <c r="G63" s="36"/>
      <c r="H63" s="32"/>
      <c r="I63" s="37"/>
      <c r="J63" s="32"/>
      <c r="K63" s="32"/>
      <c r="L63" s="32"/>
      <c r="M63" s="32"/>
      <c r="N63" s="33"/>
      <c r="O63" s="33"/>
      <c r="P63" s="33"/>
      <c r="Q63" s="13"/>
      <c r="R63" s="13"/>
      <c r="S63" s="13"/>
      <c r="T63" s="13"/>
      <c r="U63" s="13"/>
      <c r="V63" s="13"/>
      <c r="W63" s="33"/>
      <c r="X63" s="33"/>
      <c r="Y63" s="33"/>
      <c r="Z63" s="33"/>
      <c r="AA63" s="33"/>
      <c r="AB63" s="33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</row>
    <row r="64" spans="2:83" s="30" customFormat="1">
      <c r="B64" s="32"/>
      <c r="C64" s="32"/>
      <c r="D64" s="32"/>
      <c r="E64" s="32"/>
      <c r="F64" s="32"/>
      <c r="G64" s="36"/>
      <c r="H64" s="32"/>
      <c r="I64" s="37"/>
      <c r="J64" s="32"/>
      <c r="K64" s="32"/>
      <c r="L64" s="32"/>
      <c r="M64" s="32"/>
      <c r="N64" s="33"/>
      <c r="O64" s="33"/>
      <c r="P64" s="33"/>
      <c r="Q64" s="13"/>
      <c r="R64" s="13"/>
      <c r="S64" s="13"/>
      <c r="T64" s="13"/>
      <c r="U64" s="13"/>
      <c r="V64" s="13"/>
      <c r="W64" s="33"/>
      <c r="X64" s="33"/>
      <c r="Y64" s="33"/>
      <c r="Z64" s="33"/>
      <c r="AA64" s="33"/>
      <c r="AB64" s="33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</row>
    <row r="65" spans="2:83" s="30" customFormat="1">
      <c r="B65" s="32"/>
      <c r="C65" s="32"/>
      <c r="D65" s="32"/>
      <c r="E65" s="32"/>
      <c r="F65" s="32"/>
      <c r="G65" s="36"/>
      <c r="H65" s="32"/>
      <c r="I65" s="37"/>
      <c r="J65" s="32"/>
      <c r="K65" s="32"/>
      <c r="L65" s="32"/>
      <c r="M65" s="32"/>
      <c r="N65" s="33"/>
      <c r="O65" s="33"/>
      <c r="P65" s="33"/>
      <c r="Q65" s="13"/>
      <c r="R65" s="13"/>
      <c r="S65" s="13"/>
      <c r="T65" s="13"/>
      <c r="U65" s="13"/>
      <c r="V65" s="13"/>
      <c r="W65" s="33"/>
      <c r="X65" s="33"/>
      <c r="Y65" s="33"/>
      <c r="Z65" s="33"/>
      <c r="AA65" s="33"/>
      <c r="AB65" s="33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</row>
    <row r="66" spans="2:83" s="30" customFormat="1">
      <c r="B66" s="32"/>
      <c r="C66" s="32"/>
      <c r="D66" s="32"/>
      <c r="E66" s="32"/>
      <c r="F66" s="32"/>
      <c r="G66" s="36"/>
      <c r="H66" s="32"/>
      <c r="I66" s="37"/>
      <c r="J66" s="32"/>
      <c r="K66" s="32"/>
      <c r="L66" s="32"/>
      <c r="M66" s="32"/>
      <c r="N66" s="33"/>
      <c r="O66" s="33"/>
      <c r="P66" s="33"/>
      <c r="Q66" s="13"/>
      <c r="R66" s="13"/>
      <c r="S66" s="13"/>
      <c r="T66" s="13"/>
      <c r="U66" s="13"/>
      <c r="V66" s="13"/>
      <c r="W66" s="33"/>
      <c r="X66" s="33"/>
      <c r="Y66" s="33"/>
      <c r="Z66" s="33"/>
      <c r="AA66" s="33"/>
      <c r="AB66" s="33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</row>
    <row r="67" spans="2:83" s="30" customFormat="1">
      <c r="B67" s="32"/>
      <c r="C67" s="32"/>
      <c r="D67" s="32"/>
      <c r="E67" s="32"/>
      <c r="F67" s="32"/>
      <c r="G67" s="36"/>
      <c r="H67" s="32"/>
      <c r="I67" s="37"/>
      <c r="J67" s="32"/>
      <c r="K67" s="32"/>
      <c r="L67" s="32"/>
      <c r="M67" s="32"/>
      <c r="N67" s="33"/>
      <c r="O67" s="33"/>
      <c r="P67" s="33"/>
      <c r="Q67" s="13"/>
      <c r="R67" s="13"/>
      <c r="S67" s="13"/>
      <c r="T67" s="13"/>
      <c r="U67" s="13"/>
      <c r="V67" s="13"/>
      <c r="W67" s="33"/>
      <c r="X67" s="33"/>
      <c r="Y67" s="33"/>
      <c r="Z67" s="33"/>
      <c r="AA67" s="33"/>
      <c r="AB67" s="33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</row>
    <row r="68" spans="2:83" s="30" customFormat="1">
      <c r="B68" s="32"/>
      <c r="C68" s="32"/>
      <c r="D68" s="32"/>
      <c r="E68" s="32"/>
      <c r="F68" s="32"/>
      <c r="G68" s="36"/>
      <c r="H68" s="32"/>
      <c r="I68" s="37"/>
      <c r="J68" s="32"/>
      <c r="K68" s="32"/>
      <c r="L68" s="32"/>
      <c r="M68" s="32"/>
      <c r="N68" s="33"/>
      <c r="O68" s="33"/>
      <c r="P68" s="33"/>
      <c r="Q68" s="13"/>
      <c r="R68" s="13"/>
      <c r="S68" s="13"/>
      <c r="T68" s="13"/>
      <c r="U68" s="13"/>
      <c r="V68" s="13"/>
      <c r="W68" s="33"/>
      <c r="X68" s="33"/>
      <c r="Y68" s="33"/>
      <c r="Z68" s="33"/>
      <c r="AA68" s="33"/>
      <c r="AB68" s="33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</row>
    <row r="69" spans="2:83" s="30" customFormat="1">
      <c r="B69" s="32"/>
      <c r="C69" s="32"/>
      <c r="D69" s="32"/>
      <c r="E69" s="32"/>
      <c r="F69" s="32"/>
      <c r="G69" s="36"/>
      <c r="H69" s="32"/>
      <c r="I69" s="37"/>
      <c r="J69" s="32"/>
      <c r="K69" s="32"/>
      <c r="L69" s="32"/>
      <c r="M69" s="32"/>
      <c r="N69" s="33"/>
      <c r="O69" s="33"/>
      <c r="P69" s="33"/>
      <c r="Q69" s="13"/>
      <c r="R69" s="13"/>
      <c r="S69" s="13"/>
      <c r="T69" s="13"/>
      <c r="U69" s="13"/>
      <c r="V69" s="13"/>
      <c r="W69" s="33"/>
      <c r="X69" s="33"/>
      <c r="Y69" s="33"/>
      <c r="Z69" s="33"/>
      <c r="AA69" s="33"/>
      <c r="AB69" s="33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</row>
    <row r="70" spans="2:83" s="30" customFormat="1">
      <c r="B70" s="32"/>
      <c r="C70" s="32"/>
      <c r="D70" s="32"/>
      <c r="E70" s="32"/>
      <c r="F70" s="32"/>
      <c r="G70" s="36"/>
      <c r="H70" s="32"/>
      <c r="I70" s="37"/>
      <c r="J70" s="32"/>
      <c r="K70" s="32"/>
      <c r="L70" s="32"/>
      <c r="M70" s="32"/>
      <c r="N70" s="33"/>
      <c r="O70" s="33"/>
      <c r="P70" s="33"/>
      <c r="Q70" s="13"/>
      <c r="R70" s="13"/>
      <c r="S70" s="13"/>
      <c r="T70" s="13"/>
      <c r="U70" s="13"/>
      <c r="V70" s="13"/>
      <c r="W70" s="33"/>
      <c r="X70" s="33"/>
      <c r="Y70" s="33"/>
      <c r="Z70" s="33"/>
      <c r="AA70" s="33"/>
      <c r="AB70" s="33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</row>
    <row r="71" spans="2:83" s="30" customFormat="1">
      <c r="B71" s="32"/>
      <c r="C71" s="32"/>
      <c r="D71" s="32"/>
      <c r="E71" s="32"/>
      <c r="F71" s="32"/>
      <c r="G71" s="36"/>
      <c r="H71" s="32"/>
      <c r="I71" s="37"/>
      <c r="J71" s="32"/>
      <c r="K71" s="32"/>
      <c r="L71" s="32"/>
      <c r="M71" s="32"/>
      <c r="N71" s="33"/>
      <c r="O71" s="33"/>
      <c r="P71" s="33"/>
      <c r="Q71" s="13"/>
      <c r="R71" s="13"/>
      <c r="S71" s="13"/>
      <c r="T71" s="13"/>
      <c r="U71" s="13"/>
      <c r="V71" s="13"/>
      <c r="W71" s="33"/>
      <c r="X71" s="33"/>
      <c r="Y71" s="33"/>
      <c r="Z71" s="33"/>
      <c r="AA71" s="33"/>
      <c r="AB71" s="33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</row>
    <row r="72" spans="2:83" s="30" customFormat="1">
      <c r="B72" s="32"/>
      <c r="C72" s="32"/>
      <c r="D72" s="32"/>
      <c r="E72" s="32"/>
      <c r="F72" s="32"/>
      <c r="G72" s="36"/>
      <c r="H72" s="32"/>
      <c r="I72" s="37"/>
      <c r="J72" s="32"/>
      <c r="K72" s="32"/>
      <c r="L72" s="32"/>
      <c r="M72" s="32"/>
      <c r="N72" s="33"/>
      <c r="O72" s="33"/>
      <c r="P72" s="33"/>
      <c r="Q72" s="13"/>
      <c r="R72" s="13"/>
      <c r="S72" s="13"/>
      <c r="T72" s="13"/>
      <c r="U72" s="13"/>
      <c r="V72" s="13"/>
      <c r="W72" s="33"/>
      <c r="X72" s="33"/>
      <c r="Y72" s="33"/>
      <c r="Z72" s="33"/>
      <c r="AA72" s="33"/>
      <c r="AB72" s="33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</row>
    <row r="73" spans="2:83" s="30" customFormat="1">
      <c r="B73" s="32"/>
      <c r="C73" s="32"/>
      <c r="D73" s="32"/>
      <c r="E73" s="32"/>
      <c r="F73" s="32"/>
      <c r="G73" s="36"/>
      <c r="H73" s="32"/>
      <c r="I73" s="37"/>
      <c r="J73" s="32"/>
      <c r="K73" s="32"/>
      <c r="L73" s="32"/>
      <c r="M73" s="32"/>
      <c r="N73" s="33"/>
      <c r="O73" s="33"/>
      <c r="P73" s="33"/>
      <c r="Q73" s="13"/>
      <c r="R73" s="13"/>
      <c r="S73" s="13"/>
      <c r="T73" s="13"/>
      <c r="U73" s="13"/>
      <c r="V73" s="13"/>
      <c r="W73" s="33"/>
      <c r="X73" s="33"/>
      <c r="Y73" s="33"/>
      <c r="Z73" s="33"/>
      <c r="AA73" s="33"/>
      <c r="AB73" s="33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</row>
    <row r="74" spans="2:83" s="30" customFormat="1">
      <c r="B74" s="32"/>
      <c r="C74" s="32"/>
      <c r="D74" s="32"/>
      <c r="E74" s="32"/>
      <c r="F74" s="32"/>
      <c r="G74" s="36"/>
      <c r="H74" s="32"/>
      <c r="I74" s="37"/>
      <c r="J74" s="32"/>
      <c r="K74" s="32"/>
      <c r="L74" s="32"/>
      <c r="M74" s="32"/>
      <c r="N74" s="33"/>
      <c r="O74" s="33"/>
      <c r="P74" s="33"/>
      <c r="Q74" s="13"/>
      <c r="R74" s="13"/>
      <c r="S74" s="13"/>
      <c r="T74" s="13"/>
      <c r="U74" s="13"/>
      <c r="V74" s="13"/>
      <c r="W74" s="33"/>
      <c r="X74" s="33"/>
      <c r="Y74" s="33"/>
      <c r="Z74" s="33"/>
      <c r="AA74" s="33"/>
      <c r="AB74" s="33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</row>
    <row r="75" spans="2:83" s="30" customFormat="1">
      <c r="B75" s="32"/>
      <c r="C75" s="32"/>
      <c r="D75" s="32"/>
      <c r="E75" s="32"/>
      <c r="F75" s="32"/>
      <c r="G75" s="36"/>
      <c r="H75" s="32"/>
      <c r="I75" s="37"/>
      <c r="J75" s="32"/>
      <c r="K75" s="32"/>
      <c r="L75" s="32"/>
      <c r="M75" s="32"/>
      <c r="N75" s="33"/>
      <c r="O75" s="33"/>
      <c r="P75" s="33"/>
      <c r="Q75" s="13"/>
      <c r="R75" s="13"/>
      <c r="S75" s="13"/>
      <c r="T75" s="13"/>
      <c r="U75" s="13"/>
      <c r="V75" s="13"/>
      <c r="W75" s="33"/>
      <c r="X75" s="33"/>
      <c r="Y75" s="33"/>
      <c r="Z75" s="33"/>
      <c r="AA75" s="33"/>
      <c r="AB75" s="33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</row>
    <row r="76" spans="2:83" s="30" customFormat="1">
      <c r="B76" s="32"/>
      <c r="C76" s="32"/>
      <c r="D76" s="32"/>
      <c r="E76" s="32"/>
      <c r="F76" s="32"/>
      <c r="G76" s="36"/>
      <c r="H76" s="32"/>
      <c r="I76" s="37"/>
      <c r="J76" s="32"/>
      <c r="K76" s="32"/>
      <c r="L76" s="32"/>
      <c r="M76" s="32"/>
      <c r="N76" s="33"/>
      <c r="O76" s="33"/>
      <c r="P76" s="33"/>
      <c r="Q76" s="13"/>
      <c r="R76" s="13"/>
      <c r="S76" s="13"/>
      <c r="T76" s="13"/>
      <c r="U76" s="13"/>
      <c r="V76" s="13"/>
      <c r="W76" s="33"/>
      <c r="X76" s="33"/>
      <c r="Y76" s="33"/>
      <c r="Z76" s="33"/>
      <c r="AA76" s="33"/>
      <c r="AB76" s="33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</row>
    <row r="77" spans="2:83" s="30" customFormat="1">
      <c r="B77" s="32"/>
      <c r="C77" s="32"/>
      <c r="D77" s="32"/>
      <c r="E77" s="32"/>
      <c r="F77" s="32"/>
      <c r="G77" s="36"/>
      <c r="H77" s="32"/>
      <c r="I77" s="37"/>
      <c r="J77" s="32"/>
      <c r="K77" s="32"/>
      <c r="L77" s="32"/>
      <c r="M77" s="32"/>
      <c r="N77" s="33"/>
      <c r="O77" s="33"/>
      <c r="P77" s="33"/>
      <c r="Q77" s="13"/>
      <c r="R77" s="13"/>
      <c r="S77" s="13"/>
      <c r="T77" s="13"/>
      <c r="U77" s="13"/>
      <c r="V77" s="13"/>
      <c r="W77" s="33"/>
      <c r="X77" s="33"/>
      <c r="Y77" s="33"/>
      <c r="Z77" s="33"/>
      <c r="AA77" s="33"/>
      <c r="AB77" s="33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</row>
    <row r="78" spans="2:83" s="30" customFormat="1">
      <c r="B78" s="32"/>
      <c r="C78" s="32"/>
      <c r="D78" s="32"/>
      <c r="E78" s="32"/>
      <c r="F78" s="32"/>
      <c r="G78" s="36"/>
      <c r="H78" s="32"/>
      <c r="I78" s="37"/>
      <c r="J78" s="32"/>
      <c r="K78" s="32"/>
      <c r="L78" s="32"/>
      <c r="M78" s="32"/>
      <c r="N78" s="33"/>
      <c r="O78" s="33"/>
      <c r="P78" s="33"/>
      <c r="Q78" s="13"/>
      <c r="R78" s="13"/>
      <c r="S78" s="13"/>
      <c r="T78" s="13"/>
      <c r="U78" s="13"/>
      <c r="V78" s="13"/>
      <c r="W78" s="33"/>
      <c r="X78" s="33"/>
      <c r="Y78" s="33"/>
      <c r="Z78" s="33"/>
      <c r="AA78" s="33"/>
      <c r="AB78" s="33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</row>
    <row r="79" spans="2:83" s="30" customFormat="1">
      <c r="B79" s="32"/>
      <c r="C79" s="32"/>
      <c r="D79" s="32"/>
      <c r="E79" s="32"/>
      <c r="F79" s="32"/>
      <c r="G79" s="36"/>
      <c r="H79" s="32"/>
      <c r="I79" s="37"/>
      <c r="J79" s="32"/>
      <c r="K79" s="32"/>
      <c r="L79" s="32"/>
      <c r="M79" s="32"/>
      <c r="N79" s="33"/>
      <c r="O79" s="33"/>
      <c r="P79" s="33"/>
      <c r="Q79" s="13"/>
      <c r="R79" s="13"/>
      <c r="S79" s="13"/>
      <c r="T79" s="13"/>
      <c r="U79" s="13"/>
      <c r="V79" s="13"/>
      <c r="W79" s="33"/>
      <c r="X79" s="33"/>
      <c r="Y79" s="33"/>
      <c r="Z79" s="33"/>
      <c r="AA79" s="33"/>
      <c r="AB79" s="33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</row>
    <row r="80" spans="2:83" s="30" customFormat="1">
      <c r="B80" s="32"/>
      <c r="C80" s="32"/>
      <c r="D80" s="32"/>
      <c r="E80" s="32"/>
      <c r="F80" s="32"/>
      <c r="G80" s="36"/>
      <c r="H80" s="32"/>
      <c r="I80" s="37"/>
      <c r="J80" s="32"/>
      <c r="K80" s="32"/>
      <c r="L80" s="32"/>
      <c r="M80" s="32"/>
      <c r="N80" s="33"/>
      <c r="O80" s="33"/>
      <c r="P80" s="33"/>
      <c r="Q80" s="13"/>
      <c r="R80" s="13"/>
      <c r="S80" s="13"/>
      <c r="T80" s="13"/>
      <c r="U80" s="13"/>
      <c r="V80" s="13"/>
      <c r="W80" s="33"/>
      <c r="X80" s="33"/>
      <c r="Y80" s="33"/>
      <c r="Z80" s="33"/>
      <c r="AA80" s="33"/>
      <c r="AB80" s="33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</row>
    <row r="81" spans="2:83" s="30" customFormat="1">
      <c r="B81" s="32"/>
      <c r="C81" s="32"/>
      <c r="D81" s="32"/>
      <c r="E81" s="32"/>
      <c r="F81" s="32"/>
      <c r="G81" s="36"/>
      <c r="H81" s="32"/>
      <c r="I81" s="37"/>
      <c r="J81" s="32"/>
      <c r="K81" s="32"/>
      <c r="L81" s="32"/>
      <c r="M81" s="32"/>
      <c r="N81" s="33"/>
      <c r="O81" s="33"/>
      <c r="P81" s="33"/>
      <c r="Q81" s="13"/>
      <c r="R81" s="13"/>
      <c r="S81" s="13"/>
      <c r="T81" s="13"/>
      <c r="U81" s="13"/>
      <c r="V81" s="13"/>
      <c r="W81" s="33"/>
      <c r="X81" s="33"/>
      <c r="Y81" s="33"/>
      <c r="Z81" s="33"/>
      <c r="AA81" s="33"/>
      <c r="AB81" s="33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</row>
    <row r="82" spans="2:83" s="30" customFormat="1">
      <c r="B82" s="32"/>
      <c r="C82" s="32"/>
      <c r="D82" s="32"/>
      <c r="E82" s="32"/>
      <c r="F82" s="32"/>
      <c r="G82" s="36"/>
      <c r="H82" s="32"/>
      <c r="I82" s="37"/>
      <c r="J82" s="32"/>
      <c r="K82" s="32"/>
      <c r="L82" s="32"/>
      <c r="M82" s="32"/>
      <c r="N82" s="33"/>
      <c r="O82" s="33"/>
      <c r="P82" s="33"/>
      <c r="Q82" s="13"/>
      <c r="R82" s="13"/>
      <c r="S82" s="13"/>
      <c r="T82" s="13"/>
      <c r="U82" s="13"/>
      <c r="V82" s="13"/>
      <c r="W82" s="33"/>
      <c r="X82" s="33"/>
      <c r="Y82" s="33"/>
      <c r="Z82" s="33"/>
      <c r="AA82" s="33"/>
      <c r="AB82" s="33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</row>
    <row r="83" spans="2:83" s="30" customFormat="1">
      <c r="B83" s="32"/>
      <c r="C83" s="32"/>
      <c r="D83" s="32"/>
      <c r="E83" s="32"/>
      <c r="F83" s="32"/>
      <c r="G83" s="36"/>
      <c r="H83" s="32"/>
      <c r="I83" s="37"/>
      <c r="J83" s="32"/>
      <c r="K83" s="32"/>
      <c r="L83" s="32"/>
      <c r="M83" s="32"/>
      <c r="N83" s="33"/>
      <c r="O83" s="33"/>
      <c r="P83" s="33"/>
      <c r="Q83" s="13"/>
      <c r="R83" s="13"/>
      <c r="S83" s="13"/>
      <c r="T83" s="13"/>
      <c r="U83" s="13"/>
      <c r="V83" s="13"/>
      <c r="W83" s="33"/>
      <c r="X83" s="33"/>
      <c r="Y83" s="33"/>
      <c r="Z83" s="33"/>
      <c r="AA83" s="33"/>
      <c r="AB83" s="33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</row>
    <row r="84" spans="2:83" s="30" customFormat="1">
      <c r="B84" s="32"/>
      <c r="C84" s="32"/>
      <c r="D84" s="32"/>
      <c r="E84" s="32"/>
      <c r="F84" s="32"/>
      <c r="G84" s="36"/>
      <c r="H84" s="32"/>
      <c r="I84" s="37"/>
      <c r="J84" s="32"/>
      <c r="K84" s="32"/>
      <c r="L84" s="32"/>
      <c r="M84" s="32"/>
      <c r="N84" s="33"/>
      <c r="O84" s="33"/>
      <c r="P84" s="33"/>
      <c r="Q84" s="13"/>
      <c r="R84" s="13"/>
      <c r="S84" s="13"/>
      <c r="T84" s="13"/>
      <c r="U84" s="13"/>
      <c r="V84" s="13"/>
      <c r="W84" s="33"/>
      <c r="X84" s="33"/>
      <c r="Y84" s="33"/>
      <c r="Z84" s="33"/>
      <c r="AA84" s="33"/>
      <c r="AB84" s="33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</row>
    <row r="85" spans="2:83" s="30" customFormat="1">
      <c r="B85" s="32"/>
      <c r="C85" s="32"/>
      <c r="D85" s="32"/>
      <c r="E85" s="32"/>
      <c r="F85" s="32"/>
      <c r="G85" s="36"/>
      <c r="H85" s="32"/>
      <c r="I85" s="37"/>
      <c r="J85" s="32"/>
      <c r="K85" s="32"/>
      <c r="L85" s="32"/>
      <c r="M85" s="32"/>
      <c r="N85" s="33"/>
      <c r="O85" s="33"/>
      <c r="P85" s="33"/>
      <c r="Q85" s="13"/>
      <c r="R85" s="13"/>
      <c r="S85" s="13"/>
      <c r="T85" s="13"/>
      <c r="U85" s="13"/>
      <c r="V85" s="13"/>
      <c r="W85" s="33"/>
      <c r="X85" s="33"/>
      <c r="Y85" s="33"/>
      <c r="Z85" s="33"/>
      <c r="AA85" s="33"/>
      <c r="AB85" s="33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</row>
    <row r="86" spans="2:83" s="30" customFormat="1">
      <c r="B86" s="32"/>
      <c r="C86" s="32"/>
      <c r="D86" s="32"/>
      <c r="E86" s="32"/>
      <c r="F86" s="32"/>
      <c r="G86" s="36"/>
      <c r="H86" s="32"/>
      <c r="I86" s="37"/>
      <c r="J86" s="32"/>
      <c r="K86" s="32"/>
      <c r="L86" s="32"/>
      <c r="M86" s="32"/>
      <c r="N86" s="33"/>
      <c r="O86" s="33"/>
      <c r="P86" s="33"/>
      <c r="Q86" s="13"/>
      <c r="R86" s="13"/>
      <c r="S86" s="13"/>
      <c r="T86" s="13"/>
      <c r="U86" s="13"/>
      <c r="V86" s="13"/>
      <c r="W86" s="33"/>
      <c r="X86" s="33"/>
      <c r="Y86" s="33"/>
      <c r="Z86" s="33"/>
      <c r="AA86" s="33"/>
      <c r="AB86" s="33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</row>
    <row r="87" spans="2:83" s="30" customFormat="1">
      <c r="B87" s="32"/>
      <c r="C87" s="32"/>
      <c r="D87" s="32"/>
      <c r="E87" s="32"/>
      <c r="F87" s="32"/>
      <c r="G87" s="36"/>
      <c r="H87" s="32"/>
      <c r="I87" s="37"/>
      <c r="J87" s="32"/>
      <c r="K87" s="32"/>
      <c r="L87" s="32"/>
      <c r="M87" s="32"/>
      <c r="N87" s="33"/>
      <c r="O87" s="33"/>
      <c r="P87" s="33"/>
      <c r="Q87" s="13"/>
      <c r="R87" s="13"/>
      <c r="S87" s="13"/>
      <c r="T87" s="13"/>
      <c r="U87" s="13"/>
      <c r="V87" s="13"/>
      <c r="W87" s="33"/>
      <c r="X87" s="33"/>
      <c r="Y87" s="33"/>
      <c r="Z87" s="33"/>
      <c r="AA87" s="33"/>
      <c r="AB87" s="33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</row>
    <row r="88" spans="2:83" s="30" customFormat="1">
      <c r="B88" s="32"/>
      <c r="C88" s="32"/>
      <c r="D88" s="32"/>
      <c r="E88" s="32"/>
      <c r="F88" s="32"/>
      <c r="G88" s="36"/>
      <c r="H88" s="32"/>
      <c r="I88" s="37"/>
      <c r="J88" s="32"/>
      <c r="K88" s="32"/>
      <c r="L88" s="32"/>
      <c r="M88" s="32"/>
      <c r="N88" s="33"/>
      <c r="O88" s="33"/>
      <c r="P88" s="33"/>
      <c r="Q88" s="13"/>
      <c r="R88" s="13"/>
      <c r="S88" s="13"/>
      <c r="T88" s="13"/>
      <c r="U88" s="13"/>
      <c r="V88" s="13"/>
      <c r="W88" s="33"/>
      <c r="X88" s="33"/>
      <c r="Y88" s="33"/>
      <c r="Z88" s="33"/>
      <c r="AA88" s="33"/>
      <c r="AB88" s="33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</row>
    <row r="89" spans="2:83" s="30" customFormat="1">
      <c r="B89" s="32"/>
      <c r="C89" s="32"/>
      <c r="D89" s="32"/>
      <c r="E89" s="32"/>
      <c r="F89" s="32"/>
      <c r="G89" s="36"/>
      <c r="H89" s="32"/>
      <c r="I89" s="37"/>
      <c r="J89" s="32"/>
      <c r="K89" s="32"/>
      <c r="L89" s="32"/>
      <c r="M89" s="32"/>
      <c r="N89" s="33"/>
      <c r="O89" s="33"/>
      <c r="P89" s="33"/>
      <c r="Q89" s="13"/>
      <c r="R89" s="13"/>
      <c r="S89" s="13"/>
      <c r="T89" s="13"/>
      <c r="U89" s="13"/>
      <c r="V89" s="13"/>
      <c r="W89" s="33"/>
      <c r="X89" s="33"/>
      <c r="Y89" s="33"/>
      <c r="Z89" s="33"/>
      <c r="AA89" s="33"/>
      <c r="AB89" s="33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</row>
    <row r="90" spans="2:83" s="30" customFormat="1">
      <c r="B90" s="32"/>
      <c r="C90" s="32"/>
      <c r="D90" s="32"/>
      <c r="E90" s="32"/>
      <c r="F90" s="32"/>
      <c r="G90" s="36"/>
      <c r="H90" s="32"/>
      <c r="I90" s="37"/>
      <c r="J90" s="32"/>
      <c r="K90" s="32"/>
      <c r="L90" s="32"/>
      <c r="M90" s="32"/>
      <c r="N90" s="33"/>
      <c r="O90" s="33"/>
      <c r="P90" s="33"/>
      <c r="Q90" s="13"/>
      <c r="R90" s="13"/>
      <c r="S90" s="13"/>
      <c r="T90" s="13"/>
      <c r="U90" s="13"/>
      <c r="V90" s="13"/>
      <c r="W90" s="33"/>
      <c r="X90" s="33"/>
      <c r="Y90" s="33"/>
      <c r="Z90" s="33"/>
      <c r="AA90" s="33"/>
      <c r="AB90" s="33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</row>
    <row r="91" spans="2:83" s="30" customFormat="1">
      <c r="B91" s="32"/>
      <c r="C91" s="32"/>
      <c r="D91" s="32"/>
      <c r="E91" s="32"/>
      <c r="F91" s="32"/>
      <c r="G91" s="36"/>
      <c r="H91" s="32"/>
      <c r="I91" s="37"/>
      <c r="J91" s="32"/>
      <c r="K91" s="32"/>
      <c r="L91" s="32"/>
      <c r="M91" s="32"/>
      <c r="N91" s="33"/>
      <c r="O91" s="33"/>
      <c r="P91" s="33"/>
      <c r="Q91" s="13"/>
      <c r="R91" s="13"/>
      <c r="S91" s="13"/>
      <c r="T91" s="13"/>
      <c r="U91" s="13"/>
      <c r="V91" s="13"/>
      <c r="W91" s="33"/>
      <c r="X91" s="33"/>
      <c r="Y91" s="33"/>
      <c r="Z91" s="33"/>
      <c r="AA91" s="33"/>
      <c r="AB91" s="33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</row>
    <row r="92" spans="2:83" s="30" customFormat="1">
      <c r="B92" s="32"/>
      <c r="C92" s="32"/>
      <c r="D92" s="32"/>
      <c r="E92" s="32"/>
      <c r="F92" s="32"/>
      <c r="G92" s="36"/>
      <c r="H92" s="32"/>
      <c r="I92" s="37"/>
      <c r="J92" s="32"/>
      <c r="K92" s="32"/>
      <c r="L92" s="32"/>
      <c r="M92" s="32"/>
      <c r="N92" s="33"/>
      <c r="O92" s="33"/>
      <c r="P92" s="33"/>
      <c r="Q92" s="13"/>
      <c r="R92" s="13"/>
      <c r="S92" s="13"/>
      <c r="T92" s="13"/>
      <c r="U92" s="13"/>
      <c r="V92" s="13"/>
      <c r="W92" s="33"/>
      <c r="X92" s="33"/>
      <c r="Y92" s="33"/>
      <c r="Z92" s="33"/>
      <c r="AA92" s="33"/>
      <c r="AB92" s="33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</row>
    <row r="93" spans="2:83" s="30" customFormat="1">
      <c r="B93" s="32"/>
      <c r="C93" s="32"/>
      <c r="D93" s="32"/>
      <c r="E93" s="32"/>
      <c r="F93" s="32"/>
      <c r="G93" s="36"/>
      <c r="H93" s="32"/>
      <c r="I93" s="37"/>
      <c r="J93" s="32"/>
      <c r="K93" s="32"/>
      <c r="L93" s="32"/>
      <c r="M93" s="32"/>
      <c r="N93" s="33"/>
      <c r="O93" s="33"/>
      <c r="P93" s="33"/>
      <c r="Q93" s="13"/>
      <c r="R93" s="13"/>
      <c r="S93" s="13"/>
      <c r="T93" s="13"/>
      <c r="U93" s="13"/>
      <c r="V93" s="13"/>
      <c r="W93" s="33"/>
      <c r="X93" s="33"/>
      <c r="Y93" s="33"/>
      <c r="Z93" s="33"/>
      <c r="AA93" s="33"/>
      <c r="AB93" s="33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</row>
    <row r="94" spans="2:83" s="30" customFormat="1">
      <c r="B94" s="32"/>
      <c r="C94" s="32"/>
      <c r="D94" s="32"/>
      <c r="E94" s="32"/>
      <c r="F94" s="32"/>
      <c r="G94" s="36"/>
      <c r="H94" s="32"/>
      <c r="I94" s="37"/>
      <c r="J94" s="32"/>
      <c r="K94" s="32"/>
      <c r="L94" s="32"/>
      <c r="M94" s="32"/>
      <c r="N94" s="33"/>
      <c r="O94" s="33"/>
      <c r="P94" s="33"/>
      <c r="Q94" s="13"/>
      <c r="R94" s="13"/>
      <c r="S94" s="13"/>
      <c r="T94" s="13"/>
      <c r="U94" s="13"/>
      <c r="V94" s="13"/>
      <c r="W94" s="33"/>
      <c r="X94" s="33"/>
      <c r="Y94" s="33"/>
      <c r="Z94" s="33"/>
      <c r="AA94" s="33"/>
      <c r="AB94" s="33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</row>
    <row r="95" spans="2:83" s="30" customFormat="1">
      <c r="B95" s="32"/>
      <c r="C95" s="32"/>
      <c r="D95" s="32"/>
      <c r="E95" s="32"/>
      <c r="F95" s="32"/>
      <c r="G95" s="36"/>
      <c r="H95" s="32"/>
      <c r="I95" s="37"/>
      <c r="J95" s="32"/>
      <c r="K95" s="32"/>
      <c r="L95" s="32"/>
      <c r="M95" s="32"/>
      <c r="N95" s="33"/>
      <c r="O95" s="33"/>
      <c r="P95" s="33"/>
      <c r="Q95" s="13"/>
      <c r="R95" s="13"/>
      <c r="S95" s="13"/>
      <c r="T95" s="13"/>
      <c r="U95" s="13"/>
      <c r="V95" s="13"/>
      <c r="W95" s="33"/>
      <c r="X95" s="33"/>
      <c r="Y95" s="33"/>
      <c r="Z95" s="33"/>
      <c r="AA95" s="33"/>
      <c r="AB95" s="33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</row>
    <row r="96" spans="2:83" s="30" customFormat="1">
      <c r="B96" s="32"/>
      <c r="C96" s="32"/>
      <c r="D96" s="32"/>
      <c r="E96" s="32"/>
      <c r="F96" s="32"/>
      <c r="G96" s="36"/>
      <c r="H96" s="32"/>
      <c r="I96" s="37"/>
      <c r="J96" s="32"/>
      <c r="K96" s="32"/>
      <c r="L96" s="32"/>
      <c r="M96" s="32"/>
      <c r="N96" s="33"/>
      <c r="O96" s="33"/>
      <c r="P96" s="33"/>
      <c r="Q96" s="13"/>
      <c r="R96" s="13"/>
      <c r="S96" s="13"/>
      <c r="T96" s="13"/>
      <c r="U96" s="13"/>
      <c r="V96" s="13"/>
      <c r="W96" s="33"/>
      <c r="X96" s="33"/>
      <c r="Y96" s="33"/>
      <c r="Z96" s="33"/>
      <c r="AA96" s="33"/>
      <c r="AB96" s="33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</row>
    <row r="97" spans="2:83" s="30" customFormat="1">
      <c r="B97" s="32"/>
      <c r="C97" s="32"/>
      <c r="D97" s="32"/>
      <c r="E97" s="32"/>
      <c r="F97" s="32"/>
      <c r="G97" s="36"/>
      <c r="H97" s="32"/>
      <c r="I97" s="37"/>
      <c r="J97" s="32"/>
      <c r="K97" s="32"/>
      <c r="L97" s="32"/>
      <c r="M97" s="32"/>
      <c r="N97" s="33"/>
      <c r="O97" s="33"/>
      <c r="P97" s="33"/>
      <c r="Q97" s="13"/>
      <c r="R97" s="13"/>
      <c r="S97" s="13"/>
      <c r="T97" s="13"/>
      <c r="U97" s="13"/>
      <c r="V97" s="13"/>
      <c r="W97" s="33"/>
      <c r="X97" s="33"/>
      <c r="Y97" s="33"/>
      <c r="Z97" s="33"/>
      <c r="AA97" s="33"/>
      <c r="AB97" s="33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</row>
    <row r="98" spans="2:83" s="30" customFormat="1">
      <c r="B98" s="32"/>
      <c r="C98" s="32"/>
      <c r="D98" s="32"/>
      <c r="E98" s="32"/>
      <c r="F98" s="32"/>
      <c r="G98" s="36"/>
      <c r="H98" s="32"/>
      <c r="I98" s="37"/>
      <c r="J98" s="32"/>
      <c r="K98" s="32"/>
      <c r="L98" s="32"/>
      <c r="M98" s="32"/>
      <c r="N98" s="33"/>
      <c r="O98" s="33"/>
      <c r="P98" s="33"/>
      <c r="Q98" s="13"/>
      <c r="R98" s="13"/>
      <c r="S98" s="13"/>
      <c r="T98" s="13"/>
      <c r="U98" s="13"/>
      <c r="V98" s="13"/>
      <c r="W98" s="33"/>
      <c r="X98" s="33"/>
      <c r="Y98" s="33"/>
      <c r="Z98" s="33"/>
      <c r="AA98" s="33"/>
      <c r="AB98" s="33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</row>
    <row r="99" spans="2:83" s="30" customFormat="1">
      <c r="B99" s="32"/>
      <c r="C99" s="32"/>
      <c r="D99" s="32"/>
      <c r="E99" s="32"/>
      <c r="F99" s="32"/>
      <c r="G99" s="36"/>
      <c r="H99" s="32"/>
      <c r="I99" s="37"/>
      <c r="J99" s="32"/>
      <c r="K99" s="32"/>
      <c r="L99" s="32"/>
      <c r="M99" s="32"/>
      <c r="N99" s="33"/>
      <c r="O99" s="33"/>
      <c r="P99" s="33"/>
      <c r="Q99" s="13"/>
      <c r="R99" s="13"/>
      <c r="S99" s="13"/>
      <c r="T99" s="13"/>
      <c r="U99" s="13"/>
      <c r="V99" s="13"/>
      <c r="W99" s="33"/>
      <c r="X99" s="33"/>
      <c r="Y99" s="33"/>
      <c r="Z99" s="33"/>
      <c r="AA99" s="33"/>
      <c r="AB99" s="33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</row>
    <row r="100" spans="2:83" s="30" customFormat="1">
      <c r="B100" s="32"/>
      <c r="C100" s="32"/>
      <c r="D100" s="32"/>
      <c r="E100" s="32"/>
      <c r="F100" s="32"/>
      <c r="G100" s="36"/>
      <c r="H100" s="32"/>
      <c r="I100" s="37"/>
      <c r="J100" s="32"/>
      <c r="K100" s="32"/>
      <c r="L100" s="32"/>
      <c r="M100" s="32"/>
      <c r="N100" s="33"/>
      <c r="O100" s="33"/>
      <c r="P100" s="33"/>
      <c r="Q100" s="13"/>
      <c r="R100" s="13"/>
      <c r="S100" s="13"/>
      <c r="T100" s="13"/>
      <c r="U100" s="13"/>
      <c r="V100" s="13"/>
      <c r="W100" s="33"/>
      <c r="X100" s="33"/>
      <c r="Y100" s="33"/>
      <c r="Z100" s="33"/>
      <c r="AA100" s="33"/>
      <c r="AB100" s="33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</row>
    <row r="101" spans="2:83" s="30" customFormat="1">
      <c r="B101" s="32"/>
      <c r="C101" s="32"/>
      <c r="D101" s="32"/>
      <c r="E101" s="32"/>
      <c r="F101" s="32"/>
      <c r="G101" s="36"/>
      <c r="H101" s="32"/>
      <c r="I101" s="37"/>
      <c r="J101" s="32"/>
      <c r="K101" s="32"/>
      <c r="L101" s="32"/>
      <c r="M101" s="32"/>
      <c r="N101" s="33"/>
      <c r="O101" s="33"/>
      <c r="P101" s="33"/>
      <c r="Q101" s="13"/>
      <c r="R101" s="13"/>
      <c r="S101" s="13"/>
      <c r="T101" s="13"/>
      <c r="U101" s="13"/>
      <c r="V101" s="13"/>
      <c r="W101" s="33"/>
      <c r="X101" s="33"/>
      <c r="Y101" s="33"/>
      <c r="Z101" s="33"/>
      <c r="AA101" s="33"/>
      <c r="AB101" s="33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</row>
    <row r="102" spans="2:83" s="30" customFormat="1">
      <c r="B102" s="32"/>
      <c r="C102" s="32"/>
      <c r="D102" s="32"/>
      <c r="E102" s="32"/>
      <c r="F102" s="32"/>
      <c r="G102" s="36"/>
      <c r="H102" s="32"/>
      <c r="I102" s="37"/>
      <c r="J102" s="32"/>
      <c r="K102" s="32"/>
      <c r="L102" s="32"/>
      <c r="M102" s="32"/>
      <c r="N102" s="33"/>
      <c r="O102" s="33"/>
      <c r="P102" s="33"/>
      <c r="Q102" s="13"/>
      <c r="R102" s="13"/>
      <c r="S102" s="13"/>
      <c r="T102" s="13"/>
      <c r="U102" s="13"/>
      <c r="V102" s="13"/>
      <c r="W102" s="33"/>
      <c r="X102" s="33"/>
      <c r="Y102" s="33"/>
      <c r="Z102" s="33"/>
      <c r="AA102" s="33"/>
      <c r="AB102" s="33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</row>
    <row r="103" spans="2:83" s="30" customFormat="1">
      <c r="B103" s="32"/>
      <c r="C103" s="32"/>
      <c r="D103" s="32"/>
      <c r="E103" s="32"/>
      <c r="F103" s="32"/>
      <c r="G103" s="36"/>
      <c r="H103" s="32"/>
      <c r="I103" s="37"/>
      <c r="J103" s="32"/>
      <c r="K103" s="32"/>
      <c r="L103" s="32"/>
      <c r="M103" s="32"/>
      <c r="N103" s="33"/>
      <c r="O103" s="33"/>
      <c r="P103" s="33"/>
      <c r="Q103" s="13"/>
      <c r="R103" s="13"/>
      <c r="S103" s="13"/>
      <c r="T103" s="13"/>
      <c r="U103" s="13"/>
      <c r="V103" s="13"/>
      <c r="W103" s="33"/>
      <c r="X103" s="33"/>
      <c r="Y103" s="33"/>
      <c r="Z103" s="33"/>
      <c r="AA103" s="33"/>
      <c r="AB103" s="33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</row>
    <row r="104" spans="2:83" s="30" customFormat="1">
      <c r="B104" s="32"/>
      <c r="C104" s="32"/>
      <c r="D104" s="32"/>
      <c r="E104" s="32"/>
      <c r="F104" s="32"/>
      <c r="G104" s="36"/>
      <c r="H104" s="32"/>
      <c r="I104" s="37"/>
      <c r="J104" s="32"/>
      <c r="K104" s="32"/>
      <c r="L104" s="32"/>
      <c r="M104" s="32"/>
      <c r="N104" s="33"/>
      <c r="O104" s="33"/>
      <c r="P104" s="33"/>
      <c r="Q104" s="13"/>
      <c r="R104" s="13"/>
      <c r="S104" s="13"/>
      <c r="T104" s="13"/>
      <c r="U104" s="13"/>
      <c r="V104" s="13"/>
      <c r="W104" s="33"/>
      <c r="X104" s="33"/>
      <c r="Y104" s="33"/>
      <c r="Z104" s="33"/>
      <c r="AA104" s="33"/>
      <c r="AB104" s="33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</row>
    <row r="105" spans="2:83" s="30" customFormat="1">
      <c r="B105" s="32"/>
      <c r="C105" s="32"/>
      <c r="D105" s="32"/>
      <c r="E105" s="32"/>
      <c r="F105" s="32"/>
      <c r="G105" s="36"/>
      <c r="H105" s="32"/>
      <c r="I105" s="37"/>
      <c r="J105" s="32"/>
      <c r="K105" s="32"/>
      <c r="L105" s="32"/>
      <c r="M105" s="32"/>
      <c r="N105" s="33"/>
      <c r="O105" s="33"/>
      <c r="P105" s="33"/>
      <c r="Q105" s="13"/>
      <c r="R105" s="13"/>
      <c r="S105" s="13"/>
      <c r="T105" s="13"/>
      <c r="U105" s="13"/>
      <c r="V105" s="13"/>
      <c r="W105" s="33"/>
      <c r="X105" s="33"/>
      <c r="Y105" s="33"/>
      <c r="Z105" s="33"/>
      <c r="AA105" s="33"/>
      <c r="AB105" s="33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</row>
    <row r="106" spans="2:83" s="30" customFormat="1">
      <c r="B106" s="32"/>
      <c r="C106" s="32"/>
      <c r="D106" s="32"/>
      <c r="E106" s="32"/>
      <c r="F106" s="32"/>
      <c r="G106" s="36"/>
      <c r="H106" s="32"/>
      <c r="I106" s="37"/>
      <c r="J106" s="32"/>
      <c r="K106" s="32"/>
      <c r="L106" s="32"/>
      <c r="M106" s="32"/>
      <c r="N106" s="33"/>
      <c r="O106" s="33"/>
      <c r="P106" s="33"/>
      <c r="Q106" s="13"/>
      <c r="R106" s="13"/>
      <c r="S106" s="13"/>
      <c r="T106" s="13"/>
      <c r="U106" s="13"/>
      <c r="V106" s="13"/>
      <c r="W106" s="33"/>
      <c r="X106" s="33"/>
      <c r="Y106" s="33"/>
      <c r="Z106" s="33"/>
      <c r="AA106" s="33"/>
      <c r="AB106" s="33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</row>
    <row r="107" spans="2:83" s="30" customFormat="1">
      <c r="B107" s="32"/>
      <c r="C107" s="32"/>
      <c r="D107" s="32"/>
      <c r="E107" s="32"/>
      <c r="F107" s="32"/>
      <c r="G107" s="36"/>
      <c r="H107" s="32"/>
      <c r="I107" s="37"/>
      <c r="J107" s="32"/>
      <c r="K107" s="32"/>
      <c r="L107" s="32"/>
      <c r="M107" s="32"/>
      <c r="N107" s="33"/>
      <c r="O107" s="33"/>
      <c r="P107" s="33"/>
      <c r="Q107" s="13"/>
      <c r="R107" s="13"/>
      <c r="S107" s="13"/>
      <c r="T107" s="13"/>
      <c r="U107" s="13"/>
      <c r="V107" s="13"/>
      <c r="W107" s="33"/>
      <c r="X107" s="33"/>
      <c r="Y107" s="33"/>
      <c r="Z107" s="33"/>
      <c r="AA107" s="33"/>
      <c r="AB107" s="33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</row>
    <row r="108" spans="2:83" s="30" customFormat="1">
      <c r="B108" s="32"/>
      <c r="C108" s="32"/>
      <c r="D108" s="32"/>
      <c r="E108" s="32"/>
      <c r="F108" s="32"/>
      <c r="G108" s="36"/>
      <c r="H108" s="32"/>
      <c r="I108" s="37"/>
      <c r="J108" s="32"/>
      <c r="K108" s="32"/>
      <c r="L108" s="32"/>
      <c r="M108" s="32"/>
      <c r="N108" s="33"/>
      <c r="O108" s="33"/>
      <c r="P108" s="33"/>
      <c r="Q108" s="13"/>
      <c r="R108" s="13"/>
      <c r="S108" s="13"/>
      <c r="T108" s="13"/>
      <c r="U108" s="13"/>
      <c r="V108" s="13"/>
      <c r="W108" s="33"/>
      <c r="X108" s="33"/>
      <c r="Y108" s="33"/>
      <c r="Z108" s="33"/>
      <c r="AA108" s="33"/>
      <c r="AB108" s="33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</row>
    <row r="109" spans="2:83" s="30" customFormat="1">
      <c r="B109" s="32"/>
      <c r="C109" s="32"/>
      <c r="D109" s="32"/>
      <c r="E109" s="32"/>
      <c r="F109" s="32"/>
      <c r="G109" s="36"/>
      <c r="H109" s="32"/>
      <c r="I109" s="37"/>
      <c r="J109" s="32"/>
      <c r="K109" s="32"/>
      <c r="L109" s="32"/>
      <c r="M109" s="32"/>
      <c r="N109" s="33"/>
      <c r="O109" s="33"/>
      <c r="P109" s="33"/>
      <c r="Q109" s="13"/>
      <c r="R109" s="13"/>
      <c r="S109" s="13"/>
      <c r="T109" s="13"/>
      <c r="U109" s="13"/>
      <c r="V109" s="13"/>
      <c r="W109" s="33"/>
      <c r="X109" s="33"/>
      <c r="Y109" s="33"/>
      <c r="Z109" s="33"/>
      <c r="AA109" s="33"/>
      <c r="AB109" s="33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</row>
    <row r="110" spans="2:83" s="30" customFormat="1">
      <c r="B110" s="32"/>
      <c r="C110" s="32"/>
      <c r="D110" s="32"/>
      <c r="E110" s="32"/>
      <c r="F110" s="32"/>
      <c r="G110" s="36"/>
      <c r="H110" s="32"/>
      <c r="I110" s="37"/>
      <c r="J110" s="32"/>
      <c r="K110" s="32"/>
      <c r="L110" s="32"/>
      <c r="M110" s="32"/>
      <c r="N110" s="33"/>
      <c r="O110" s="33"/>
      <c r="P110" s="33"/>
      <c r="Q110" s="13"/>
      <c r="R110" s="13"/>
      <c r="S110" s="13"/>
      <c r="T110" s="13"/>
      <c r="U110" s="13"/>
      <c r="V110" s="13"/>
      <c r="W110" s="33"/>
      <c r="X110" s="33"/>
      <c r="Y110" s="33"/>
      <c r="Z110" s="33"/>
      <c r="AA110" s="33"/>
      <c r="AB110" s="33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</row>
    <row r="111" spans="2:83" s="30" customFormat="1">
      <c r="B111" s="32"/>
      <c r="C111" s="32"/>
      <c r="D111" s="32"/>
      <c r="E111" s="32"/>
      <c r="F111" s="32"/>
      <c r="G111" s="36"/>
      <c r="H111" s="32"/>
      <c r="I111" s="37"/>
      <c r="J111" s="32"/>
      <c r="K111" s="32"/>
      <c r="L111" s="32"/>
      <c r="M111" s="32"/>
      <c r="N111" s="33"/>
      <c r="O111" s="33"/>
      <c r="P111" s="33"/>
      <c r="Q111" s="13"/>
      <c r="R111" s="13"/>
      <c r="S111" s="13"/>
      <c r="T111" s="13"/>
      <c r="U111" s="13"/>
      <c r="V111" s="13"/>
      <c r="W111" s="33"/>
      <c r="X111" s="33"/>
      <c r="Y111" s="33"/>
      <c r="Z111" s="33"/>
      <c r="AA111" s="33"/>
      <c r="AB111" s="33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</row>
    <row r="112" spans="2:83" s="30" customFormat="1">
      <c r="B112" s="32"/>
      <c r="C112" s="32"/>
      <c r="D112" s="32"/>
      <c r="E112" s="32"/>
      <c r="F112" s="32"/>
      <c r="G112" s="36"/>
      <c r="H112" s="32"/>
      <c r="I112" s="37"/>
      <c r="J112" s="32"/>
      <c r="K112" s="32"/>
      <c r="L112" s="32"/>
      <c r="M112" s="32"/>
      <c r="N112" s="33"/>
      <c r="O112" s="33"/>
      <c r="P112" s="33"/>
      <c r="Q112" s="13"/>
      <c r="R112" s="13"/>
      <c r="S112" s="13"/>
      <c r="T112" s="13"/>
      <c r="U112" s="13"/>
      <c r="V112" s="13"/>
      <c r="W112" s="33"/>
      <c r="X112" s="33"/>
      <c r="Y112" s="33"/>
      <c r="Z112" s="33"/>
      <c r="AA112" s="33"/>
      <c r="AB112" s="33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</row>
    <row r="113" spans="2:83" s="30" customFormat="1">
      <c r="B113" s="32"/>
      <c r="C113" s="32"/>
      <c r="D113" s="32"/>
      <c r="E113" s="32"/>
      <c r="F113" s="32"/>
      <c r="G113" s="36"/>
      <c r="H113" s="32"/>
      <c r="I113" s="37"/>
      <c r="J113" s="32"/>
      <c r="K113" s="32"/>
      <c r="L113" s="32"/>
      <c r="M113" s="32"/>
      <c r="N113" s="33"/>
      <c r="O113" s="33"/>
      <c r="P113" s="33"/>
      <c r="Q113" s="13"/>
      <c r="R113" s="13"/>
      <c r="S113" s="13"/>
      <c r="T113" s="13"/>
      <c r="U113" s="13"/>
      <c r="V113" s="13"/>
      <c r="W113" s="33"/>
      <c r="X113" s="33"/>
      <c r="Y113" s="33"/>
      <c r="Z113" s="33"/>
      <c r="AA113" s="33"/>
      <c r="AB113" s="33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</row>
    <row r="114" spans="2:83" s="30" customFormat="1">
      <c r="B114" s="32"/>
      <c r="C114" s="32"/>
      <c r="D114" s="32"/>
      <c r="E114" s="32"/>
      <c r="F114" s="32"/>
      <c r="G114" s="36"/>
      <c r="H114" s="32"/>
      <c r="I114" s="37"/>
      <c r="J114" s="32"/>
      <c r="K114" s="32"/>
      <c r="L114" s="32"/>
      <c r="M114" s="32"/>
      <c r="N114" s="33"/>
      <c r="O114" s="33"/>
      <c r="P114" s="33"/>
      <c r="Q114" s="13"/>
      <c r="R114" s="13"/>
      <c r="S114" s="13"/>
      <c r="T114" s="13"/>
      <c r="U114" s="13"/>
      <c r="V114" s="13"/>
      <c r="W114" s="33"/>
      <c r="X114" s="33"/>
      <c r="Y114" s="33"/>
      <c r="Z114" s="33"/>
      <c r="AA114" s="33"/>
      <c r="AB114" s="33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</row>
    <row r="115" spans="2:83" s="30" customFormat="1">
      <c r="B115" s="32"/>
      <c r="C115" s="32"/>
      <c r="D115" s="32"/>
      <c r="E115" s="32"/>
      <c r="F115" s="32"/>
      <c r="G115" s="36"/>
      <c r="H115" s="32"/>
      <c r="I115" s="37"/>
      <c r="J115" s="32"/>
      <c r="K115" s="32"/>
      <c r="L115" s="32"/>
      <c r="M115" s="32"/>
      <c r="N115" s="33"/>
      <c r="O115" s="33"/>
      <c r="P115" s="33"/>
      <c r="Q115" s="13"/>
      <c r="R115" s="13"/>
      <c r="S115" s="13"/>
      <c r="T115" s="13"/>
      <c r="U115" s="13"/>
      <c r="V115" s="13"/>
      <c r="W115" s="33"/>
      <c r="X115" s="33"/>
      <c r="Y115" s="33"/>
      <c r="Z115" s="33"/>
      <c r="AA115" s="33"/>
      <c r="AB115" s="33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</row>
    <row r="116" spans="2:83" s="30" customFormat="1">
      <c r="B116" s="32"/>
      <c r="C116" s="32"/>
      <c r="D116" s="32"/>
      <c r="E116" s="32"/>
      <c r="F116" s="32"/>
      <c r="G116" s="36"/>
      <c r="H116" s="32"/>
      <c r="I116" s="37"/>
      <c r="J116" s="32"/>
      <c r="K116" s="32"/>
      <c r="L116" s="32"/>
      <c r="M116" s="32"/>
      <c r="N116" s="33"/>
      <c r="O116" s="33"/>
      <c r="P116" s="33"/>
      <c r="Q116" s="13"/>
      <c r="R116" s="13"/>
      <c r="S116" s="13"/>
      <c r="T116" s="13"/>
      <c r="U116" s="13"/>
      <c r="V116" s="13"/>
      <c r="W116" s="33"/>
      <c r="X116" s="33"/>
      <c r="Y116" s="33"/>
      <c r="Z116" s="33"/>
      <c r="AA116" s="33"/>
      <c r="AB116" s="33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</row>
    <row r="117" spans="2:83" s="30" customFormat="1">
      <c r="B117" s="32"/>
      <c r="C117" s="32"/>
      <c r="D117" s="32"/>
      <c r="E117" s="32"/>
      <c r="F117" s="32"/>
      <c r="G117" s="36"/>
      <c r="H117" s="32"/>
      <c r="I117" s="37"/>
      <c r="J117" s="32"/>
      <c r="K117" s="32"/>
      <c r="L117" s="32"/>
      <c r="M117" s="32"/>
      <c r="N117" s="33"/>
      <c r="O117" s="33"/>
      <c r="P117" s="33"/>
      <c r="Q117" s="13"/>
      <c r="R117" s="13"/>
      <c r="S117" s="13"/>
      <c r="T117" s="13"/>
      <c r="U117" s="13"/>
      <c r="V117" s="13"/>
      <c r="W117" s="33"/>
      <c r="X117" s="33"/>
      <c r="Y117" s="33"/>
      <c r="Z117" s="33"/>
      <c r="AA117" s="33"/>
      <c r="AB117" s="33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</row>
    <row r="118" spans="2:83" s="30" customFormat="1">
      <c r="B118" s="32"/>
      <c r="C118" s="32"/>
      <c r="D118" s="32"/>
      <c r="E118" s="32"/>
      <c r="F118" s="32"/>
      <c r="G118" s="36"/>
      <c r="H118" s="32"/>
      <c r="I118" s="37"/>
      <c r="J118" s="32"/>
      <c r="K118" s="32"/>
      <c r="L118" s="32"/>
      <c r="M118" s="32"/>
      <c r="N118" s="33"/>
      <c r="O118" s="33"/>
      <c r="P118" s="33"/>
      <c r="Q118" s="13"/>
      <c r="R118" s="13"/>
      <c r="S118" s="13"/>
      <c r="T118" s="13"/>
      <c r="U118" s="13"/>
      <c r="V118" s="13"/>
      <c r="W118" s="33"/>
      <c r="X118" s="33"/>
      <c r="Y118" s="33"/>
      <c r="Z118" s="33"/>
      <c r="AA118" s="33"/>
      <c r="AB118" s="33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</row>
    <row r="119" spans="2:83" s="30" customFormat="1">
      <c r="B119" s="32"/>
      <c r="C119" s="32"/>
      <c r="D119" s="32"/>
      <c r="E119" s="32"/>
      <c r="F119" s="32"/>
      <c r="G119" s="36"/>
      <c r="H119" s="32"/>
      <c r="I119" s="37"/>
      <c r="J119" s="32"/>
      <c r="K119" s="32"/>
      <c r="L119" s="32"/>
      <c r="M119" s="32"/>
      <c r="N119" s="33"/>
      <c r="O119" s="33"/>
      <c r="P119" s="33"/>
      <c r="Q119" s="13"/>
      <c r="R119" s="13"/>
      <c r="S119" s="13"/>
      <c r="T119" s="13"/>
      <c r="U119" s="13"/>
      <c r="V119" s="13"/>
      <c r="W119" s="33"/>
      <c r="X119" s="33"/>
      <c r="Y119" s="33"/>
      <c r="Z119" s="33"/>
      <c r="AA119" s="33"/>
      <c r="AB119" s="33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</row>
    <row r="120" spans="2:83" s="30" customFormat="1">
      <c r="B120" s="32"/>
      <c r="C120" s="32"/>
      <c r="D120" s="32"/>
      <c r="E120" s="32"/>
      <c r="F120" s="32"/>
      <c r="G120" s="36"/>
      <c r="H120" s="32"/>
      <c r="I120" s="37"/>
      <c r="J120" s="32"/>
      <c r="K120" s="32"/>
      <c r="L120" s="32"/>
      <c r="M120" s="32"/>
      <c r="N120" s="33"/>
      <c r="O120" s="33"/>
      <c r="P120" s="33"/>
      <c r="Q120" s="13"/>
      <c r="R120" s="13"/>
      <c r="S120" s="13"/>
      <c r="T120" s="13"/>
      <c r="U120" s="13"/>
      <c r="V120" s="13"/>
      <c r="W120" s="33"/>
      <c r="X120" s="33"/>
      <c r="Y120" s="33"/>
      <c r="Z120" s="33"/>
      <c r="AA120" s="33"/>
      <c r="AB120" s="33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</row>
    <row r="121" spans="2:83" s="30" customFormat="1">
      <c r="B121" s="32"/>
      <c r="C121" s="32"/>
      <c r="D121" s="32"/>
      <c r="E121" s="32"/>
      <c r="F121" s="32"/>
      <c r="G121" s="36"/>
      <c r="H121" s="32"/>
      <c r="I121" s="37"/>
      <c r="J121" s="32"/>
      <c r="K121" s="32"/>
      <c r="L121" s="32"/>
      <c r="M121" s="32"/>
      <c r="N121" s="33"/>
      <c r="O121" s="33"/>
      <c r="P121" s="33"/>
      <c r="Q121" s="13"/>
      <c r="R121" s="13"/>
      <c r="S121" s="13"/>
      <c r="T121" s="13"/>
      <c r="U121" s="13"/>
      <c r="V121" s="13"/>
      <c r="W121" s="33"/>
      <c r="X121" s="33"/>
      <c r="Y121" s="33"/>
      <c r="Z121" s="33"/>
      <c r="AA121" s="33"/>
      <c r="AB121" s="33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</row>
    <row r="122" spans="2:83" s="30" customFormat="1">
      <c r="B122" s="32"/>
      <c r="C122" s="32"/>
      <c r="D122" s="32"/>
      <c r="E122" s="32"/>
      <c r="F122" s="32"/>
      <c r="G122" s="36"/>
      <c r="H122" s="32"/>
      <c r="I122" s="37"/>
      <c r="J122" s="32"/>
      <c r="K122" s="32"/>
      <c r="L122" s="32"/>
      <c r="M122" s="32"/>
      <c r="N122" s="33"/>
      <c r="O122" s="33"/>
      <c r="P122" s="33"/>
      <c r="Q122" s="13"/>
      <c r="R122" s="13"/>
      <c r="S122" s="13"/>
      <c r="T122" s="13"/>
      <c r="U122" s="13"/>
      <c r="V122" s="13"/>
      <c r="W122" s="33"/>
      <c r="X122" s="33"/>
      <c r="Y122" s="33"/>
      <c r="Z122" s="33"/>
      <c r="AA122" s="33"/>
      <c r="AB122" s="33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</row>
    <row r="123" spans="2:83" s="30" customFormat="1">
      <c r="B123" s="32"/>
      <c r="C123" s="32"/>
      <c r="D123" s="32"/>
      <c r="E123" s="32"/>
      <c r="F123" s="32"/>
      <c r="G123" s="36"/>
      <c r="H123" s="32"/>
      <c r="I123" s="37"/>
      <c r="J123" s="32"/>
      <c r="K123" s="32"/>
      <c r="L123" s="32"/>
      <c r="M123" s="32"/>
      <c r="N123" s="33"/>
      <c r="O123" s="33"/>
      <c r="P123" s="33"/>
      <c r="Q123" s="13"/>
      <c r="R123" s="13"/>
      <c r="S123" s="13"/>
      <c r="T123" s="13"/>
      <c r="U123" s="13"/>
      <c r="V123" s="13"/>
      <c r="W123" s="33"/>
      <c r="X123" s="33"/>
      <c r="Y123" s="33"/>
      <c r="Z123" s="33"/>
      <c r="AA123" s="33"/>
      <c r="AB123" s="33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</row>
    <row r="124" spans="2:83" s="30" customFormat="1">
      <c r="B124" s="32"/>
      <c r="C124" s="32"/>
      <c r="D124" s="32"/>
      <c r="E124" s="32"/>
      <c r="F124" s="32"/>
      <c r="G124" s="36"/>
      <c r="H124" s="32"/>
      <c r="I124" s="37"/>
      <c r="J124" s="32"/>
      <c r="K124" s="32"/>
      <c r="L124" s="32"/>
      <c r="M124" s="32"/>
      <c r="N124" s="33"/>
      <c r="O124" s="33"/>
      <c r="P124" s="33"/>
      <c r="Q124" s="13"/>
      <c r="R124" s="13"/>
      <c r="S124" s="13"/>
      <c r="T124" s="13"/>
      <c r="U124" s="13"/>
      <c r="V124" s="13"/>
      <c r="W124" s="33"/>
      <c r="X124" s="33"/>
      <c r="Y124" s="33"/>
      <c r="Z124" s="33"/>
      <c r="AA124" s="33"/>
      <c r="AB124" s="33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</row>
    <row r="125" spans="2:83" s="30" customFormat="1">
      <c r="B125" s="32"/>
      <c r="C125" s="32"/>
      <c r="D125" s="32"/>
      <c r="E125" s="32"/>
      <c r="F125" s="32"/>
      <c r="G125" s="36"/>
      <c r="H125" s="32"/>
      <c r="I125" s="37"/>
      <c r="J125" s="32"/>
      <c r="K125" s="32"/>
      <c r="L125" s="32"/>
      <c r="M125" s="32"/>
      <c r="N125" s="33"/>
      <c r="O125" s="33"/>
      <c r="P125" s="33"/>
      <c r="Q125" s="13"/>
      <c r="R125" s="13"/>
      <c r="S125" s="13"/>
      <c r="T125" s="13"/>
      <c r="U125" s="13"/>
      <c r="V125" s="13"/>
      <c r="W125" s="33"/>
      <c r="X125" s="33"/>
      <c r="Y125" s="33"/>
      <c r="Z125" s="33"/>
      <c r="AA125" s="33"/>
      <c r="AB125" s="33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</row>
    <row r="126" spans="2:83" s="30" customFormat="1">
      <c r="B126" s="32"/>
      <c r="C126" s="32"/>
      <c r="D126" s="32"/>
      <c r="E126" s="32"/>
      <c r="F126" s="32"/>
      <c r="G126" s="36"/>
      <c r="H126" s="32"/>
      <c r="I126" s="37"/>
      <c r="J126" s="32"/>
      <c r="K126" s="32"/>
      <c r="L126" s="32"/>
      <c r="M126" s="32"/>
      <c r="N126" s="33"/>
      <c r="O126" s="33"/>
      <c r="P126" s="33"/>
      <c r="Q126" s="13"/>
      <c r="R126" s="13"/>
      <c r="S126" s="13"/>
      <c r="T126" s="13"/>
      <c r="U126" s="13"/>
      <c r="V126" s="13"/>
      <c r="W126" s="33"/>
      <c r="X126" s="33"/>
      <c r="Y126" s="33"/>
      <c r="Z126" s="33"/>
      <c r="AA126" s="33"/>
      <c r="AB126" s="33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</row>
    <row r="127" spans="2:83" s="30" customFormat="1">
      <c r="B127" s="32"/>
      <c r="C127" s="32"/>
      <c r="D127" s="32"/>
      <c r="E127" s="32"/>
      <c r="F127" s="32"/>
      <c r="G127" s="36"/>
      <c r="H127" s="32"/>
      <c r="I127" s="37"/>
      <c r="J127" s="32"/>
      <c r="K127" s="32"/>
      <c r="L127" s="32"/>
      <c r="M127" s="32"/>
      <c r="N127" s="33"/>
      <c r="O127" s="33"/>
      <c r="P127" s="33"/>
      <c r="Q127" s="13"/>
      <c r="R127" s="13"/>
      <c r="S127" s="13"/>
      <c r="T127" s="13"/>
      <c r="U127" s="13"/>
      <c r="V127" s="13"/>
      <c r="W127" s="33"/>
      <c r="X127" s="33"/>
      <c r="Y127" s="33"/>
      <c r="Z127" s="33"/>
      <c r="AA127" s="33"/>
      <c r="AB127" s="33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</row>
    <row r="128" spans="2:83" s="30" customFormat="1">
      <c r="B128" s="32"/>
      <c r="C128" s="32"/>
      <c r="D128" s="32"/>
      <c r="E128" s="32"/>
      <c r="F128" s="32"/>
      <c r="G128" s="36"/>
      <c r="H128" s="32"/>
      <c r="I128" s="37"/>
      <c r="J128" s="32"/>
      <c r="K128" s="32"/>
      <c r="L128" s="32"/>
      <c r="M128" s="32"/>
      <c r="N128" s="33"/>
      <c r="O128" s="33"/>
      <c r="P128" s="33"/>
      <c r="Q128" s="13"/>
      <c r="R128" s="13"/>
      <c r="S128" s="13"/>
      <c r="T128" s="13"/>
      <c r="U128" s="13"/>
      <c r="V128" s="13"/>
      <c r="W128" s="33"/>
      <c r="X128" s="33"/>
      <c r="Y128" s="33"/>
      <c r="Z128" s="33"/>
      <c r="AA128" s="33"/>
      <c r="AB128" s="33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</row>
    <row r="129" spans="2:83" s="30" customFormat="1">
      <c r="B129" s="32"/>
      <c r="C129" s="32"/>
      <c r="D129" s="32"/>
      <c r="E129" s="32"/>
      <c r="F129" s="32"/>
      <c r="G129" s="36"/>
      <c r="H129" s="32"/>
      <c r="I129" s="37"/>
      <c r="J129" s="32"/>
      <c r="K129" s="32"/>
      <c r="L129" s="32"/>
      <c r="M129" s="32"/>
      <c r="N129" s="33"/>
      <c r="O129" s="33"/>
      <c r="P129" s="33"/>
      <c r="Q129" s="13"/>
      <c r="R129" s="13"/>
      <c r="S129" s="13"/>
      <c r="T129" s="13"/>
      <c r="U129" s="13"/>
      <c r="V129" s="13"/>
      <c r="W129" s="33"/>
      <c r="X129" s="33"/>
      <c r="Y129" s="33"/>
      <c r="Z129" s="33"/>
      <c r="AA129" s="33"/>
      <c r="AB129" s="33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</row>
    <row r="130" spans="2:83" s="30" customFormat="1">
      <c r="B130" s="32"/>
      <c r="C130" s="32"/>
      <c r="D130" s="32"/>
      <c r="E130" s="32"/>
      <c r="F130" s="32"/>
      <c r="G130" s="36"/>
      <c r="H130" s="32"/>
      <c r="I130" s="37"/>
      <c r="J130" s="32"/>
      <c r="K130" s="32"/>
      <c r="L130" s="32"/>
      <c r="M130" s="32"/>
      <c r="N130" s="33"/>
      <c r="O130" s="33"/>
      <c r="P130" s="33"/>
      <c r="Q130" s="13"/>
      <c r="R130" s="13"/>
      <c r="S130" s="13"/>
      <c r="T130" s="13"/>
      <c r="U130" s="13"/>
      <c r="V130" s="13"/>
      <c r="W130" s="33"/>
      <c r="X130" s="33"/>
      <c r="Y130" s="33"/>
      <c r="Z130" s="33"/>
      <c r="AA130" s="33"/>
      <c r="AB130" s="33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</row>
    <row r="131" spans="2:83" s="30" customFormat="1">
      <c r="B131" s="32"/>
      <c r="C131" s="32"/>
      <c r="D131" s="32"/>
      <c r="E131" s="32"/>
      <c r="F131" s="32"/>
      <c r="G131" s="36"/>
      <c r="H131" s="32"/>
      <c r="I131" s="37"/>
      <c r="J131" s="32"/>
      <c r="K131" s="32"/>
      <c r="L131" s="32"/>
      <c r="M131" s="32"/>
      <c r="N131" s="33"/>
      <c r="O131" s="33"/>
      <c r="P131" s="33"/>
      <c r="Q131" s="13"/>
      <c r="R131" s="13"/>
      <c r="S131" s="13"/>
      <c r="T131" s="13"/>
      <c r="U131" s="13"/>
      <c r="V131" s="13"/>
      <c r="W131" s="33"/>
      <c r="X131" s="33"/>
      <c r="Y131" s="33"/>
      <c r="Z131" s="33"/>
      <c r="AA131" s="33"/>
      <c r="AB131" s="33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</row>
    <row r="132" spans="2:83" s="30" customFormat="1">
      <c r="B132" s="32"/>
      <c r="C132" s="32"/>
      <c r="D132" s="32"/>
      <c r="E132" s="32"/>
      <c r="F132" s="32"/>
      <c r="G132" s="36"/>
      <c r="H132" s="32"/>
      <c r="I132" s="37"/>
      <c r="J132" s="32"/>
      <c r="K132" s="32"/>
      <c r="L132" s="32"/>
      <c r="M132" s="32"/>
      <c r="N132" s="33"/>
      <c r="O132" s="33"/>
      <c r="P132" s="33"/>
      <c r="Q132" s="13"/>
      <c r="R132" s="13"/>
      <c r="S132" s="13"/>
      <c r="T132" s="13"/>
      <c r="U132" s="13"/>
      <c r="V132" s="13"/>
      <c r="W132" s="33"/>
      <c r="X132" s="33"/>
      <c r="Y132" s="33"/>
      <c r="Z132" s="33"/>
      <c r="AA132" s="33"/>
      <c r="AB132" s="33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</row>
    <row r="133" spans="2:83" s="30" customFormat="1">
      <c r="B133" s="32"/>
      <c r="C133" s="32"/>
      <c r="D133" s="32"/>
      <c r="E133" s="32"/>
      <c r="F133" s="32"/>
      <c r="G133" s="36"/>
      <c r="H133" s="32"/>
      <c r="I133" s="37"/>
      <c r="J133" s="32"/>
      <c r="K133" s="32"/>
      <c r="L133" s="32"/>
      <c r="M133" s="32"/>
      <c r="N133" s="33"/>
      <c r="O133" s="33"/>
      <c r="P133" s="33"/>
      <c r="Q133" s="13"/>
      <c r="R133" s="13"/>
      <c r="S133" s="13"/>
      <c r="T133" s="13"/>
      <c r="U133" s="13"/>
      <c r="V133" s="13"/>
      <c r="W133" s="33"/>
      <c r="X133" s="33"/>
      <c r="Y133" s="33"/>
      <c r="Z133" s="33"/>
      <c r="AA133" s="33"/>
      <c r="AB133" s="33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</row>
    <row r="134" spans="2:83" s="30" customFormat="1">
      <c r="B134" s="32"/>
      <c r="C134" s="32"/>
      <c r="D134" s="32"/>
      <c r="E134" s="32"/>
      <c r="F134" s="32"/>
      <c r="G134" s="36"/>
      <c r="H134" s="32"/>
      <c r="I134" s="37"/>
      <c r="J134" s="32"/>
      <c r="K134" s="32"/>
      <c r="L134" s="32"/>
      <c r="M134" s="32"/>
      <c r="N134" s="33"/>
      <c r="O134" s="33"/>
      <c r="P134" s="33"/>
      <c r="Q134" s="13"/>
      <c r="R134" s="13"/>
      <c r="S134" s="13"/>
      <c r="T134" s="13"/>
      <c r="U134" s="13"/>
      <c r="V134" s="13"/>
      <c r="W134" s="33"/>
      <c r="X134" s="33"/>
      <c r="Y134" s="33"/>
      <c r="Z134" s="33"/>
      <c r="AA134" s="33"/>
      <c r="AB134" s="33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</row>
    <row r="135" spans="2:83" s="30" customFormat="1">
      <c r="B135" s="32"/>
      <c r="C135" s="32"/>
      <c r="D135" s="32"/>
      <c r="E135" s="32"/>
      <c r="F135" s="32"/>
      <c r="G135" s="36"/>
      <c r="H135" s="32"/>
      <c r="I135" s="37"/>
      <c r="J135" s="32"/>
      <c r="K135" s="32"/>
      <c r="L135" s="32"/>
      <c r="M135" s="32"/>
      <c r="N135" s="33"/>
      <c r="O135" s="33"/>
      <c r="P135" s="33"/>
      <c r="Q135" s="13"/>
      <c r="R135" s="13"/>
      <c r="S135" s="13"/>
      <c r="T135" s="13"/>
      <c r="U135" s="13"/>
      <c r="V135" s="13"/>
      <c r="W135" s="33"/>
      <c r="X135" s="33"/>
      <c r="Y135" s="33"/>
      <c r="Z135" s="33"/>
      <c r="AA135" s="33"/>
      <c r="AB135" s="33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</row>
    <row r="136" spans="2:83" s="30" customFormat="1">
      <c r="B136" s="32"/>
      <c r="C136" s="32"/>
      <c r="D136" s="32"/>
      <c r="E136" s="32"/>
      <c r="F136" s="32"/>
      <c r="G136" s="36"/>
      <c r="H136" s="32"/>
      <c r="I136" s="37"/>
      <c r="J136" s="32"/>
      <c r="K136" s="32"/>
      <c r="L136" s="32"/>
      <c r="M136" s="32"/>
      <c r="N136" s="33"/>
      <c r="O136" s="33"/>
      <c r="P136" s="33"/>
      <c r="Q136" s="13"/>
      <c r="R136" s="13"/>
      <c r="S136" s="13"/>
      <c r="T136" s="13"/>
      <c r="U136" s="13"/>
      <c r="V136" s="13"/>
      <c r="W136" s="33"/>
      <c r="X136" s="33"/>
      <c r="Y136" s="33"/>
      <c r="Z136" s="33"/>
      <c r="AA136" s="33"/>
      <c r="AB136" s="33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</row>
    <row r="137" spans="2:83" s="30" customFormat="1">
      <c r="B137" s="32"/>
      <c r="C137" s="32"/>
      <c r="D137" s="32"/>
      <c r="E137" s="32"/>
      <c r="F137" s="32"/>
      <c r="G137" s="36"/>
      <c r="H137" s="32"/>
      <c r="I137" s="37"/>
      <c r="J137" s="32"/>
      <c r="K137" s="32"/>
      <c r="L137" s="32"/>
      <c r="M137" s="32"/>
      <c r="N137" s="33"/>
      <c r="O137" s="33"/>
      <c r="P137" s="33"/>
      <c r="Q137" s="13"/>
      <c r="R137" s="13"/>
      <c r="S137" s="13"/>
      <c r="T137" s="13"/>
      <c r="U137" s="13"/>
      <c r="V137" s="13"/>
      <c r="W137" s="33"/>
      <c r="X137" s="33"/>
      <c r="Y137" s="33"/>
      <c r="Z137" s="33"/>
      <c r="AA137" s="33"/>
      <c r="AB137" s="33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</row>
    <row r="138" spans="2:83" s="30" customFormat="1">
      <c r="B138" s="32"/>
      <c r="C138" s="32"/>
      <c r="D138" s="32"/>
      <c r="E138" s="32"/>
      <c r="F138" s="32"/>
      <c r="G138" s="36"/>
      <c r="H138" s="32"/>
      <c r="I138" s="37"/>
      <c r="J138" s="32"/>
      <c r="K138" s="32"/>
      <c r="L138" s="32"/>
      <c r="M138" s="32"/>
      <c r="N138" s="33"/>
      <c r="O138" s="33"/>
      <c r="P138" s="33"/>
      <c r="Q138" s="13"/>
      <c r="R138" s="13"/>
      <c r="S138" s="13"/>
      <c r="T138" s="13"/>
      <c r="U138" s="13"/>
      <c r="V138" s="13"/>
      <c r="W138" s="33"/>
      <c r="X138" s="33"/>
      <c r="Y138" s="33"/>
      <c r="Z138" s="33"/>
      <c r="AA138" s="33"/>
      <c r="AB138" s="33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</row>
    <row r="139" spans="2:83" s="30" customFormat="1">
      <c r="B139" s="32"/>
      <c r="C139" s="32"/>
      <c r="D139" s="32"/>
      <c r="E139" s="32"/>
      <c r="F139" s="32"/>
      <c r="G139" s="36"/>
      <c r="H139" s="32"/>
      <c r="I139" s="37"/>
      <c r="J139" s="32"/>
      <c r="K139" s="32"/>
      <c r="L139" s="32"/>
      <c r="M139" s="32"/>
      <c r="N139" s="33"/>
      <c r="O139" s="33"/>
      <c r="P139" s="33"/>
      <c r="Q139" s="13"/>
      <c r="R139" s="13"/>
      <c r="S139" s="13"/>
      <c r="T139" s="13"/>
      <c r="U139" s="13"/>
      <c r="V139" s="13"/>
      <c r="W139" s="33"/>
      <c r="X139" s="33"/>
      <c r="Y139" s="33"/>
      <c r="Z139" s="33"/>
      <c r="AA139" s="33"/>
      <c r="AB139" s="33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</row>
    <row r="140" spans="2:83" s="30" customFormat="1">
      <c r="B140" s="32"/>
      <c r="C140" s="32"/>
      <c r="D140" s="32"/>
      <c r="E140" s="32"/>
      <c r="F140" s="32"/>
      <c r="G140" s="36"/>
      <c r="H140" s="32"/>
      <c r="I140" s="37"/>
      <c r="J140" s="32"/>
      <c r="K140" s="32"/>
      <c r="L140" s="32"/>
      <c r="M140" s="32"/>
      <c r="N140" s="33"/>
      <c r="O140" s="33"/>
      <c r="P140" s="33"/>
      <c r="Q140" s="13"/>
      <c r="R140" s="13"/>
      <c r="S140" s="13"/>
      <c r="T140" s="13"/>
      <c r="U140" s="13"/>
      <c r="V140" s="13"/>
      <c r="W140" s="33"/>
      <c r="X140" s="33"/>
      <c r="Y140" s="33"/>
      <c r="Z140" s="33"/>
      <c r="AA140" s="33"/>
      <c r="AB140" s="33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</row>
    <row r="141" spans="2:83" s="30" customFormat="1">
      <c r="B141" s="32"/>
      <c r="C141" s="32"/>
      <c r="D141" s="32"/>
      <c r="E141" s="32"/>
      <c r="F141" s="32"/>
      <c r="G141" s="36"/>
      <c r="H141" s="32"/>
      <c r="I141" s="37"/>
      <c r="J141" s="32"/>
      <c r="K141" s="32"/>
      <c r="L141" s="32"/>
      <c r="M141" s="32"/>
      <c r="N141" s="33"/>
      <c r="O141" s="33"/>
      <c r="P141" s="33"/>
      <c r="Q141" s="13"/>
      <c r="R141" s="13"/>
      <c r="S141" s="13"/>
      <c r="T141" s="13"/>
      <c r="U141" s="13"/>
      <c r="V141" s="13"/>
      <c r="W141" s="33"/>
      <c r="X141" s="33"/>
      <c r="Y141" s="33"/>
      <c r="Z141" s="33"/>
      <c r="AA141" s="33"/>
      <c r="AB141" s="33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</row>
    <row r="142" spans="2:83" s="30" customFormat="1">
      <c r="B142" s="32"/>
      <c r="C142" s="32"/>
      <c r="D142" s="32"/>
      <c r="E142" s="32"/>
      <c r="F142" s="32"/>
      <c r="G142" s="36"/>
      <c r="H142" s="32"/>
      <c r="I142" s="37"/>
      <c r="J142" s="32"/>
      <c r="K142" s="32"/>
      <c r="L142" s="32"/>
      <c r="M142" s="32"/>
      <c r="N142" s="33"/>
      <c r="O142" s="33"/>
      <c r="P142" s="33"/>
      <c r="Q142" s="13"/>
      <c r="R142" s="13"/>
      <c r="S142" s="13"/>
      <c r="T142" s="13"/>
      <c r="U142" s="13"/>
      <c r="V142" s="13"/>
      <c r="W142" s="33"/>
      <c r="X142" s="33"/>
      <c r="Y142" s="33"/>
      <c r="Z142" s="33"/>
      <c r="AA142" s="33"/>
      <c r="AB142" s="33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</row>
    <row r="143" spans="2:83" s="30" customFormat="1">
      <c r="B143" s="32"/>
      <c r="C143" s="32"/>
      <c r="D143" s="32"/>
      <c r="E143" s="32"/>
      <c r="F143" s="32"/>
      <c r="G143" s="36"/>
      <c r="H143" s="32"/>
      <c r="I143" s="37"/>
      <c r="J143" s="32"/>
      <c r="K143" s="32"/>
      <c r="L143" s="32"/>
      <c r="M143" s="32"/>
      <c r="N143" s="33"/>
      <c r="O143" s="33"/>
      <c r="P143" s="33"/>
      <c r="Q143" s="13"/>
      <c r="R143" s="13"/>
      <c r="S143" s="13"/>
      <c r="T143" s="13"/>
      <c r="U143" s="13"/>
      <c r="V143" s="13"/>
      <c r="W143" s="33"/>
      <c r="X143" s="33"/>
      <c r="Y143" s="33"/>
      <c r="Z143" s="33"/>
      <c r="AA143" s="33"/>
      <c r="AB143" s="33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</row>
    <row r="144" spans="2:83" s="30" customFormat="1">
      <c r="B144" s="32"/>
      <c r="C144" s="32"/>
      <c r="D144" s="32"/>
      <c r="E144" s="32"/>
      <c r="F144" s="32"/>
      <c r="G144" s="36"/>
      <c r="H144" s="32"/>
      <c r="I144" s="37"/>
      <c r="J144" s="32"/>
      <c r="K144" s="32"/>
      <c r="L144" s="32"/>
      <c r="M144" s="32"/>
      <c r="N144" s="33"/>
      <c r="O144" s="33"/>
      <c r="P144" s="33"/>
      <c r="Q144" s="13"/>
      <c r="R144" s="13"/>
      <c r="S144" s="13"/>
      <c r="T144" s="13"/>
      <c r="U144" s="13"/>
      <c r="V144" s="13"/>
      <c r="W144" s="33"/>
      <c r="X144" s="33"/>
      <c r="Y144" s="33"/>
      <c r="Z144" s="33"/>
      <c r="AA144" s="33"/>
      <c r="AB144" s="33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</row>
    <row r="145" spans="2:83" s="30" customFormat="1">
      <c r="B145" s="32"/>
      <c r="C145" s="32"/>
      <c r="D145" s="32"/>
      <c r="E145" s="32"/>
      <c r="F145" s="32"/>
      <c r="G145" s="36"/>
      <c r="H145" s="32"/>
      <c r="I145" s="37"/>
      <c r="J145" s="32"/>
      <c r="K145" s="32"/>
      <c r="L145" s="32"/>
      <c r="M145" s="32"/>
      <c r="N145" s="33"/>
      <c r="O145" s="33"/>
      <c r="P145" s="33"/>
      <c r="Q145" s="13"/>
      <c r="R145" s="13"/>
      <c r="S145" s="13"/>
      <c r="T145" s="13"/>
      <c r="U145" s="13"/>
      <c r="V145" s="13"/>
      <c r="W145" s="33"/>
      <c r="X145" s="33"/>
      <c r="Y145" s="33"/>
      <c r="Z145" s="33"/>
      <c r="AA145" s="33"/>
      <c r="AB145" s="33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</row>
    <row r="146" spans="2:83" s="30" customFormat="1">
      <c r="B146" s="32"/>
      <c r="C146" s="32"/>
      <c r="D146" s="32"/>
      <c r="E146" s="32"/>
      <c r="F146" s="32"/>
      <c r="G146" s="36"/>
      <c r="H146" s="32"/>
      <c r="I146" s="37"/>
      <c r="J146" s="32"/>
      <c r="K146" s="32"/>
      <c r="L146" s="32"/>
      <c r="M146" s="32"/>
      <c r="N146" s="33"/>
      <c r="O146" s="33"/>
      <c r="P146" s="33"/>
      <c r="Q146" s="13"/>
      <c r="R146" s="13"/>
      <c r="S146" s="13"/>
      <c r="T146" s="13"/>
      <c r="U146" s="13"/>
      <c r="V146" s="13"/>
      <c r="W146" s="33"/>
      <c r="X146" s="33"/>
      <c r="Y146" s="33"/>
      <c r="Z146" s="33"/>
      <c r="AA146" s="33"/>
      <c r="AB146" s="33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</row>
    <row r="147" spans="2:83" s="30" customFormat="1">
      <c r="B147" s="32"/>
      <c r="C147" s="32"/>
      <c r="D147" s="32"/>
      <c r="E147" s="32"/>
      <c r="F147" s="32"/>
      <c r="G147" s="36"/>
      <c r="H147" s="32"/>
      <c r="I147" s="37"/>
      <c r="J147" s="32"/>
      <c r="K147" s="32"/>
      <c r="L147" s="32"/>
      <c r="M147" s="32"/>
      <c r="N147" s="33"/>
      <c r="O147" s="33"/>
      <c r="P147" s="33"/>
      <c r="Q147" s="13"/>
      <c r="R147" s="13"/>
      <c r="S147" s="13"/>
      <c r="T147" s="13"/>
      <c r="U147" s="13"/>
      <c r="V147" s="13"/>
      <c r="W147" s="33"/>
      <c r="X147" s="33"/>
      <c r="Y147" s="33"/>
      <c r="Z147" s="33"/>
      <c r="AA147" s="33"/>
      <c r="AB147" s="33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</row>
    <row r="148" spans="2:83" s="30" customFormat="1">
      <c r="B148" s="32"/>
      <c r="C148" s="32"/>
      <c r="D148" s="32"/>
      <c r="E148" s="32"/>
      <c r="F148" s="32"/>
      <c r="G148" s="36"/>
      <c r="H148" s="32"/>
      <c r="I148" s="37"/>
      <c r="J148" s="32"/>
      <c r="K148" s="32"/>
      <c r="L148" s="32"/>
      <c r="M148" s="32"/>
      <c r="N148" s="33"/>
      <c r="O148" s="33"/>
      <c r="P148" s="33"/>
      <c r="Q148" s="13"/>
      <c r="R148" s="13"/>
      <c r="S148" s="13"/>
      <c r="T148" s="13"/>
      <c r="U148" s="13"/>
      <c r="V148" s="13"/>
      <c r="W148" s="33"/>
      <c r="X148" s="33"/>
      <c r="Y148" s="33"/>
      <c r="Z148" s="33"/>
      <c r="AA148" s="33"/>
      <c r="AB148" s="33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</row>
    <row r="149" spans="2:83" s="30" customFormat="1">
      <c r="B149" s="32"/>
      <c r="C149" s="32"/>
      <c r="D149" s="32"/>
      <c r="E149" s="32"/>
      <c r="F149" s="32"/>
      <c r="G149" s="36"/>
      <c r="H149" s="32"/>
      <c r="I149" s="37"/>
      <c r="J149" s="32"/>
      <c r="K149" s="32"/>
      <c r="L149" s="32"/>
      <c r="M149" s="32"/>
      <c r="N149" s="33"/>
      <c r="O149" s="33"/>
      <c r="P149" s="33"/>
      <c r="Q149" s="13"/>
      <c r="R149" s="13"/>
      <c r="S149" s="13"/>
      <c r="T149" s="13"/>
      <c r="U149" s="13"/>
      <c r="V149" s="13"/>
      <c r="W149" s="33"/>
      <c r="X149" s="33"/>
      <c r="Y149" s="33"/>
      <c r="Z149" s="33"/>
      <c r="AA149" s="33"/>
      <c r="AB149" s="33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</row>
    <row r="150" spans="2:83" s="30" customFormat="1">
      <c r="B150" s="32"/>
      <c r="C150" s="32"/>
      <c r="D150" s="32"/>
      <c r="E150" s="32"/>
      <c r="F150" s="32"/>
      <c r="G150" s="36"/>
      <c r="H150" s="32"/>
      <c r="I150" s="37"/>
      <c r="J150" s="32"/>
      <c r="K150" s="32"/>
      <c r="L150" s="32"/>
      <c r="M150" s="32"/>
      <c r="N150" s="33"/>
      <c r="O150" s="33"/>
      <c r="P150" s="33"/>
      <c r="Q150" s="13"/>
      <c r="R150" s="13"/>
      <c r="S150" s="13"/>
      <c r="T150" s="13"/>
      <c r="U150" s="13"/>
      <c r="V150" s="13"/>
      <c r="W150" s="33"/>
      <c r="X150" s="33"/>
      <c r="Y150" s="33"/>
      <c r="Z150" s="33"/>
      <c r="AA150" s="33"/>
      <c r="AB150" s="33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</row>
    <row r="151" spans="2:83" s="30" customFormat="1">
      <c r="B151" s="32"/>
      <c r="C151" s="32"/>
      <c r="D151" s="32"/>
      <c r="E151" s="32"/>
      <c r="F151" s="32"/>
      <c r="G151" s="36"/>
      <c r="H151" s="32"/>
      <c r="I151" s="37"/>
      <c r="J151" s="32"/>
      <c r="K151" s="32"/>
      <c r="L151" s="32"/>
      <c r="M151" s="32"/>
      <c r="N151" s="33"/>
      <c r="O151" s="33"/>
      <c r="P151" s="33"/>
      <c r="Q151" s="13"/>
      <c r="R151" s="13"/>
      <c r="S151" s="13"/>
      <c r="T151" s="13"/>
      <c r="U151" s="13"/>
      <c r="V151" s="13"/>
      <c r="W151" s="33"/>
      <c r="X151" s="33"/>
      <c r="Y151" s="33"/>
      <c r="Z151" s="33"/>
      <c r="AA151" s="33"/>
      <c r="AB151" s="33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</row>
    <row r="152" spans="2:83" s="30" customFormat="1">
      <c r="B152" s="32"/>
      <c r="C152" s="32"/>
      <c r="D152" s="32"/>
      <c r="E152" s="32"/>
      <c r="F152" s="32"/>
      <c r="G152" s="36"/>
      <c r="H152" s="32"/>
      <c r="I152" s="37"/>
      <c r="J152" s="32"/>
      <c r="K152" s="32"/>
      <c r="L152" s="32"/>
      <c r="M152" s="32"/>
      <c r="N152" s="33"/>
      <c r="O152" s="33"/>
      <c r="P152" s="33"/>
      <c r="Q152" s="13"/>
      <c r="R152" s="13"/>
      <c r="S152" s="13"/>
      <c r="T152" s="13"/>
      <c r="U152" s="13"/>
      <c r="V152" s="13"/>
      <c r="W152" s="33"/>
      <c r="X152" s="33"/>
      <c r="Y152" s="33"/>
      <c r="Z152" s="33"/>
      <c r="AA152" s="33"/>
      <c r="AB152" s="33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</row>
    <row r="153" spans="2:83" s="30" customFormat="1">
      <c r="B153" s="32"/>
      <c r="C153" s="32"/>
      <c r="D153" s="32"/>
      <c r="E153" s="32"/>
      <c r="F153" s="32"/>
      <c r="G153" s="36"/>
      <c r="H153" s="32"/>
      <c r="I153" s="37"/>
      <c r="J153" s="32"/>
      <c r="K153" s="32"/>
      <c r="L153" s="32"/>
      <c r="M153" s="32"/>
      <c r="N153" s="33"/>
      <c r="O153" s="33"/>
      <c r="P153" s="33"/>
      <c r="Q153" s="13"/>
      <c r="R153" s="13"/>
      <c r="S153" s="13"/>
      <c r="T153" s="13"/>
      <c r="U153" s="13"/>
      <c r="V153" s="13"/>
      <c r="W153" s="33"/>
      <c r="X153" s="33"/>
      <c r="Y153" s="33"/>
      <c r="Z153" s="33"/>
      <c r="AA153" s="33"/>
      <c r="AB153" s="33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</row>
    <row r="154" spans="2:83" s="30" customFormat="1">
      <c r="B154" s="32"/>
      <c r="C154" s="32"/>
      <c r="D154" s="32"/>
      <c r="E154" s="32"/>
      <c r="F154" s="32"/>
      <c r="G154" s="36"/>
      <c r="H154" s="32"/>
      <c r="I154" s="37"/>
      <c r="J154" s="32"/>
      <c r="K154" s="32"/>
      <c r="L154" s="32"/>
      <c r="M154" s="32"/>
      <c r="N154" s="33"/>
      <c r="O154" s="33"/>
      <c r="P154" s="33"/>
      <c r="Q154" s="13"/>
      <c r="R154" s="13"/>
      <c r="S154" s="13"/>
      <c r="T154" s="13"/>
      <c r="U154" s="13"/>
      <c r="V154" s="13"/>
      <c r="W154" s="33"/>
      <c r="X154" s="33"/>
      <c r="Y154" s="33"/>
      <c r="Z154" s="33"/>
      <c r="AA154" s="33"/>
      <c r="AB154" s="33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</row>
    <row r="155" spans="2:83" s="30" customFormat="1">
      <c r="B155" s="32"/>
      <c r="C155" s="32"/>
      <c r="D155" s="32"/>
      <c r="E155" s="32"/>
      <c r="F155" s="32"/>
      <c r="G155" s="36"/>
      <c r="H155" s="32"/>
      <c r="I155" s="37"/>
      <c r="J155" s="32"/>
      <c r="K155" s="32"/>
      <c r="L155" s="32"/>
      <c r="M155" s="32"/>
      <c r="N155" s="33"/>
      <c r="O155" s="33"/>
      <c r="P155" s="33"/>
      <c r="Q155" s="13"/>
      <c r="R155" s="13"/>
      <c r="S155" s="13"/>
      <c r="T155" s="13"/>
      <c r="U155" s="13"/>
      <c r="V155" s="13"/>
      <c r="W155" s="33"/>
      <c r="X155" s="33"/>
      <c r="Y155" s="33"/>
      <c r="Z155" s="33"/>
      <c r="AA155" s="33"/>
      <c r="AB155" s="33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</row>
    <row r="156" spans="2:83" s="30" customFormat="1">
      <c r="B156" s="32"/>
      <c r="C156" s="32"/>
      <c r="D156" s="32"/>
      <c r="E156" s="32"/>
      <c r="F156" s="32"/>
      <c r="G156" s="36"/>
      <c r="H156" s="32"/>
      <c r="I156" s="37"/>
      <c r="J156" s="32"/>
      <c r="K156" s="32"/>
      <c r="L156" s="32"/>
      <c r="M156" s="32"/>
      <c r="N156" s="33"/>
      <c r="O156" s="33"/>
      <c r="P156" s="33"/>
      <c r="Q156" s="13"/>
      <c r="R156" s="13"/>
      <c r="S156" s="13"/>
      <c r="T156" s="13"/>
      <c r="U156" s="13"/>
      <c r="V156" s="13"/>
      <c r="W156" s="33"/>
      <c r="X156" s="33"/>
      <c r="Y156" s="33"/>
      <c r="Z156" s="33"/>
      <c r="AA156" s="33"/>
      <c r="AB156" s="33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</row>
    <row r="157" spans="2:83" s="30" customFormat="1">
      <c r="B157" s="32"/>
      <c r="C157" s="32"/>
      <c r="D157" s="32"/>
      <c r="E157" s="32"/>
      <c r="F157" s="32"/>
      <c r="G157" s="36"/>
      <c r="H157" s="32"/>
      <c r="I157" s="37"/>
      <c r="J157" s="32"/>
      <c r="K157" s="32"/>
      <c r="L157" s="32"/>
      <c r="M157" s="32"/>
      <c r="N157" s="33"/>
      <c r="O157" s="33"/>
      <c r="P157" s="33"/>
      <c r="Q157" s="13"/>
      <c r="R157" s="13"/>
      <c r="S157" s="13"/>
      <c r="T157" s="13"/>
      <c r="U157" s="13"/>
      <c r="V157" s="13"/>
      <c r="W157" s="33"/>
      <c r="X157" s="33"/>
      <c r="Y157" s="33"/>
      <c r="Z157" s="33"/>
      <c r="AA157" s="33"/>
      <c r="AB157" s="33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</row>
    <row r="158" spans="2:83" s="30" customFormat="1">
      <c r="B158" s="32"/>
      <c r="C158" s="32"/>
      <c r="D158" s="32"/>
      <c r="E158" s="32"/>
      <c r="F158" s="32"/>
      <c r="G158" s="36"/>
      <c r="H158" s="32"/>
      <c r="I158" s="37"/>
      <c r="J158" s="32"/>
      <c r="K158" s="32"/>
      <c r="L158" s="32"/>
      <c r="M158" s="32"/>
      <c r="N158" s="33"/>
      <c r="O158" s="33"/>
      <c r="P158" s="33"/>
      <c r="Q158" s="13"/>
      <c r="R158" s="13"/>
      <c r="S158" s="13"/>
      <c r="T158" s="13"/>
      <c r="U158" s="13"/>
      <c r="V158" s="13"/>
      <c r="W158" s="33"/>
      <c r="X158" s="33"/>
      <c r="Y158" s="33"/>
      <c r="Z158" s="33"/>
      <c r="AA158" s="33"/>
      <c r="AB158" s="33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</row>
    <row r="159" spans="2:83" s="30" customFormat="1">
      <c r="B159" s="32"/>
      <c r="C159" s="32"/>
      <c r="D159" s="32"/>
      <c r="E159" s="32"/>
      <c r="F159" s="32"/>
      <c r="G159" s="36"/>
      <c r="H159" s="32"/>
      <c r="I159" s="37"/>
      <c r="J159" s="32"/>
      <c r="K159" s="32"/>
      <c r="L159" s="32"/>
      <c r="M159" s="32"/>
      <c r="N159" s="33"/>
      <c r="O159" s="33"/>
      <c r="P159" s="33"/>
      <c r="Q159" s="13"/>
      <c r="R159" s="13"/>
      <c r="S159" s="13"/>
      <c r="T159" s="13"/>
      <c r="U159" s="13"/>
      <c r="V159" s="13"/>
      <c r="W159" s="33"/>
      <c r="X159" s="33"/>
      <c r="Y159" s="33"/>
      <c r="Z159" s="33"/>
      <c r="AA159" s="33"/>
      <c r="AB159" s="33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</row>
    <row r="160" spans="2:83" s="30" customFormat="1">
      <c r="B160" s="32"/>
      <c r="C160" s="32"/>
      <c r="D160" s="32"/>
      <c r="E160" s="32"/>
      <c r="F160" s="32"/>
      <c r="G160" s="36"/>
      <c r="H160" s="32"/>
      <c r="I160" s="37"/>
      <c r="J160" s="32"/>
      <c r="K160" s="32"/>
      <c r="L160" s="32"/>
      <c r="M160" s="32"/>
      <c r="N160" s="33"/>
      <c r="O160" s="33"/>
      <c r="P160" s="33"/>
      <c r="Q160" s="13"/>
      <c r="R160" s="13"/>
      <c r="S160" s="13"/>
      <c r="T160" s="13"/>
      <c r="U160" s="13"/>
      <c r="V160" s="13"/>
      <c r="W160" s="33"/>
      <c r="X160" s="33"/>
      <c r="Y160" s="33"/>
      <c r="Z160" s="33"/>
      <c r="AA160" s="33"/>
      <c r="AB160" s="33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</row>
    <row r="161" spans="2:83" s="30" customFormat="1">
      <c r="B161" s="32"/>
      <c r="C161" s="32"/>
      <c r="D161" s="32"/>
      <c r="E161" s="32"/>
      <c r="F161" s="32"/>
      <c r="G161" s="36"/>
      <c r="H161" s="32"/>
      <c r="I161" s="37"/>
      <c r="J161" s="32"/>
      <c r="K161" s="32"/>
      <c r="L161" s="32"/>
      <c r="M161" s="32"/>
      <c r="N161" s="33"/>
      <c r="O161" s="33"/>
      <c r="P161" s="33"/>
      <c r="Q161" s="13"/>
      <c r="R161" s="13"/>
      <c r="S161" s="13"/>
      <c r="T161" s="13"/>
      <c r="U161" s="13"/>
      <c r="V161" s="13"/>
      <c r="W161" s="33"/>
      <c r="X161" s="33"/>
      <c r="Y161" s="33"/>
      <c r="Z161" s="33"/>
      <c r="AA161" s="33"/>
      <c r="AB161" s="33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</row>
    <row r="162" spans="2:83" s="30" customFormat="1">
      <c r="B162" s="32"/>
      <c r="C162" s="32"/>
      <c r="D162" s="32"/>
      <c r="E162" s="32"/>
      <c r="F162" s="32"/>
      <c r="G162" s="36"/>
      <c r="H162" s="32"/>
      <c r="I162" s="37"/>
      <c r="J162" s="32"/>
      <c r="K162" s="32"/>
      <c r="L162" s="32"/>
      <c r="M162" s="32"/>
      <c r="N162" s="33"/>
      <c r="O162" s="33"/>
      <c r="P162" s="33"/>
      <c r="Q162" s="13"/>
      <c r="R162" s="13"/>
      <c r="S162" s="13"/>
      <c r="T162" s="13"/>
      <c r="U162" s="13"/>
      <c r="V162" s="13"/>
      <c r="W162" s="33"/>
      <c r="X162" s="33"/>
      <c r="Y162" s="33"/>
      <c r="Z162" s="33"/>
      <c r="AA162" s="33"/>
      <c r="AB162" s="33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</row>
    <row r="163" spans="2:83" s="30" customFormat="1">
      <c r="B163" s="32"/>
      <c r="C163" s="32"/>
      <c r="D163" s="32"/>
      <c r="E163" s="32"/>
      <c r="F163" s="32"/>
      <c r="G163" s="36"/>
      <c r="H163" s="32"/>
      <c r="I163" s="37"/>
      <c r="J163" s="32"/>
      <c r="K163" s="32"/>
      <c r="L163" s="32"/>
      <c r="M163" s="32"/>
      <c r="N163" s="33"/>
      <c r="O163" s="33"/>
      <c r="P163" s="33"/>
      <c r="Q163" s="13"/>
      <c r="R163" s="13"/>
      <c r="S163" s="13"/>
      <c r="T163" s="13"/>
      <c r="U163" s="13"/>
      <c r="V163" s="13"/>
      <c r="W163" s="33"/>
      <c r="X163" s="33"/>
      <c r="Y163" s="33"/>
      <c r="Z163" s="33"/>
      <c r="AA163" s="33"/>
      <c r="AB163" s="33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</row>
    <row r="164" spans="2:83" s="30" customFormat="1">
      <c r="B164" s="32"/>
      <c r="C164" s="32"/>
      <c r="D164" s="32"/>
      <c r="E164" s="32"/>
      <c r="F164" s="32"/>
      <c r="G164" s="36"/>
      <c r="H164" s="32"/>
      <c r="I164" s="37"/>
      <c r="J164" s="32"/>
      <c r="K164" s="32"/>
      <c r="L164" s="32"/>
      <c r="M164" s="32"/>
      <c r="N164" s="33"/>
      <c r="O164" s="33"/>
      <c r="P164" s="33"/>
      <c r="Q164" s="13"/>
      <c r="R164" s="13"/>
      <c r="S164" s="13"/>
      <c r="T164" s="13"/>
      <c r="U164" s="13"/>
      <c r="V164" s="13"/>
      <c r="W164" s="33"/>
      <c r="X164" s="33"/>
      <c r="Y164" s="33"/>
      <c r="Z164" s="33"/>
      <c r="AA164" s="33"/>
      <c r="AB164" s="33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</row>
    <row r="165" spans="2:83" s="30" customFormat="1">
      <c r="B165" s="32"/>
      <c r="C165" s="32"/>
      <c r="D165" s="32"/>
      <c r="E165" s="32"/>
      <c r="F165" s="32"/>
      <c r="G165" s="36"/>
      <c r="H165" s="32"/>
      <c r="I165" s="37"/>
      <c r="J165" s="32"/>
      <c r="K165" s="32"/>
      <c r="L165" s="32"/>
      <c r="M165" s="32"/>
      <c r="N165" s="33"/>
      <c r="O165" s="33"/>
      <c r="P165" s="33"/>
      <c r="Q165" s="13"/>
      <c r="R165" s="13"/>
      <c r="S165" s="13"/>
      <c r="T165" s="13"/>
      <c r="U165" s="13"/>
      <c r="V165" s="13"/>
      <c r="W165" s="33"/>
      <c r="X165" s="33"/>
      <c r="Y165" s="33"/>
      <c r="Z165" s="33"/>
      <c r="AA165" s="33"/>
      <c r="AB165" s="33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</row>
    <row r="166" spans="2:83" s="30" customFormat="1">
      <c r="B166" s="32"/>
      <c r="C166" s="32"/>
      <c r="D166" s="32"/>
      <c r="E166" s="32"/>
      <c r="F166" s="32"/>
      <c r="G166" s="36"/>
      <c r="H166" s="32"/>
      <c r="I166" s="37"/>
      <c r="J166" s="32"/>
      <c r="K166" s="32"/>
      <c r="L166" s="32"/>
      <c r="M166" s="32"/>
      <c r="N166" s="33"/>
      <c r="O166" s="33"/>
      <c r="P166" s="33"/>
      <c r="Q166" s="13"/>
      <c r="R166" s="13"/>
      <c r="S166" s="13"/>
      <c r="T166" s="13"/>
      <c r="U166" s="13"/>
      <c r="V166" s="13"/>
      <c r="W166" s="33"/>
      <c r="X166" s="33"/>
      <c r="Y166" s="33"/>
      <c r="Z166" s="33"/>
      <c r="AA166" s="33"/>
      <c r="AB166" s="33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</row>
    <row r="167" spans="2:83" s="30" customFormat="1">
      <c r="B167" s="32"/>
      <c r="C167" s="32"/>
      <c r="D167" s="32"/>
      <c r="E167" s="32"/>
      <c r="F167" s="32"/>
      <c r="G167" s="36"/>
      <c r="H167" s="32"/>
      <c r="I167" s="37"/>
      <c r="J167" s="32"/>
      <c r="K167" s="32"/>
      <c r="L167" s="32"/>
      <c r="M167" s="32"/>
      <c r="N167" s="33"/>
      <c r="O167" s="33"/>
      <c r="P167" s="33"/>
      <c r="Q167" s="13"/>
      <c r="R167" s="13"/>
      <c r="S167" s="13"/>
      <c r="T167" s="13"/>
      <c r="U167" s="13"/>
      <c r="V167" s="13"/>
      <c r="W167" s="33"/>
      <c r="X167" s="33"/>
      <c r="Y167" s="33"/>
      <c r="Z167" s="33"/>
      <c r="AA167" s="33"/>
      <c r="AB167" s="33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</row>
    <row r="168" spans="2:83" s="30" customFormat="1">
      <c r="B168" s="32"/>
      <c r="C168" s="32"/>
      <c r="D168" s="32"/>
      <c r="E168" s="32"/>
      <c r="F168" s="32"/>
      <c r="G168" s="36"/>
      <c r="H168" s="32"/>
      <c r="I168" s="37"/>
      <c r="J168" s="32"/>
      <c r="K168" s="32"/>
      <c r="L168" s="32"/>
      <c r="M168" s="32"/>
      <c r="N168" s="33"/>
      <c r="O168" s="33"/>
      <c r="P168" s="33"/>
      <c r="Q168" s="13"/>
      <c r="R168" s="13"/>
      <c r="S168" s="13"/>
      <c r="T168" s="13"/>
      <c r="U168" s="13"/>
      <c r="V168" s="13"/>
      <c r="W168" s="33"/>
      <c r="X168" s="33"/>
      <c r="Y168" s="33"/>
      <c r="Z168" s="33"/>
      <c r="AA168" s="33"/>
      <c r="AB168" s="33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</row>
    <row r="169" spans="2:83" s="30" customFormat="1">
      <c r="B169" s="32"/>
      <c r="C169" s="32"/>
      <c r="D169" s="32"/>
      <c r="E169" s="32"/>
      <c r="F169" s="32"/>
      <c r="G169" s="36"/>
      <c r="H169" s="32"/>
      <c r="I169" s="37"/>
      <c r="J169" s="32"/>
      <c r="K169" s="32"/>
      <c r="L169" s="32"/>
      <c r="M169" s="32"/>
      <c r="N169" s="33"/>
      <c r="O169" s="33"/>
      <c r="P169" s="33"/>
      <c r="Q169" s="13"/>
      <c r="R169" s="13"/>
      <c r="S169" s="13"/>
      <c r="T169" s="13"/>
      <c r="U169" s="13"/>
      <c r="V169" s="13"/>
      <c r="W169" s="33"/>
      <c r="X169" s="33"/>
      <c r="Y169" s="33"/>
      <c r="Z169" s="33"/>
      <c r="AA169" s="33"/>
      <c r="AB169" s="33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</row>
    <row r="170" spans="2:83" s="30" customFormat="1">
      <c r="B170" s="32"/>
      <c r="C170" s="32"/>
      <c r="D170" s="32"/>
      <c r="E170" s="32"/>
      <c r="F170" s="32"/>
      <c r="G170" s="36"/>
      <c r="H170" s="32"/>
      <c r="I170" s="37"/>
      <c r="J170" s="32"/>
      <c r="K170" s="32"/>
      <c r="L170" s="32"/>
      <c r="M170" s="32"/>
      <c r="N170" s="33"/>
      <c r="O170" s="33"/>
      <c r="P170" s="33"/>
      <c r="Q170" s="13"/>
      <c r="R170" s="13"/>
      <c r="S170" s="13"/>
      <c r="T170" s="13"/>
      <c r="U170" s="13"/>
      <c r="V170" s="13"/>
      <c r="W170" s="33"/>
      <c r="X170" s="33"/>
      <c r="Y170" s="33"/>
      <c r="Z170" s="33"/>
      <c r="AA170" s="33"/>
      <c r="AB170" s="33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</row>
    <row r="171" spans="2:83" s="30" customFormat="1">
      <c r="B171" s="32"/>
      <c r="C171" s="32"/>
      <c r="D171" s="32"/>
      <c r="E171" s="32"/>
      <c r="F171" s="32"/>
      <c r="G171" s="36"/>
      <c r="H171" s="32"/>
      <c r="I171" s="37"/>
      <c r="J171" s="32"/>
      <c r="K171" s="32"/>
      <c r="L171" s="32"/>
      <c r="M171" s="32"/>
      <c r="N171" s="33"/>
      <c r="O171" s="33"/>
      <c r="P171" s="33"/>
      <c r="Q171" s="13"/>
      <c r="R171" s="13"/>
      <c r="S171" s="13"/>
      <c r="T171" s="13"/>
      <c r="U171" s="13"/>
      <c r="V171" s="13"/>
      <c r="W171" s="33"/>
      <c r="X171" s="33"/>
      <c r="Y171" s="33"/>
      <c r="Z171" s="33"/>
      <c r="AA171" s="33"/>
      <c r="AB171" s="33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</row>
    <row r="172" spans="2:83" s="30" customFormat="1">
      <c r="B172" s="32"/>
      <c r="C172" s="32"/>
      <c r="D172" s="32"/>
      <c r="E172" s="32"/>
      <c r="F172" s="32"/>
      <c r="G172" s="36"/>
      <c r="H172" s="32"/>
      <c r="I172" s="37"/>
      <c r="J172" s="32"/>
      <c r="K172" s="32"/>
      <c r="L172" s="32"/>
      <c r="M172" s="32"/>
      <c r="N172" s="33"/>
      <c r="O172" s="33"/>
      <c r="P172" s="33"/>
      <c r="Q172" s="13"/>
      <c r="R172" s="13"/>
      <c r="S172" s="13"/>
      <c r="T172" s="13"/>
      <c r="U172" s="13"/>
      <c r="V172" s="13"/>
      <c r="W172" s="33"/>
      <c r="X172" s="33"/>
      <c r="Y172" s="33"/>
      <c r="Z172" s="33"/>
      <c r="AA172" s="33"/>
      <c r="AB172" s="33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</row>
    <row r="173" spans="2:83" s="30" customFormat="1">
      <c r="B173" s="32"/>
      <c r="C173" s="32"/>
      <c r="D173" s="32"/>
      <c r="E173" s="32"/>
      <c r="F173" s="32"/>
      <c r="G173" s="36"/>
      <c r="H173" s="32"/>
      <c r="I173" s="37"/>
      <c r="J173" s="32"/>
      <c r="K173" s="32"/>
      <c r="L173" s="32"/>
      <c r="M173" s="32"/>
      <c r="N173" s="33"/>
      <c r="O173" s="33"/>
      <c r="P173" s="33"/>
      <c r="Q173" s="13"/>
      <c r="R173" s="13"/>
      <c r="S173" s="13"/>
      <c r="T173" s="13"/>
      <c r="U173" s="13"/>
      <c r="V173" s="13"/>
      <c r="W173" s="33"/>
      <c r="X173" s="33"/>
      <c r="Y173" s="33"/>
      <c r="Z173" s="33"/>
      <c r="AA173" s="33"/>
      <c r="AB173" s="33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</row>
    <row r="174" spans="2:83" s="30" customFormat="1">
      <c r="B174" s="32"/>
      <c r="C174" s="32"/>
      <c r="D174" s="32"/>
      <c r="E174" s="32"/>
      <c r="F174" s="32"/>
      <c r="G174" s="36"/>
      <c r="H174" s="32"/>
      <c r="I174" s="37"/>
      <c r="J174" s="32"/>
      <c r="K174" s="32"/>
      <c r="L174" s="32"/>
      <c r="M174" s="32"/>
      <c r="N174" s="33"/>
      <c r="O174" s="33"/>
      <c r="P174" s="33"/>
      <c r="Q174" s="13"/>
      <c r="R174" s="13"/>
      <c r="S174" s="13"/>
      <c r="T174" s="13"/>
      <c r="U174" s="13"/>
      <c r="V174" s="13"/>
      <c r="W174" s="33"/>
      <c r="X174" s="33"/>
      <c r="Y174" s="33"/>
      <c r="Z174" s="33"/>
      <c r="AA174" s="33"/>
      <c r="AB174" s="33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</row>
    <row r="175" spans="2:83" s="30" customFormat="1">
      <c r="B175" s="32"/>
      <c r="C175" s="32"/>
      <c r="D175" s="32"/>
      <c r="E175" s="32"/>
      <c r="F175" s="32"/>
      <c r="G175" s="36"/>
      <c r="H175" s="32"/>
      <c r="I175" s="37"/>
      <c r="J175" s="32"/>
      <c r="K175" s="32"/>
      <c r="L175" s="32"/>
      <c r="M175" s="32"/>
      <c r="N175" s="33"/>
      <c r="O175" s="33"/>
      <c r="P175" s="33"/>
      <c r="Q175" s="13"/>
      <c r="R175" s="13"/>
      <c r="S175" s="13"/>
      <c r="T175" s="13"/>
      <c r="U175" s="13"/>
      <c r="V175" s="13"/>
      <c r="W175" s="33"/>
      <c r="X175" s="33"/>
      <c r="Y175" s="33"/>
      <c r="Z175" s="33"/>
      <c r="AA175" s="33"/>
      <c r="AB175" s="33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</row>
    <row r="176" spans="2:83" s="30" customFormat="1">
      <c r="B176" s="32"/>
      <c r="C176" s="32"/>
      <c r="D176" s="32"/>
      <c r="E176" s="32"/>
      <c r="F176" s="32"/>
      <c r="G176" s="36"/>
      <c r="H176" s="32"/>
      <c r="I176" s="37"/>
      <c r="J176" s="32"/>
      <c r="K176" s="32"/>
      <c r="L176" s="32"/>
      <c r="M176" s="32"/>
      <c r="N176" s="33"/>
      <c r="O176" s="33"/>
      <c r="P176" s="33"/>
      <c r="Q176" s="13"/>
      <c r="R176" s="13"/>
      <c r="S176" s="13"/>
      <c r="T176" s="13"/>
      <c r="U176" s="13"/>
      <c r="V176" s="13"/>
      <c r="W176" s="33"/>
      <c r="X176" s="33"/>
      <c r="Y176" s="33"/>
      <c r="Z176" s="33"/>
      <c r="AA176" s="33"/>
      <c r="AB176" s="33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</row>
    <row r="177" spans="2:83" s="30" customFormat="1">
      <c r="B177" s="32"/>
      <c r="C177" s="32"/>
      <c r="D177" s="32"/>
      <c r="E177" s="32"/>
      <c r="F177" s="32"/>
      <c r="G177" s="36"/>
      <c r="H177" s="32"/>
      <c r="I177" s="37"/>
      <c r="J177" s="32"/>
      <c r="K177" s="32"/>
      <c r="L177" s="32"/>
      <c r="M177" s="32"/>
      <c r="N177" s="33"/>
      <c r="O177" s="33"/>
      <c r="P177" s="33"/>
      <c r="Q177" s="13"/>
      <c r="R177" s="13"/>
      <c r="S177" s="13"/>
      <c r="T177" s="13"/>
      <c r="U177" s="13"/>
      <c r="V177" s="13"/>
      <c r="W177" s="33"/>
      <c r="X177" s="33"/>
      <c r="Y177" s="33"/>
      <c r="Z177" s="33"/>
      <c r="AA177" s="33"/>
      <c r="AB177" s="33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</row>
    <row r="178" spans="2:83" s="30" customFormat="1">
      <c r="B178" s="32"/>
      <c r="C178" s="32"/>
      <c r="D178" s="32"/>
      <c r="E178" s="32"/>
      <c r="F178" s="32"/>
      <c r="G178" s="36"/>
      <c r="H178" s="32"/>
      <c r="I178" s="37"/>
      <c r="J178" s="32"/>
      <c r="K178" s="32"/>
      <c r="L178" s="32"/>
      <c r="M178" s="32"/>
      <c r="N178" s="33"/>
      <c r="O178" s="33"/>
      <c r="P178" s="33"/>
      <c r="Q178" s="13"/>
      <c r="R178" s="13"/>
      <c r="S178" s="13"/>
      <c r="T178" s="13"/>
      <c r="U178" s="13"/>
      <c r="V178" s="13"/>
      <c r="W178" s="33"/>
      <c r="X178" s="33"/>
      <c r="Y178" s="33"/>
      <c r="Z178" s="33"/>
      <c r="AA178" s="33"/>
      <c r="AB178" s="33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</row>
    <row r="179" spans="2:83" s="30" customFormat="1">
      <c r="B179" s="32"/>
      <c r="C179" s="32"/>
      <c r="D179" s="32"/>
      <c r="E179" s="32"/>
      <c r="F179" s="32"/>
      <c r="G179" s="36"/>
      <c r="H179" s="32"/>
      <c r="I179" s="37"/>
      <c r="J179" s="32"/>
      <c r="K179" s="32"/>
      <c r="L179" s="32"/>
      <c r="M179" s="32"/>
      <c r="N179" s="33"/>
      <c r="O179" s="33"/>
      <c r="P179" s="33"/>
      <c r="Q179" s="13"/>
      <c r="R179" s="13"/>
      <c r="S179" s="13"/>
      <c r="T179" s="13"/>
      <c r="U179" s="13"/>
      <c r="V179" s="13"/>
      <c r="W179" s="33"/>
      <c r="X179" s="33"/>
      <c r="Y179" s="33"/>
      <c r="Z179" s="33"/>
      <c r="AA179" s="33"/>
      <c r="AB179" s="33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</row>
    <row r="180" spans="2:83" s="30" customFormat="1">
      <c r="B180" s="32"/>
      <c r="C180" s="32"/>
      <c r="D180" s="32"/>
      <c r="E180" s="32"/>
      <c r="F180" s="32"/>
      <c r="G180" s="36"/>
      <c r="H180" s="32"/>
      <c r="I180" s="37"/>
      <c r="J180" s="32"/>
      <c r="K180" s="32"/>
      <c r="L180" s="32"/>
      <c r="M180" s="32"/>
      <c r="N180" s="33"/>
      <c r="O180" s="33"/>
      <c r="P180" s="33"/>
      <c r="Q180" s="13"/>
      <c r="R180" s="13"/>
      <c r="S180" s="13"/>
      <c r="T180" s="13"/>
      <c r="U180" s="13"/>
      <c r="V180" s="13"/>
      <c r="W180" s="33"/>
      <c r="X180" s="33"/>
      <c r="Y180" s="33"/>
      <c r="Z180" s="33"/>
      <c r="AA180" s="33"/>
      <c r="AB180" s="33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</row>
    <row r="181" spans="2:83" s="30" customFormat="1">
      <c r="B181" s="32"/>
      <c r="C181" s="32"/>
      <c r="D181" s="32"/>
      <c r="E181" s="32"/>
      <c r="F181" s="32"/>
      <c r="G181" s="36"/>
      <c r="H181" s="32"/>
      <c r="I181" s="37"/>
      <c r="J181" s="32"/>
      <c r="K181" s="32"/>
      <c r="L181" s="32"/>
      <c r="M181" s="32"/>
      <c r="N181" s="33"/>
      <c r="O181" s="33"/>
      <c r="P181" s="33"/>
      <c r="Q181" s="13"/>
      <c r="R181" s="13"/>
      <c r="S181" s="13"/>
      <c r="T181" s="13"/>
      <c r="U181" s="13"/>
      <c r="V181" s="13"/>
      <c r="W181" s="33"/>
      <c r="X181" s="33"/>
      <c r="Y181" s="33"/>
      <c r="Z181" s="33"/>
      <c r="AA181" s="33"/>
      <c r="AB181" s="33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</row>
    <row r="182" spans="2:83" s="30" customFormat="1">
      <c r="B182" s="32"/>
      <c r="C182" s="32"/>
      <c r="D182" s="32"/>
      <c r="E182" s="32"/>
      <c r="F182" s="32"/>
      <c r="G182" s="36"/>
      <c r="H182" s="32"/>
      <c r="I182" s="37"/>
      <c r="J182" s="32"/>
      <c r="K182" s="32"/>
      <c r="L182" s="32"/>
      <c r="M182" s="32"/>
      <c r="N182" s="33"/>
      <c r="O182" s="33"/>
      <c r="P182" s="33"/>
      <c r="Q182" s="13"/>
      <c r="R182" s="13"/>
      <c r="S182" s="13"/>
      <c r="T182" s="13"/>
      <c r="U182" s="13"/>
      <c r="V182" s="13"/>
      <c r="W182" s="33"/>
      <c r="X182" s="33"/>
      <c r="Y182" s="33"/>
      <c r="Z182" s="33"/>
      <c r="AA182" s="33"/>
      <c r="AB182" s="33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</row>
    <row r="183" spans="2:83" s="30" customFormat="1">
      <c r="B183" s="32"/>
      <c r="C183" s="32"/>
      <c r="D183" s="32"/>
      <c r="E183" s="32"/>
      <c r="F183" s="32"/>
      <c r="G183" s="36"/>
      <c r="H183" s="32"/>
      <c r="I183" s="37"/>
      <c r="J183" s="32"/>
      <c r="K183" s="32"/>
      <c r="L183" s="32"/>
      <c r="M183" s="32"/>
      <c r="N183" s="33"/>
      <c r="O183" s="33"/>
      <c r="P183" s="33"/>
      <c r="Q183" s="13"/>
      <c r="R183" s="13"/>
      <c r="S183" s="13"/>
      <c r="T183" s="13"/>
      <c r="U183" s="13"/>
      <c r="V183" s="13"/>
      <c r="W183" s="33"/>
      <c r="X183" s="33"/>
      <c r="Y183" s="33"/>
      <c r="Z183" s="33"/>
      <c r="AA183" s="33"/>
      <c r="AB183" s="33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</row>
    <row r="184" spans="2:83" s="30" customFormat="1">
      <c r="B184" s="32"/>
      <c r="C184" s="32"/>
      <c r="D184" s="32"/>
      <c r="E184" s="32"/>
      <c r="F184" s="32"/>
      <c r="G184" s="36"/>
      <c r="H184" s="32"/>
      <c r="I184" s="37"/>
      <c r="J184" s="32"/>
      <c r="K184" s="32"/>
      <c r="L184" s="32"/>
      <c r="M184" s="32"/>
      <c r="N184" s="33"/>
      <c r="O184" s="33"/>
      <c r="P184" s="33"/>
      <c r="Q184" s="13"/>
      <c r="R184" s="13"/>
      <c r="S184" s="13"/>
      <c r="T184" s="13"/>
      <c r="U184" s="13"/>
      <c r="V184" s="13"/>
      <c r="W184" s="33"/>
      <c r="X184" s="33"/>
      <c r="Y184" s="33"/>
      <c r="Z184" s="33"/>
      <c r="AA184" s="33"/>
      <c r="AB184" s="33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</row>
    <row r="185" spans="2:83" s="30" customFormat="1">
      <c r="B185" s="32"/>
      <c r="C185" s="32"/>
      <c r="D185" s="32"/>
      <c r="E185" s="32"/>
      <c r="F185" s="32"/>
      <c r="G185" s="36"/>
      <c r="H185" s="32"/>
      <c r="I185" s="37"/>
      <c r="J185" s="32"/>
      <c r="K185" s="32"/>
      <c r="L185" s="32"/>
      <c r="M185" s="32"/>
      <c r="N185" s="33"/>
      <c r="O185" s="33"/>
      <c r="P185" s="33"/>
      <c r="Q185" s="13"/>
      <c r="R185" s="13"/>
      <c r="S185" s="13"/>
      <c r="T185" s="13"/>
      <c r="U185" s="13"/>
      <c r="V185" s="13"/>
      <c r="W185" s="33"/>
      <c r="X185" s="33"/>
      <c r="Y185" s="33"/>
      <c r="Z185" s="33"/>
      <c r="AA185" s="33"/>
      <c r="AB185" s="33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</row>
    <row r="186" spans="2:83" s="30" customFormat="1">
      <c r="B186" s="32"/>
      <c r="C186" s="32"/>
      <c r="D186" s="32"/>
      <c r="E186" s="32"/>
      <c r="F186" s="32"/>
      <c r="G186" s="36"/>
      <c r="H186" s="32"/>
      <c r="I186" s="37"/>
      <c r="J186" s="32"/>
      <c r="K186" s="32"/>
      <c r="L186" s="32"/>
      <c r="M186" s="32"/>
      <c r="N186" s="33"/>
      <c r="O186" s="33"/>
      <c r="P186" s="33"/>
      <c r="Q186" s="13"/>
      <c r="R186" s="13"/>
      <c r="S186" s="13"/>
      <c r="T186" s="13"/>
      <c r="U186" s="13"/>
      <c r="V186" s="13"/>
      <c r="W186" s="33"/>
      <c r="X186" s="33"/>
      <c r="Y186" s="33"/>
      <c r="Z186" s="33"/>
      <c r="AA186" s="33"/>
      <c r="AB186" s="33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</row>
    <row r="187" spans="2:83" s="30" customFormat="1">
      <c r="B187" s="32"/>
      <c r="C187" s="32"/>
      <c r="D187" s="32"/>
      <c r="E187" s="32"/>
      <c r="F187" s="32"/>
      <c r="G187" s="36"/>
      <c r="H187" s="32"/>
      <c r="I187" s="37"/>
      <c r="J187" s="32"/>
      <c r="K187" s="32"/>
      <c r="L187" s="32"/>
      <c r="M187" s="32"/>
      <c r="N187" s="33"/>
      <c r="O187" s="33"/>
      <c r="P187" s="33"/>
      <c r="Q187" s="13"/>
      <c r="R187" s="13"/>
      <c r="S187" s="13"/>
      <c r="T187" s="13"/>
      <c r="U187" s="13"/>
      <c r="V187" s="13"/>
      <c r="W187" s="33"/>
      <c r="X187" s="33"/>
      <c r="Y187" s="33"/>
      <c r="Z187" s="33"/>
      <c r="AA187" s="33"/>
      <c r="AB187" s="33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</row>
    <row r="188" spans="2:83" s="30" customFormat="1">
      <c r="B188" s="32"/>
      <c r="C188" s="32"/>
      <c r="D188" s="32"/>
      <c r="E188" s="32"/>
      <c r="F188" s="32"/>
      <c r="G188" s="36"/>
      <c r="H188" s="32"/>
      <c r="I188" s="37"/>
      <c r="J188" s="32"/>
      <c r="K188" s="32"/>
      <c r="L188" s="32"/>
      <c r="M188" s="32"/>
      <c r="N188" s="33"/>
      <c r="O188" s="33"/>
      <c r="P188" s="33"/>
      <c r="Q188" s="13"/>
      <c r="R188" s="13"/>
      <c r="S188" s="13"/>
      <c r="T188" s="13"/>
      <c r="U188" s="13"/>
      <c r="V188" s="13"/>
      <c r="W188" s="33"/>
      <c r="X188" s="33"/>
      <c r="Y188" s="33"/>
      <c r="Z188" s="33"/>
      <c r="AA188" s="33"/>
      <c r="AB188" s="33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</row>
    <row r="189" spans="2:83" s="30" customFormat="1">
      <c r="B189" s="32"/>
      <c r="C189" s="32"/>
      <c r="D189" s="32"/>
      <c r="E189" s="32"/>
      <c r="F189" s="32"/>
      <c r="G189" s="36"/>
      <c r="H189" s="32"/>
      <c r="I189" s="37"/>
      <c r="J189" s="32"/>
      <c r="K189" s="32"/>
      <c r="L189" s="32"/>
      <c r="M189" s="32"/>
      <c r="N189" s="33"/>
      <c r="O189" s="33"/>
      <c r="P189" s="33"/>
      <c r="Q189" s="13"/>
      <c r="R189" s="13"/>
      <c r="S189" s="13"/>
      <c r="T189" s="13"/>
      <c r="U189" s="13"/>
      <c r="V189" s="13"/>
      <c r="W189" s="33"/>
      <c r="X189" s="33"/>
      <c r="Y189" s="33"/>
      <c r="Z189" s="33"/>
      <c r="AA189" s="33"/>
      <c r="AB189" s="33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</row>
    <row r="190" spans="2:83" s="30" customFormat="1">
      <c r="B190" s="32"/>
      <c r="C190" s="32"/>
      <c r="D190" s="32"/>
      <c r="E190" s="32"/>
      <c r="F190" s="32"/>
      <c r="G190" s="36"/>
      <c r="H190" s="32"/>
      <c r="I190" s="37"/>
      <c r="J190" s="32"/>
      <c r="K190" s="32"/>
      <c r="L190" s="32"/>
      <c r="M190" s="32"/>
      <c r="N190" s="33"/>
      <c r="O190" s="33"/>
      <c r="P190" s="33"/>
      <c r="Q190" s="13"/>
      <c r="R190" s="13"/>
      <c r="S190" s="13"/>
      <c r="T190" s="13"/>
      <c r="U190" s="13"/>
      <c r="V190" s="13"/>
      <c r="W190" s="33"/>
      <c r="X190" s="33"/>
      <c r="Y190" s="33"/>
      <c r="Z190" s="33"/>
      <c r="AA190" s="33"/>
      <c r="AB190" s="33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</row>
    <row r="191" spans="2:83" s="30" customFormat="1">
      <c r="B191" s="32"/>
      <c r="C191" s="32"/>
      <c r="D191" s="32"/>
      <c r="E191" s="32"/>
      <c r="F191" s="32"/>
      <c r="G191" s="36"/>
      <c r="H191" s="32"/>
      <c r="I191" s="37"/>
      <c r="J191" s="32"/>
      <c r="K191" s="32"/>
      <c r="L191" s="32"/>
      <c r="M191" s="32"/>
      <c r="N191" s="33"/>
      <c r="O191" s="33"/>
      <c r="P191" s="33"/>
      <c r="Q191" s="13"/>
      <c r="R191" s="13"/>
      <c r="S191" s="13"/>
      <c r="T191" s="13"/>
      <c r="U191" s="13"/>
      <c r="V191" s="13"/>
      <c r="W191" s="33"/>
      <c r="X191" s="33"/>
      <c r="Y191" s="33"/>
      <c r="Z191" s="33"/>
      <c r="AA191" s="33"/>
      <c r="AB191" s="33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</row>
    <row r="192" spans="2:83" s="30" customFormat="1">
      <c r="B192" s="32"/>
      <c r="C192" s="32"/>
      <c r="D192" s="32"/>
      <c r="E192" s="32"/>
      <c r="F192" s="32"/>
      <c r="G192" s="36"/>
      <c r="H192" s="32"/>
      <c r="I192" s="37"/>
      <c r="J192" s="32"/>
      <c r="K192" s="32"/>
      <c r="L192" s="32"/>
      <c r="M192" s="32"/>
      <c r="N192" s="33"/>
      <c r="O192" s="33"/>
      <c r="P192" s="33"/>
      <c r="Q192" s="13"/>
      <c r="R192" s="13"/>
      <c r="S192" s="13"/>
      <c r="T192" s="13"/>
      <c r="U192" s="13"/>
      <c r="V192" s="13"/>
      <c r="W192" s="33"/>
      <c r="X192" s="33"/>
      <c r="Y192" s="33"/>
      <c r="Z192" s="33"/>
      <c r="AA192" s="33"/>
      <c r="AB192" s="33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</row>
    <row r="193" spans="2:83" s="30" customFormat="1">
      <c r="B193" s="32"/>
      <c r="C193" s="32"/>
      <c r="D193" s="32"/>
      <c r="E193" s="32"/>
      <c r="F193" s="32"/>
      <c r="G193" s="36"/>
      <c r="H193" s="32"/>
      <c r="I193" s="37"/>
      <c r="J193" s="32"/>
      <c r="K193" s="32"/>
      <c r="L193" s="32"/>
      <c r="M193" s="32"/>
      <c r="N193" s="33"/>
      <c r="O193" s="33"/>
      <c r="P193" s="33"/>
      <c r="Q193" s="13"/>
      <c r="R193" s="13"/>
      <c r="S193" s="13"/>
      <c r="T193" s="13"/>
      <c r="U193" s="13"/>
      <c r="V193" s="13"/>
      <c r="W193" s="33"/>
      <c r="X193" s="33"/>
      <c r="Y193" s="33"/>
      <c r="Z193" s="33"/>
      <c r="AA193" s="33"/>
      <c r="AB193" s="33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</row>
    <row r="194" spans="2:83" s="30" customFormat="1">
      <c r="B194" s="32"/>
      <c r="C194" s="32"/>
      <c r="D194" s="32"/>
      <c r="E194" s="32"/>
      <c r="F194" s="32"/>
      <c r="G194" s="36"/>
      <c r="H194" s="32"/>
      <c r="I194" s="37"/>
      <c r="J194" s="32"/>
      <c r="K194" s="32"/>
      <c r="L194" s="32"/>
      <c r="M194" s="32"/>
      <c r="N194" s="33"/>
      <c r="O194" s="33"/>
      <c r="P194" s="33"/>
      <c r="Q194" s="13"/>
      <c r="R194" s="13"/>
      <c r="S194" s="13"/>
      <c r="T194" s="13"/>
      <c r="U194" s="13"/>
      <c r="V194" s="13"/>
      <c r="W194" s="33"/>
      <c r="X194" s="33"/>
      <c r="Y194" s="33"/>
      <c r="Z194" s="33"/>
      <c r="AA194" s="33"/>
      <c r="AB194" s="33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</row>
    <row r="195" spans="2:83" s="30" customFormat="1">
      <c r="B195" s="32"/>
      <c r="C195" s="32"/>
      <c r="D195" s="32"/>
      <c r="E195" s="32"/>
      <c r="F195" s="32"/>
      <c r="G195" s="36"/>
      <c r="H195" s="32"/>
      <c r="I195" s="37"/>
      <c r="J195" s="32"/>
      <c r="K195" s="32"/>
      <c r="L195" s="32"/>
      <c r="M195" s="32"/>
      <c r="N195" s="33"/>
      <c r="O195" s="33"/>
      <c r="P195" s="33"/>
      <c r="Q195" s="13"/>
      <c r="R195" s="13"/>
      <c r="S195" s="13"/>
      <c r="T195" s="13"/>
      <c r="U195" s="13"/>
      <c r="V195" s="13"/>
      <c r="W195" s="33"/>
      <c r="X195" s="33"/>
      <c r="Y195" s="33"/>
      <c r="Z195" s="33"/>
      <c r="AA195" s="33"/>
      <c r="AB195" s="33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</row>
    <row r="196" spans="2:83" s="30" customFormat="1">
      <c r="B196" s="32"/>
      <c r="C196" s="32"/>
      <c r="D196" s="32"/>
      <c r="E196" s="32"/>
      <c r="F196" s="32"/>
      <c r="G196" s="36"/>
      <c r="H196" s="32"/>
      <c r="I196" s="37"/>
      <c r="J196" s="32"/>
      <c r="K196" s="32"/>
      <c r="L196" s="32"/>
      <c r="M196" s="32"/>
      <c r="N196" s="33"/>
      <c r="O196" s="33"/>
      <c r="P196" s="33"/>
      <c r="Q196" s="13"/>
      <c r="R196" s="13"/>
      <c r="S196" s="13"/>
      <c r="T196" s="13"/>
      <c r="U196" s="13"/>
      <c r="V196" s="13"/>
      <c r="W196" s="33"/>
      <c r="X196" s="33"/>
      <c r="Y196" s="33"/>
      <c r="Z196" s="33"/>
      <c r="AA196" s="33"/>
      <c r="AB196" s="33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</row>
    <row r="197" spans="2:83" s="30" customFormat="1">
      <c r="B197" s="32"/>
      <c r="C197" s="32"/>
      <c r="D197" s="32"/>
      <c r="E197" s="32"/>
      <c r="F197" s="32"/>
      <c r="G197" s="36"/>
      <c r="H197" s="32"/>
      <c r="I197" s="37"/>
      <c r="J197" s="32"/>
      <c r="K197" s="32"/>
      <c r="L197" s="32"/>
      <c r="M197" s="32"/>
      <c r="N197" s="33"/>
      <c r="O197" s="33"/>
      <c r="P197" s="33"/>
      <c r="Q197" s="13"/>
      <c r="R197" s="13"/>
      <c r="S197" s="13"/>
      <c r="T197" s="13"/>
      <c r="U197" s="13"/>
      <c r="V197" s="13"/>
      <c r="W197" s="33"/>
      <c r="X197" s="33"/>
      <c r="Y197" s="33"/>
      <c r="Z197" s="33"/>
      <c r="AA197" s="33"/>
      <c r="AB197" s="33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</row>
    <row r="198" spans="2:83" s="30" customFormat="1">
      <c r="B198" s="32"/>
      <c r="C198" s="32"/>
      <c r="D198" s="32"/>
      <c r="E198" s="32"/>
      <c r="F198" s="32"/>
      <c r="G198" s="36"/>
      <c r="H198" s="32"/>
      <c r="I198" s="37"/>
      <c r="J198" s="32"/>
      <c r="K198" s="32"/>
      <c r="L198" s="32"/>
      <c r="M198" s="32"/>
      <c r="N198" s="33"/>
      <c r="O198" s="33"/>
      <c r="P198" s="33"/>
      <c r="Q198" s="13"/>
      <c r="R198" s="13"/>
      <c r="S198" s="13"/>
      <c r="T198" s="13"/>
      <c r="U198" s="13"/>
      <c r="V198" s="13"/>
      <c r="W198" s="33"/>
      <c r="X198" s="33"/>
      <c r="Y198" s="33"/>
      <c r="Z198" s="33"/>
      <c r="AA198" s="33"/>
      <c r="AB198" s="33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</row>
    <row r="199" spans="2:83" s="30" customFormat="1">
      <c r="B199" s="32"/>
      <c r="C199" s="32"/>
      <c r="D199" s="32"/>
      <c r="E199" s="32"/>
      <c r="F199" s="32"/>
      <c r="G199" s="36"/>
      <c r="H199" s="32"/>
      <c r="I199" s="37"/>
      <c r="J199" s="32"/>
      <c r="K199" s="32"/>
      <c r="L199" s="32"/>
      <c r="M199" s="32"/>
      <c r="N199" s="33"/>
      <c r="O199" s="33"/>
      <c r="P199" s="33"/>
      <c r="Q199" s="13"/>
      <c r="R199" s="13"/>
      <c r="S199" s="13"/>
      <c r="T199" s="13"/>
      <c r="U199" s="13"/>
      <c r="V199" s="13"/>
      <c r="W199" s="33"/>
      <c r="X199" s="33"/>
      <c r="Y199" s="33"/>
      <c r="Z199" s="33"/>
      <c r="AA199" s="33"/>
      <c r="AB199" s="33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</row>
    <row r="200" spans="2:83" s="30" customFormat="1">
      <c r="B200" s="32"/>
      <c r="C200" s="32"/>
      <c r="D200" s="32"/>
      <c r="E200" s="32"/>
      <c r="F200" s="32"/>
      <c r="G200" s="36"/>
      <c r="H200" s="32"/>
      <c r="I200" s="37"/>
      <c r="J200" s="32"/>
      <c r="K200" s="32"/>
      <c r="L200" s="32"/>
      <c r="M200" s="32"/>
      <c r="N200" s="33"/>
      <c r="O200" s="33"/>
      <c r="P200" s="33"/>
      <c r="Q200" s="13"/>
      <c r="R200" s="13"/>
      <c r="S200" s="13"/>
      <c r="T200" s="13"/>
      <c r="U200" s="13"/>
      <c r="V200" s="13"/>
      <c r="W200" s="33"/>
      <c r="X200" s="33"/>
      <c r="Y200" s="33"/>
      <c r="Z200" s="33"/>
      <c r="AA200" s="33"/>
      <c r="AB200" s="33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</row>
    <row r="201" spans="2:83" s="30" customFormat="1">
      <c r="B201" s="32"/>
      <c r="C201" s="32"/>
      <c r="D201" s="32"/>
      <c r="E201" s="32"/>
      <c r="F201" s="32"/>
      <c r="G201" s="36"/>
      <c r="H201" s="32"/>
      <c r="I201" s="37"/>
      <c r="J201" s="32"/>
      <c r="K201" s="32"/>
      <c r="L201" s="32"/>
      <c r="M201" s="32"/>
      <c r="N201" s="33"/>
      <c r="O201" s="33"/>
      <c r="P201" s="33"/>
      <c r="Q201" s="13"/>
      <c r="R201" s="13"/>
      <c r="S201" s="13"/>
      <c r="T201" s="13"/>
      <c r="U201" s="13"/>
      <c r="V201" s="13"/>
      <c r="W201" s="33"/>
      <c r="X201" s="33"/>
      <c r="Y201" s="33"/>
      <c r="Z201" s="33"/>
      <c r="AA201" s="33"/>
      <c r="AB201" s="33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</row>
    <row r="202" spans="2:83" s="30" customFormat="1">
      <c r="B202" s="32"/>
      <c r="C202" s="32"/>
      <c r="D202" s="32"/>
      <c r="E202" s="32"/>
      <c r="F202" s="32"/>
      <c r="G202" s="36"/>
      <c r="H202" s="32"/>
      <c r="I202" s="37"/>
      <c r="J202" s="32"/>
      <c r="K202" s="32"/>
      <c r="L202" s="32"/>
      <c r="M202" s="32"/>
      <c r="N202" s="33"/>
      <c r="O202" s="33"/>
      <c r="P202" s="33"/>
      <c r="Q202" s="13"/>
      <c r="R202" s="13"/>
      <c r="S202" s="13"/>
      <c r="T202" s="13"/>
      <c r="U202" s="13"/>
      <c r="V202" s="13"/>
      <c r="W202" s="33"/>
      <c r="X202" s="33"/>
      <c r="Y202" s="33"/>
      <c r="Z202" s="33"/>
      <c r="AA202" s="33"/>
      <c r="AB202" s="33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</row>
    <row r="203" spans="2:83" s="30" customFormat="1">
      <c r="B203" s="32"/>
      <c r="C203" s="32"/>
      <c r="D203" s="32"/>
      <c r="E203" s="32"/>
      <c r="F203" s="32"/>
      <c r="G203" s="36"/>
      <c r="H203" s="32"/>
      <c r="I203" s="37"/>
      <c r="J203" s="32"/>
      <c r="K203" s="32"/>
      <c r="L203" s="32"/>
      <c r="M203" s="32"/>
      <c r="N203" s="33"/>
      <c r="O203" s="33"/>
      <c r="P203" s="33"/>
      <c r="Q203" s="13"/>
      <c r="R203" s="13"/>
      <c r="S203" s="13"/>
      <c r="T203" s="13"/>
      <c r="U203" s="13"/>
      <c r="V203" s="13"/>
      <c r="W203" s="33"/>
      <c r="X203" s="33"/>
      <c r="Y203" s="33"/>
      <c r="Z203" s="33"/>
      <c r="AA203" s="33"/>
      <c r="AB203" s="33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</row>
    <row r="204" spans="2:83" s="30" customFormat="1">
      <c r="B204" s="32"/>
      <c r="C204" s="32"/>
      <c r="D204" s="32"/>
      <c r="E204" s="32"/>
      <c r="F204" s="32"/>
      <c r="G204" s="36"/>
      <c r="H204" s="32"/>
      <c r="I204" s="37"/>
      <c r="J204" s="32"/>
      <c r="K204" s="32"/>
      <c r="L204" s="32"/>
      <c r="M204" s="32"/>
      <c r="N204" s="33"/>
      <c r="O204" s="33"/>
      <c r="P204" s="33"/>
      <c r="Q204" s="13"/>
      <c r="R204" s="13"/>
      <c r="S204" s="13"/>
      <c r="T204" s="13"/>
      <c r="U204" s="13"/>
      <c r="V204" s="13"/>
      <c r="W204" s="33"/>
      <c r="X204" s="33"/>
      <c r="Y204" s="33"/>
      <c r="Z204" s="33"/>
      <c r="AA204" s="33"/>
      <c r="AB204" s="33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</row>
    <row r="205" spans="2:83" s="30" customFormat="1">
      <c r="B205" s="32"/>
      <c r="C205" s="32"/>
      <c r="D205" s="32"/>
      <c r="E205" s="32"/>
      <c r="F205" s="32"/>
      <c r="G205" s="36"/>
      <c r="H205" s="32"/>
      <c r="I205" s="37"/>
      <c r="J205" s="32"/>
      <c r="K205" s="32"/>
      <c r="L205" s="32"/>
      <c r="M205" s="32"/>
      <c r="N205" s="33"/>
      <c r="O205" s="33"/>
      <c r="P205" s="33"/>
      <c r="Q205" s="13"/>
      <c r="R205" s="13"/>
      <c r="S205" s="13"/>
      <c r="T205" s="13"/>
      <c r="U205" s="13"/>
      <c r="V205" s="13"/>
      <c r="W205" s="33"/>
      <c r="X205" s="33"/>
      <c r="Y205" s="33"/>
      <c r="Z205" s="33"/>
      <c r="AA205" s="33"/>
      <c r="AB205" s="33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</row>
    <row r="206" spans="2:83" s="30" customFormat="1">
      <c r="B206" s="32"/>
      <c r="C206" s="32"/>
      <c r="D206" s="32"/>
      <c r="E206" s="32"/>
      <c r="F206" s="32"/>
      <c r="G206" s="36"/>
      <c r="H206" s="32"/>
      <c r="I206" s="37"/>
      <c r="J206" s="32"/>
      <c r="K206" s="32"/>
      <c r="L206" s="32"/>
      <c r="M206" s="32"/>
      <c r="N206" s="33"/>
      <c r="O206" s="33"/>
      <c r="P206" s="33"/>
      <c r="Q206" s="13"/>
      <c r="R206" s="13"/>
      <c r="S206" s="13"/>
      <c r="T206" s="13"/>
      <c r="U206" s="13"/>
      <c r="V206" s="13"/>
      <c r="W206" s="33"/>
      <c r="X206" s="33"/>
      <c r="Y206" s="33"/>
      <c r="Z206" s="33"/>
      <c r="AA206" s="33"/>
      <c r="AB206" s="33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</row>
    <row r="207" spans="2:83" s="30" customFormat="1">
      <c r="B207" s="32"/>
      <c r="C207" s="32"/>
      <c r="D207" s="32"/>
      <c r="E207" s="32"/>
      <c r="F207" s="32"/>
      <c r="G207" s="36"/>
      <c r="H207" s="32"/>
      <c r="I207" s="37"/>
      <c r="J207" s="32"/>
      <c r="K207" s="32"/>
      <c r="L207" s="32"/>
      <c r="M207" s="32"/>
      <c r="N207" s="33"/>
      <c r="O207" s="33"/>
      <c r="P207" s="33"/>
      <c r="Q207" s="13"/>
      <c r="R207" s="13"/>
      <c r="S207" s="13"/>
      <c r="T207" s="13"/>
      <c r="U207" s="13"/>
      <c r="V207" s="13"/>
      <c r="W207" s="33"/>
      <c r="X207" s="33"/>
      <c r="Y207" s="33"/>
      <c r="Z207" s="33"/>
      <c r="AA207" s="33"/>
      <c r="AB207" s="33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</row>
    <row r="208" spans="2:83" s="30" customFormat="1">
      <c r="B208" s="32"/>
      <c r="C208" s="32"/>
      <c r="D208" s="32"/>
      <c r="E208" s="32"/>
      <c r="F208" s="32"/>
      <c r="G208" s="36"/>
      <c r="H208" s="32"/>
      <c r="I208" s="37"/>
      <c r="J208" s="32"/>
      <c r="K208" s="32"/>
      <c r="L208" s="32"/>
      <c r="M208" s="32"/>
      <c r="N208" s="33"/>
      <c r="O208" s="33"/>
      <c r="P208" s="33"/>
      <c r="Q208" s="13"/>
      <c r="R208" s="13"/>
      <c r="S208" s="13"/>
      <c r="T208" s="13"/>
      <c r="U208" s="13"/>
      <c r="V208" s="13"/>
      <c r="W208" s="33"/>
      <c r="X208" s="33"/>
      <c r="Y208" s="33"/>
      <c r="Z208" s="33"/>
      <c r="AA208" s="33"/>
      <c r="AB208" s="33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</row>
    <row r="209" spans="2:83" s="30" customFormat="1">
      <c r="B209" s="32"/>
      <c r="C209" s="32"/>
      <c r="D209" s="32"/>
      <c r="E209" s="32"/>
      <c r="F209" s="32"/>
      <c r="G209" s="36"/>
      <c r="H209" s="32"/>
      <c r="I209" s="37"/>
      <c r="J209" s="32"/>
      <c r="K209" s="32"/>
      <c r="L209" s="32"/>
      <c r="M209" s="32"/>
      <c r="N209" s="33"/>
      <c r="O209" s="33"/>
      <c r="P209" s="33"/>
      <c r="Q209" s="13"/>
      <c r="R209" s="13"/>
      <c r="S209" s="13"/>
      <c r="T209" s="13"/>
      <c r="U209" s="13"/>
      <c r="V209" s="13"/>
      <c r="W209" s="33"/>
      <c r="X209" s="33"/>
      <c r="Y209" s="33"/>
      <c r="Z209" s="33"/>
      <c r="AA209" s="33"/>
      <c r="AB209" s="33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</row>
    <row r="210" spans="2:83" s="30" customFormat="1">
      <c r="B210" s="32"/>
      <c r="C210" s="32"/>
      <c r="D210" s="32"/>
      <c r="E210" s="32"/>
      <c r="F210" s="32"/>
      <c r="G210" s="36"/>
      <c r="H210" s="32"/>
      <c r="I210" s="37"/>
      <c r="J210" s="32"/>
      <c r="K210" s="32"/>
      <c r="L210" s="32"/>
      <c r="M210" s="32"/>
      <c r="N210" s="33"/>
      <c r="O210" s="33"/>
      <c r="P210" s="33"/>
      <c r="Q210" s="13"/>
      <c r="R210" s="13"/>
      <c r="S210" s="13"/>
      <c r="T210" s="13"/>
      <c r="U210" s="13"/>
      <c r="V210" s="13"/>
      <c r="W210" s="33"/>
      <c r="X210" s="33"/>
      <c r="Y210" s="33"/>
      <c r="Z210" s="33"/>
      <c r="AA210" s="33"/>
      <c r="AB210" s="33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</row>
    <row r="211" spans="2:83" s="30" customFormat="1">
      <c r="B211" s="32"/>
      <c r="C211" s="32"/>
      <c r="D211" s="32"/>
      <c r="E211" s="32"/>
      <c r="F211" s="32"/>
      <c r="G211" s="36"/>
      <c r="H211" s="32"/>
      <c r="I211" s="37"/>
      <c r="J211" s="32"/>
      <c r="K211" s="32"/>
      <c r="L211" s="32"/>
      <c r="M211" s="32"/>
      <c r="N211" s="33"/>
      <c r="O211" s="33"/>
      <c r="P211" s="33"/>
      <c r="Q211" s="13"/>
      <c r="R211" s="13"/>
      <c r="S211" s="13"/>
      <c r="T211" s="13"/>
      <c r="U211" s="13"/>
      <c r="V211" s="13"/>
      <c r="W211" s="33"/>
      <c r="X211" s="33"/>
      <c r="Y211" s="33"/>
      <c r="Z211" s="33"/>
      <c r="AA211" s="33"/>
      <c r="AB211" s="33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</row>
    <row r="212" spans="2:83" s="30" customFormat="1">
      <c r="B212" s="32"/>
      <c r="C212" s="32"/>
      <c r="D212" s="32"/>
      <c r="E212" s="32"/>
      <c r="F212" s="32"/>
      <c r="G212" s="36"/>
      <c r="H212" s="32"/>
      <c r="I212" s="37"/>
      <c r="J212" s="32"/>
      <c r="K212" s="32"/>
      <c r="L212" s="32"/>
      <c r="M212" s="32"/>
      <c r="N212" s="33"/>
      <c r="O212" s="33"/>
      <c r="P212" s="33"/>
      <c r="Q212" s="13"/>
      <c r="R212" s="13"/>
      <c r="S212" s="13"/>
      <c r="T212" s="13"/>
      <c r="U212" s="13"/>
      <c r="V212" s="13"/>
      <c r="W212" s="33"/>
      <c r="X212" s="33"/>
      <c r="Y212" s="33"/>
      <c r="Z212" s="33"/>
      <c r="AA212" s="33"/>
      <c r="AB212" s="33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</row>
    <row r="213" spans="2:83" s="30" customFormat="1">
      <c r="B213" s="32"/>
      <c r="C213" s="32"/>
      <c r="D213" s="32"/>
      <c r="E213" s="32"/>
      <c r="F213" s="32"/>
      <c r="G213" s="36"/>
      <c r="H213" s="32"/>
      <c r="I213" s="37"/>
      <c r="J213" s="32"/>
      <c r="K213" s="32"/>
      <c r="L213" s="32"/>
      <c r="M213" s="32"/>
      <c r="N213" s="33"/>
      <c r="O213" s="33"/>
      <c r="P213" s="33"/>
      <c r="Q213" s="13"/>
      <c r="R213" s="13"/>
      <c r="S213" s="13"/>
      <c r="T213" s="13"/>
      <c r="U213" s="13"/>
      <c r="V213" s="13"/>
      <c r="W213" s="33"/>
      <c r="X213" s="33"/>
      <c r="Y213" s="33"/>
      <c r="Z213" s="33"/>
      <c r="AA213" s="33"/>
      <c r="AB213" s="33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</row>
    <row r="214" spans="2:83" s="30" customFormat="1">
      <c r="B214" s="32"/>
      <c r="C214" s="32"/>
      <c r="D214" s="32"/>
      <c r="E214" s="32"/>
      <c r="F214" s="32"/>
      <c r="G214" s="36"/>
      <c r="H214" s="32"/>
      <c r="I214" s="37"/>
      <c r="J214" s="32"/>
      <c r="K214" s="32"/>
      <c r="L214" s="32"/>
      <c r="M214" s="32"/>
      <c r="N214" s="33"/>
      <c r="O214" s="33"/>
      <c r="P214" s="33"/>
      <c r="Q214" s="13"/>
      <c r="R214" s="13"/>
      <c r="S214" s="13"/>
      <c r="T214" s="13"/>
      <c r="U214" s="13"/>
      <c r="V214" s="13"/>
      <c r="W214" s="33"/>
      <c r="X214" s="33"/>
      <c r="Y214" s="33"/>
      <c r="Z214" s="33"/>
      <c r="AA214" s="33"/>
      <c r="AB214" s="33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</row>
    <row r="215" spans="2:83" s="30" customFormat="1">
      <c r="B215" s="32"/>
      <c r="C215" s="32"/>
      <c r="D215" s="32"/>
      <c r="E215" s="32"/>
      <c r="F215" s="32"/>
      <c r="G215" s="36"/>
      <c r="H215" s="32"/>
      <c r="I215" s="37"/>
      <c r="J215" s="32"/>
      <c r="K215" s="32"/>
      <c r="L215" s="32"/>
      <c r="M215" s="32"/>
      <c r="N215" s="33"/>
      <c r="O215" s="33"/>
      <c r="P215" s="33"/>
      <c r="Q215" s="13"/>
      <c r="R215" s="13"/>
      <c r="S215" s="13"/>
      <c r="T215" s="13"/>
      <c r="U215" s="13"/>
      <c r="V215" s="13"/>
      <c r="W215" s="33"/>
      <c r="X215" s="33"/>
      <c r="Y215" s="33"/>
      <c r="Z215" s="33"/>
      <c r="AA215" s="33"/>
      <c r="AB215" s="33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</row>
    <row r="216" spans="2:83" s="30" customFormat="1">
      <c r="B216" s="32"/>
      <c r="C216" s="32"/>
      <c r="D216" s="32"/>
      <c r="E216" s="32"/>
      <c r="F216" s="32"/>
      <c r="G216" s="36"/>
      <c r="H216" s="32"/>
      <c r="I216" s="37"/>
      <c r="J216" s="32"/>
      <c r="K216" s="32"/>
      <c r="L216" s="32"/>
      <c r="M216" s="32"/>
      <c r="N216" s="33"/>
      <c r="O216" s="33"/>
      <c r="P216" s="33"/>
      <c r="Q216" s="13"/>
      <c r="R216" s="13"/>
      <c r="S216" s="13"/>
      <c r="T216" s="13"/>
      <c r="U216" s="13"/>
      <c r="V216" s="13"/>
      <c r="W216" s="33"/>
      <c r="X216" s="33"/>
      <c r="Y216" s="33"/>
      <c r="Z216" s="33"/>
      <c r="AA216" s="33"/>
      <c r="AB216" s="33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</row>
    <row r="217" spans="2:83" s="30" customFormat="1">
      <c r="B217" s="32"/>
      <c r="C217" s="32"/>
      <c r="D217" s="32"/>
      <c r="E217" s="32"/>
      <c r="F217" s="32"/>
      <c r="G217" s="36"/>
      <c r="H217" s="32"/>
      <c r="I217" s="37"/>
      <c r="J217" s="32"/>
      <c r="K217" s="32"/>
      <c r="L217" s="32"/>
      <c r="M217" s="32"/>
      <c r="N217" s="33"/>
      <c r="O217" s="33"/>
      <c r="P217" s="33"/>
      <c r="Q217" s="13"/>
      <c r="R217" s="13"/>
      <c r="S217" s="13"/>
      <c r="T217" s="13"/>
      <c r="U217" s="13"/>
      <c r="V217" s="13"/>
      <c r="W217" s="33"/>
      <c r="X217" s="33"/>
      <c r="Y217" s="33"/>
      <c r="Z217" s="33"/>
      <c r="AA217" s="33"/>
      <c r="AB217" s="33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</row>
    <row r="218" spans="2:83" s="30" customFormat="1">
      <c r="B218" s="32"/>
      <c r="C218" s="32"/>
      <c r="D218" s="32"/>
      <c r="E218" s="32"/>
      <c r="F218" s="32"/>
      <c r="G218" s="36"/>
      <c r="H218" s="32"/>
      <c r="I218" s="37"/>
      <c r="J218" s="32"/>
      <c r="K218" s="32"/>
      <c r="L218" s="32"/>
      <c r="M218" s="32"/>
      <c r="N218" s="33"/>
      <c r="O218" s="33"/>
      <c r="P218" s="33"/>
      <c r="Q218" s="13"/>
      <c r="R218" s="13"/>
      <c r="S218" s="13"/>
      <c r="T218" s="13"/>
      <c r="U218" s="13"/>
      <c r="V218" s="13"/>
      <c r="W218" s="33"/>
      <c r="X218" s="33"/>
      <c r="Y218" s="33"/>
      <c r="Z218" s="33"/>
      <c r="AA218" s="33"/>
      <c r="AB218" s="33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</row>
    <row r="219" spans="2:83" s="30" customFormat="1">
      <c r="B219" s="32"/>
      <c r="C219" s="32"/>
      <c r="D219" s="32"/>
      <c r="E219" s="32"/>
      <c r="F219" s="32"/>
      <c r="G219" s="36"/>
      <c r="H219" s="32"/>
      <c r="I219" s="37"/>
      <c r="J219" s="32"/>
      <c r="K219" s="32"/>
      <c r="L219" s="32"/>
      <c r="M219" s="32"/>
      <c r="N219" s="33"/>
      <c r="O219" s="33"/>
      <c r="P219" s="33"/>
      <c r="Q219" s="13"/>
      <c r="R219" s="13"/>
      <c r="S219" s="13"/>
      <c r="T219" s="13"/>
      <c r="U219" s="13"/>
      <c r="V219" s="13"/>
      <c r="W219" s="33"/>
      <c r="X219" s="33"/>
      <c r="Y219" s="33"/>
      <c r="Z219" s="33"/>
      <c r="AA219" s="33"/>
      <c r="AB219" s="33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</row>
    <row r="220" spans="2:83" s="30" customFormat="1">
      <c r="B220" s="32"/>
      <c r="C220" s="32"/>
      <c r="D220" s="32"/>
      <c r="E220" s="32"/>
      <c r="F220" s="32"/>
      <c r="G220" s="36"/>
      <c r="H220" s="32"/>
      <c r="I220" s="37"/>
      <c r="J220" s="32"/>
      <c r="K220" s="32"/>
      <c r="L220" s="32"/>
      <c r="M220" s="32"/>
      <c r="N220" s="33"/>
      <c r="O220" s="33"/>
      <c r="P220" s="33"/>
      <c r="Q220" s="13"/>
      <c r="R220" s="13"/>
      <c r="S220" s="13"/>
      <c r="T220" s="13"/>
      <c r="U220" s="13"/>
      <c r="V220" s="13"/>
      <c r="W220" s="33"/>
      <c r="X220" s="33"/>
      <c r="Y220" s="33"/>
      <c r="Z220" s="33"/>
      <c r="AA220" s="33"/>
      <c r="AB220" s="33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</row>
    <row r="221" spans="2:83" s="30" customFormat="1">
      <c r="B221" s="32"/>
      <c r="C221" s="32"/>
      <c r="D221" s="32"/>
      <c r="E221" s="32"/>
      <c r="F221" s="32"/>
      <c r="G221" s="36"/>
      <c r="H221" s="32"/>
      <c r="I221" s="37"/>
      <c r="J221" s="32"/>
      <c r="K221" s="32"/>
      <c r="L221" s="32"/>
      <c r="M221" s="32"/>
      <c r="N221" s="33"/>
      <c r="O221" s="33"/>
      <c r="P221" s="33"/>
      <c r="Q221" s="13"/>
      <c r="R221" s="13"/>
      <c r="S221" s="13"/>
      <c r="T221" s="13"/>
      <c r="U221" s="13"/>
      <c r="V221" s="13"/>
      <c r="W221" s="33"/>
      <c r="X221" s="33"/>
      <c r="Y221" s="33"/>
      <c r="Z221" s="33"/>
      <c r="AA221" s="33"/>
      <c r="AB221" s="33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</row>
    <row r="222" spans="2:83" s="30" customFormat="1">
      <c r="B222" s="32"/>
      <c r="C222" s="32"/>
      <c r="D222" s="32"/>
      <c r="E222" s="32"/>
      <c r="F222" s="32"/>
      <c r="G222" s="36"/>
      <c r="H222" s="32"/>
      <c r="I222" s="37"/>
      <c r="J222" s="32"/>
      <c r="K222" s="32"/>
      <c r="L222" s="32"/>
      <c r="M222" s="32"/>
      <c r="N222" s="33"/>
      <c r="O222" s="33"/>
      <c r="P222" s="33"/>
      <c r="Q222" s="13"/>
      <c r="R222" s="13"/>
      <c r="S222" s="13"/>
      <c r="T222" s="13"/>
      <c r="U222" s="13"/>
      <c r="V222" s="13"/>
      <c r="W222" s="33"/>
      <c r="X222" s="33"/>
      <c r="Y222" s="33"/>
      <c r="Z222" s="33"/>
      <c r="AA222" s="33"/>
      <c r="AB222" s="33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</row>
    <row r="223" spans="2:83" s="30" customFormat="1">
      <c r="B223" s="32"/>
      <c r="C223" s="32"/>
      <c r="D223" s="32"/>
      <c r="E223" s="32"/>
      <c r="F223" s="32"/>
      <c r="G223" s="36"/>
      <c r="H223" s="32"/>
      <c r="I223" s="37"/>
      <c r="J223" s="32"/>
      <c r="K223" s="32"/>
      <c r="L223" s="32"/>
      <c r="M223" s="32"/>
      <c r="N223" s="33"/>
      <c r="O223" s="33"/>
      <c r="P223" s="33"/>
      <c r="Q223" s="13"/>
      <c r="R223" s="13"/>
      <c r="S223" s="13"/>
      <c r="T223" s="13"/>
      <c r="U223" s="13"/>
      <c r="V223" s="13"/>
      <c r="W223" s="33"/>
      <c r="X223" s="33"/>
      <c r="Y223" s="33"/>
      <c r="Z223" s="33"/>
      <c r="AA223" s="33"/>
      <c r="AB223" s="33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</row>
    <row r="224" spans="2:83" s="30" customFormat="1">
      <c r="B224" s="32"/>
      <c r="C224" s="32"/>
      <c r="D224" s="32"/>
      <c r="E224" s="32"/>
      <c r="F224" s="32"/>
      <c r="G224" s="36"/>
      <c r="H224" s="32"/>
      <c r="I224" s="37"/>
      <c r="J224" s="32"/>
      <c r="K224" s="32"/>
      <c r="L224" s="32"/>
      <c r="M224" s="32"/>
      <c r="N224" s="33"/>
      <c r="O224" s="33"/>
      <c r="P224" s="33"/>
      <c r="Q224" s="13"/>
      <c r="R224" s="13"/>
      <c r="S224" s="13"/>
      <c r="T224" s="13"/>
      <c r="U224" s="13"/>
      <c r="V224" s="13"/>
      <c r="W224" s="33"/>
      <c r="X224" s="33"/>
      <c r="Y224" s="33"/>
      <c r="Z224" s="33"/>
      <c r="AA224" s="33"/>
      <c r="AB224" s="33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</row>
    <row r="225" spans="2:83" s="30" customFormat="1">
      <c r="B225" s="32"/>
      <c r="C225" s="32"/>
      <c r="D225" s="32"/>
      <c r="E225" s="32"/>
      <c r="F225" s="32"/>
      <c r="G225" s="36"/>
      <c r="H225" s="32"/>
      <c r="I225" s="37"/>
      <c r="J225" s="32"/>
      <c r="K225" s="32"/>
      <c r="L225" s="32"/>
      <c r="M225" s="32"/>
      <c r="N225" s="33"/>
      <c r="O225" s="33"/>
      <c r="P225" s="33"/>
      <c r="Q225" s="13"/>
      <c r="R225" s="13"/>
      <c r="S225" s="13"/>
      <c r="T225" s="13"/>
      <c r="U225" s="13"/>
      <c r="V225" s="13"/>
      <c r="W225" s="33"/>
      <c r="X225" s="33"/>
      <c r="Y225" s="33"/>
      <c r="Z225" s="33"/>
      <c r="AA225" s="33"/>
      <c r="AB225" s="33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</row>
    <row r="226" spans="2:83" s="30" customFormat="1">
      <c r="B226" s="32"/>
      <c r="C226" s="32"/>
      <c r="D226" s="32"/>
      <c r="E226" s="32"/>
      <c r="F226" s="32"/>
      <c r="G226" s="36"/>
      <c r="H226" s="32"/>
      <c r="I226" s="37"/>
      <c r="J226" s="32"/>
      <c r="K226" s="32"/>
      <c r="L226" s="32"/>
      <c r="M226" s="32"/>
      <c r="N226" s="33"/>
      <c r="O226" s="33"/>
      <c r="P226" s="33"/>
      <c r="Q226" s="13"/>
      <c r="R226" s="13"/>
      <c r="S226" s="13"/>
      <c r="T226" s="13"/>
      <c r="U226" s="13"/>
      <c r="V226" s="13"/>
      <c r="W226" s="33"/>
      <c r="X226" s="33"/>
      <c r="Y226" s="33"/>
      <c r="Z226" s="33"/>
      <c r="AA226" s="33"/>
      <c r="AB226" s="33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</row>
    <row r="227" spans="2:83" s="30" customFormat="1">
      <c r="B227" s="32"/>
      <c r="C227" s="32"/>
      <c r="D227" s="32"/>
      <c r="E227" s="32"/>
      <c r="F227" s="32"/>
      <c r="G227" s="36"/>
      <c r="H227" s="32"/>
      <c r="I227" s="37"/>
      <c r="J227" s="32"/>
      <c r="K227" s="32"/>
      <c r="L227" s="32"/>
      <c r="M227" s="32"/>
      <c r="N227" s="33"/>
      <c r="O227" s="33"/>
      <c r="P227" s="33"/>
      <c r="Q227" s="13"/>
      <c r="R227" s="13"/>
      <c r="S227" s="13"/>
      <c r="T227" s="13"/>
      <c r="U227" s="13"/>
      <c r="V227" s="13"/>
      <c r="W227" s="33"/>
      <c r="X227" s="33"/>
      <c r="Y227" s="33"/>
      <c r="Z227" s="33"/>
      <c r="AA227" s="33"/>
      <c r="AB227" s="33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</row>
    <row r="228" spans="2:83" s="30" customFormat="1">
      <c r="B228" s="32"/>
      <c r="C228" s="32"/>
      <c r="D228" s="32"/>
      <c r="E228" s="32"/>
      <c r="F228" s="32"/>
      <c r="G228" s="36"/>
      <c r="H228" s="32"/>
      <c r="I228" s="37"/>
      <c r="J228" s="32"/>
      <c r="K228" s="32"/>
      <c r="L228" s="32"/>
      <c r="M228" s="32"/>
      <c r="N228" s="33"/>
      <c r="O228" s="33"/>
      <c r="P228" s="33"/>
      <c r="Q228" s="13"/>
      <c r="R228" s="13"/>
      <c r="S228" s="13"/>
      <c r="T228" s="13"/>
      <c r="U228" s="13"/>
      <c r="V228" s="13"/>
      <c r="W228" s="33"/>
      <c r="X228" s="33"/>
      <c r="Y228" s="33"/>
      <c r="Z228" s="33"/>
      <c r="AA228" s="33"/>
      <c r="AB228" s="33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</row>
    <row r="229" spans="2:83" s="30" customFormat="1">
      <c r="B229" s="32"/>
      <c r="C229" s="32"/>
      <c r="D229" s="32"/>
      <c r="E229" s="32"/>
      <c r="F229" s="32"/>
      <c r="G229" s="36"/>
      <c r="H229" s="32"/>
      <c r="I229" s="37"/>
      <c r="J229" s="32"/>
      <c r="K229" s="32"/>
      <c r="L229" s="32"/>
      <c r="M229" s="32"/>
      <c r="N229" s="33"/>
      <c r="O229" s="33"/>
      <c r="P229" s="33"/>
      <c r="Q229" s="13"/>
      <c r="R229" s="13"/>
      <c r="S229" s="13"/>
      <c r="T229" s="13"/>
      <c r="U229" s="13"/>
      <c r="V229" s="13"/>
      <c r="W229" s="33"/>
      <c r="X229" s="33"/>
      <c r="Y229" s="33"/>
      <c r="Z229" s="33"/>
      <c r="AA229" s="33"/>
      <c r="AB229" s="33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</row>
    <row r="230" spans="2:83" s="30" customFormat="1">
      <c r="B230" s="32"/>
      <c r="C230" s="32"/>
      <c r="D230" s="32"/>
      <c r="E230" s="32"/>
      <c r="F230" s="32"/>
      <c r="G230" s="36"/>
      <c r="H230" s="32"/>
      <c r="I230" s="37"/>
      <c r="J230" s="32"/>
      <c r="K230" s="32"/>
      <c r="L230" s="32"/>
      <c r="M230" s="32"/>
      <c r="N230" s="33"/>
      <c r="O230" s="33"/>
      <c r="P230" s="33"/>
      <c r="Q230" s="13"/>
      <c r="R230" s="13"/>
      <c r="S230" s="13"/>
      <c r="T230" s="13"/>
      <c r="U230" s="13"/>
      <c r="V230" s="13"/>
      <c r="W230" s="33"/>
      <c r="X230" s="33"/>
      <c r="Y230" s="33"/>
      <c r="Z230" s="33"/>
      <c r="AA230" s="33"/>
      <c r="AB230" s="33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</row>
    <row r="231" spans="2:83" s="30" customFormat="1">
      <c r="B231" s="32"/>
      <c r="C231" s="32"/>
      <c r="D231" s="32"/>
      <c r="E231" s="32"/>
      <c r="F231" s="32"/>
      <c r="G231" s="36"/>
      <c r="H231" s="32"/>
      <c r="I231" s="37"/>
      <c r="J231" s="32"/>
      <c r="K231" s="32"/>
      <c r="L231" s="32"/>
      <c r="M231" s="32"/>
      <c r="N231" s="33"/>
      <c r="O231" s="33"/>
      <c r="P231" s="33"/>
      <c r="Q231" s="13"/>
      <c r="R231" s="13"/>
      <c r="S231" s="13"/>
      <c r="T231" s="13"/>
      <c r="U231" s="13"/>
      <c r="V231" s="13"/>
      <c r="W231" s="33"/>
      <c r="X231" s="33"/>
      <c r="Y231" s="33"/>
      <c r="Z231" s="33"/>
      <c r="AA231" s="33"/>
      <c r="AB231" s="33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</row>
    <row r="232" spans="2:83" s="30" customFormat="1">
      <c r="B232" s="32"/>
      <c r="C232" s="32"/>
      <c r="D232" s="32"/>
      <c r="E232" s="32"/>
      <c r="F232" s="32"/>
      <c r="G232" s="36"/>
      <c r="H232" s="32"/>
      <c r="I232" s="37"/>
      <c r="J232" s="32"/>
      <c r="K232" s="32"/>
      <c r="L232" s="32"/>
      <c r="M232" s="32"/>
      <c r="N232" s="33"/>
      <c r="O232" s="33"/>
      <c r="P232" s="33"/>
      <c r="Q232" s="13"/>
      <c r="R232" s="13"/>
      <c r="S232" s="13"/>
      <c r="T232" s="13"/>
      <c r="U232" s="13"/>
      <c r="V232" s="13"/>
      <c r="W232" s="33"/>
      <c r="X232" s="33"/>
      <c r="Y232" s="33"/>
      <c r="Z232" s="33"/>
      <c r="AA232" s="33"/>
      <c r="AB232" s="33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</row>
    <row r="233" spans="2:83" s="30" customFormat="1">
      <c r="B233" s="32"/>
      <c r="C233" s="32"/>
      <c r="D233" s="32"/>
      <c r="E233" s="32"/>
      <c r="F233" s="32"/>
      <c r="G233" s="36"/>
      <c r="H233" s="32"/>
      <c r="I233" s="37"/>
      <c r="J233" s="32"/>
      <c r="K233" s="32"/>
      <c r="L233" s="32"/>
      <c r="M233" s="32"/>
      <c r="N233" s="33"/>
      <c r="O233" s="33"/>
      <c r="P233" s="33"/>
      <c r="Q233" s="13"/>
      <c r="R233" s="13"/>
      <c r="S233" s="13"/>
      <c r="T233" s="13"/>
      <c r="U233" s="13"/>
      <c r="V233" s="13"/>
      <c r="W233" s="33"/>
      <c r="X233" s="33"/>
      <c r="Y233" s="33"/>
      <c r="Z233" s="33"/>
      <c r="AA233" s="33"/>
      <c r="AB233" s="33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</row>
    <row r="234" spans="2:83" s="30" customFormat="1">
      <c r="B234" s="32"/>
      <c r="C234" s="32"/>
      <c r="D234" s="32"/>
      <c r="E234" s="32"/>
      <c r="F234" s="32"/>
      <c r="G234" s="36"/>
      <c r="H234" s="32"/>
      <c r="I234" s="37"/>
      <c r="J234" s="32"/>
      <c r="K234" s="32"/>
      <c r="L234" s="32"/>
      <c r="M234" s="32"/>
      <c r="N234" s="33"/>
      <c r="O234" s="33"/>
      <c r="P234" s="33"/>
      <c r="Q234" s="13"/>
      <c r="R234" s="13"/>
      <c r="S234" s="13"/>
      <c r="T234" s="13"/>
      <c r="U234" s="13"/>
      <c r="V234" s="13"/>
      <c r="W234" s="33"/>
      <c r="X234" s="33"/>
      <c r="Y234" s="33"/>
      <c r="Z234" s="33"/>
      <c r="AA234" s="33"/>
      <c r="AB234" s="33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</row>
    <row r="235" spans="2:83" s="30" customFormat="1">
      <c r="B235" s="32"/>
      <c r="C235" s="32"/>
      <c r="D235" s="32"/>
      <c r="E235" s="32"/>
      <c r="F235" s="32"/>
      <c r="G235" s="36"/>
      <c r="H235" s="32"/>
      <c r="I235" s="37"/>
      <c r="J235" s="32"/>
      <c r="K235" s="32"/>
      <c r="L235" s="32"/>
      <c r="M235" s="32"/>
      <c r="N235" s="33"/>
      <c r="O235" s="33"/>
      <c r="P235" s="33"/>
      <c r="Q235" s="13"/>
      <c r="R235" s="13"/>
      <c r="S235" s="13"/>
      <c r="T235" s="13"/>
      <c r="U235" s="13"/>
      <c r="V235" s="13"/>
      <c r="W235" s="33"/>
      <c r="X235" s="33"/>
      <c r="Y235" s="33"/>
      <c r="Z235" s="33"/>
      <c r="AA235" s="33"/>
      <c r="AB235" s="33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</row>
    <row r="236" spans="2:83" s="30" customFormat="1">
      <c r="B236" s="32"/>
      <c r="C236" s="32"/>
      <c r="D236" s="32"/>
      <c r="E236" s="32"/>
      <c r="F236" s="32"/>
      <c r="G236" s="36"/>
      <c r="H236" s="32"/>
      <c r="I236" s="37"/>
      <c r="J236" s="32"/>
      <c r="K236" s="32"/>
      <c r="L236" s="32"/>
      <c r="M236" s="32"/>
      <c r="N236" s="33"/>
      <c r="O236" s="33"/>
      <c r="P236" s="33"/>
      <c r="Q236" s="13"/>
      <c r="R236" s="13"/>
      <c r="S236" s="13"/>
      <c r="T236" s="13"/>
      <c r="U236" s="13"/>
      <c r="V236" s="13"/>
      <c r="W236" s="33"/>
      <c r="X236" s="33"/>
      <c r="Y236" s="33"/>
      <c r="Z236" s="33"/>
      <c r="AA236" s="33"/>
      <c r="AB236" s="33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</row>
    <row r="237" spans="2:83" s="30" customFormat="1">
      <c r="B237" s="32"/>
      <c r="C237" s="32"/>
      <c r="D237" s="32"/>
      <c r="E237" s="32"/>
      <c r="F237" s="32"/>
      <c r="G237" s="36"/>
      <c r="H237" s="32"/>
      <c r="I237" s="37"/>
      <c r="J237" s="32"/>
      <c r="K237" s="32"/>
      <c r="L237" s="32"/>
      <c r="M237" s="32"/>
      <c r="N237" s="33"/>
      <c r="O237" s="33"/>
      <c r="P237" s="33"/>
      <c r="Q237" s="13"/>
      <c r="R237" s="13"/>
      <c r="S237" s="13"/>
      <c r="T237" s="13"/>
      <c r="U237" s="13"/>
      <c r="V237" s="13"/>
      <c r="W237" s="33"/>
      <c r="X237" s="33"/>
      <c r="Y237" s="33"/>
      <c r="Z237" s="33"/>
      <c r="AA237" s="33"/>
      <c r="AB237" s="33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</row>
    <row r="238" spans="2:83" s="30" customFormat="1">
      <c r="B238" s="32"/>
      <c r="C238" s="32"/>
      <c r="D238" s="32"/>
      <c r="E238" s="32"/>
      <c r="F238" s="32"/>
      <c r="G238" s="36"/>
      <c r="H238" s="32"/>
      <c r="I238" s="37"/>
      <c r="J238" s="32"/>
      <c r="K238" s="32"/>
      <c r="L238" s="32"/>
      <c r="M238" s="32"/>
      <c r="N238" s="33"/>
      <c r="O238" s="33"/>
      <c r="P238" s="33"/>
      <c r="Q238" s="13"/>
      <c r="R238" s="13"/>
      <c r="S238" s="13"/>
      <c r="T238" s="13"/>
      <c r="U238" s="13"/>
      <c r="V238" s="13"/>
      <c r="W238" s="33"/>
      <c r="X238" s="33"/>
      <c r="Y238" s="33"/>
      <c r="Z238" s="33"/>
      <c r="AA238" s="33"/>
      <c r="AB238" s="33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</row>
    <row r="239" spans="2:83" s="30" customFormat="1">
      <c r="B239" s="32"/>
      <c r="C239" s="32"/>
      <c r="D239" s="32"/>
      <c r="E239" s="32"/>
      <c r="F239" s="32"/>
      <c r="G239" s="36"/>
      <c r="H239" s="32"/>
      <c r="I239" s="37"/>
      <c r="J239" s="32"/>
      <c r="K239" s="32"/>
      <c r="L239" s="32"/>
      <c r="M239" s="32"/>
      <c r="N239" s="33"/>
      <c r="O239" s="33"/>
      <c r="P239" s="33"/>
      <c r="Q239" s="13"/>
      <c r="R239" s="13"/>
      <c r="S239" s="13"/>
      <c r="T239" s="13"/>
      <c r="U239" s="13"/>
      <c r="V239" s="13"/>
      <c r="W239" s="33"/>
      <c r="X239" s="33"/>
      <c r="Y239" s="33"/>
      <c r="Z239" s="33"/>
      <c r="AA239" s="33"/>
      <c r="AB239" s="33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</row>
    <row r="240" spans="2:83" s="30" customFormat="1">
      <c r="B240" s="32"/>
      <c r="C240" s="32"/>
      <c r="D240" s="32"/>
      <c r="E240" s="32"/>
      <c r="F240" s="32"/>
      <c r="G240" s="36"/>
      <c r="H240" s="32"/>
      <c r="I240" s="37"/>
      <c r="J240" s="32"/>
      <c r="K240" s="32"/>
      <c r="L240" s="32"/>
      <c r="M240" s="32"/>
      <c r="N240" s="33"/>
      <c r="O240" s="33"/>
      <c r="P240" s="33"/>
      <c r="Q240" s="13"/>
      <c r="R240" s="13"/>
      <c r="S240" s="13"/>
      <c r="T240" s="13"/>
      <c r="U240" s="13"/>
      <c r="V240" s="13"/>
      <c r="W240" s="33"/>
      <c r="X240" s="33"/>
      <c r="Y240" s="33"/>
      <c r="Z240" s="33"/>
      <c r="AA240" s="33"/>
      <c r="AB240" s="33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</row>
    <row r="241" spans="2:83" s="30" customFormat="1">
      <c r="B241" s="32"/>
      <c r="C241" s="32"/>
      <c r="D241" s="32"/>
      <c r="E241" s="32"/>
      <c r="F241" s="32"/>
      <c r="G241" s="36"/>
      <c r="H241" s="32"/>
      <c r="I241" s="37"/>
      <c r="J241" s="32"/>
      <c r="K241" s="32"/>
      <c r="L241" s="32"/>
      <c r="M241" s="32"/>
      <c r="N241" s="33"/>
      <c r="O241" s="33"/>
      <c r="P241" s="33"/>
      <c r="Q241" s="13"/>
      <c r="R241" s="13"/>
      <c r="S241" s="13"/>
      <c r="T241" s="13"/>
      <c r="U241" s="13"/>
      <c r="V241" s="13"/>
      <c r="W241" s="33"/>
      <c r="X241" s="33"/>
      <c r="Y241" s="33"/>
      <c r="Z241" s="33"/>
      <c r="AA241" s="33"/>
      <c r="AB241" s="33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</row>
    <row r="242" spans="2:83" s="30" customFormat="1">
      <c r="B242" s="32"/>
      <c r="C242" s="32"/>
      <c r="D242" s="32"/>
      <c r="E242" s="32"/>
      <c r="F242" s="32"/>
      <c r="G242" s="36"/>
      <c r="H242" s="32"/>
      <c r="I242" s="37"/>
      <c r="J242" s="32"/>
      <c r="K242" s="32"/>
      <c r="L242" s="32"/>
      <c r="M242" s="32"/>
      <c r="N242" s="33"/>
      <c r="O242" s="33"/>
      <c r="P242" s="33"/>
      <c r="Q242" s="13"/>
      <c r="R242" s="13"/>
      <c r="S242" s="13"/>
      <c r="T242" s="13"/>
      <c r="U242" s="13"/>
      <c r="V242" s="13"/>
      <c r="W242" s="33"/>
      <c r="X242" s="33"/>
      <c r="Y242" s="33"/>
      <c r="Z242" s="33"/>
      <c r="AA242" s="33"/>
      <c r="AB242" s="33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</row>
    <row r="243" spans="2:83" s="30" customFormat="1">
      <c r="B243" s="32"/>
      <c r="C243" s="32"/>
      <c r="D243" s="32"/>
      <c r="E243" s="32"/>
      <c r="F243" s="32"/>
      <c r="G243" s="36"/>
      <c r="H243" s="32"/>
      <c r="I243" s="37"/>
      <c r="J243" s="32"/>
      <c r="K243" s="32"/>
      <c r="L243" s="32"/>
      <c r="M243" s="32"/>
      <c r="N243" s="33"/>
      <c r="O243" s="33"/>
      <c r="P243" s="33"/>
      <c r="Q243" s="13"/>
      <c r="R243" s="13"/>
      <c r="S243" s="13"/>
      <c r="T243" s="13"/>
      <c r="U243" s="13"/>
      <c r="V243" s="13"/>
      <c r="W243" s="33"/>
      <c r="X243" s="33"/>
      <c r="Y243" s="33"/>
      <c r="Z243" s="33"/>
      <c r="AA243" s="33"/>
      <c r="AB243" s="33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</row>
    <row r="244" spans="2:83" s="30" customFormat="1">
      <c r="B244" s="32"/>
      <c r="C244" s="32"/>
      <c r="D244" s="32"/>
      <c r="E244" s="32"/>
      <c r="F244" s="32"/>
      <c r="G244" s="36"/>
      <c r="H244" s="32"/>
      <c r="I244" s="37"/>
      <c r="J244" s="32"/>
      <c r="K244" s="32"/>
      <c r="L244" s="32"/>
      <c r="M244" s="32"/>
      <c r="N244" s="33"/>
      <c r="O244" s="33"/>
      <c r="P244" s="33"/>
      <c r="Q244" s="13"/>
      <c r="R244" s="13"/>
      <c r="S244" s="13"/>
      <c r="T244" s="13"/>
      <c r="U244" s="13"/>
      <c r="V244" s="13"/>
      <c r="W244" s="33"/>
      <c r="X244" s="33"/>
      <c r="Y244" s="33"/>
      <c r="Z244" s="33"/>
      <c r="AA244" s="33"/>
      <c r="AB244" s="33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</row>
    <row r="245" spans="2:83" s="30" customFormat="1">
      <c r="B245" s="32"/>
      <c r="C245" s="32"/>
      <c r="D245" s="32"/>
      <c r="E245" s="32"/>
      <c r="F245" s="32"/>
      <c r="G245" s="36"/>
      <c r="H245" s="32"/>
      <c r="I245" s="37"/>
      <c r="J245" s="32"/>
      <c r="K245" s="32"/>
      <c r="L245" s="32"/>
      <c r="M245" s="32"/>
      <c r="N245" s="33"/>
      <c r="O245" s="33"/>
      <c r="P245" s="33"/>
      <c r="Q245" s="13"/>
      <c r="R245" s="13"/>
      <c r="S245" s="13"/>
      <c r="T245" s="13"/>
      <c r="U245" s="13"/>
      <c r="V245" s="13"/>
      <c r="W245" s="33"/>
      <c r="X245" s="33"/>
      <c r="Y245" s="33"/>
      <c r="Z245" s="33"/>
      <c r="AA245" s="33"/>
      <c r="AB245" s="33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</row>
    <row r="246" spans="2:83" s="30" customFormat="1">
      <c r="B246" s="32"/>
      <c r="C246" s="32"/>
      <c r="D246" s="32"/>
      <c r="E246" s="32"/>
      <c r="F246" s="32"/>
      <c r="G246" s="36"/>
      <c r="H246" s="32"/>
      <c r="I246" s="37"/>
      <c r="J246" s="32"/>
      <c r="K246" s="32"/>
      <c r="L246" s="32"/>
      <c r="M246" s="32"/>
      <c r="N246" s="33"/>
      <c r="O246" s="33"/>
      <c r="P246" s="33"/>
      <c r="Q246" s="13"/>
      <c r="R246" s="13"/>
      <c r="S246" s="13"/>
      <c r="T246" s="13"/>
      <c r="U246" s="13"/>
      <c r="V246" s="13"/>
      <c r="W246" s="33"/>
      <c r="X246" s="33"/>
      <c r="Y246" s="33"/>
      <c r="Z246" s="33"/>
      <c r="AA246" s="33"/>
      <c r="AB246" s="33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</row>
    <row r="247" spans="2:83" s="30" customFormat="1">
      <c r="B247" s="32"/>
      <c r="C247" s="32"/>
      <c r="D247" s="32"/>
      <c r="E247" s="32"/>
      <c r="F247" s="32"/>
      <c r="G247" s="36"/>
      <c r="H247" s="32"/>
      <c r="I247" s="37"/>
      <c r="J247" s="32"/>
      <c r="K247" s="32"/>
      <c r="L247" s="32"/>
      <c r="M247" s="32"/>
      <c r="N247" s="33"/>
      <c r="O247" s="33"/>
      <c r="P247" s="33"/>
      <c r="Q247" s="13"/>
      <c r="R247" s="13"/>
      <c r="S247" s="13"/>
      <c r="T247" s="13"/>
      <c r="U247" s="13"/>
      <c r="V247" s="13"/>
      <c r="W247" s="33"/>
      <c r="X247" s="33"/>
      <c r="Y247" s="33"/>
      <c r="Z247" s="33"/>
      <c r="AA247" s="33"/>
      <c r="AB247" s="33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</row>
    <row r="248" spans="2:83" s="30" customFormat="1">
      <c r="B248" s="32"/>
      <c r="C248" s="32"/>
      <c r="D248" s="32"/>
      <c r="E248" s="32"/>
      <c r="F248" s="32"/>
      <c r="G248" s="36"/>
      <c r="H248" s="32"/>
      <c r="I248" s="37"/>
      <c r="J248" s="32"/>
      <c r="K248" s="32"/>
      <c r="L248" s="32"/>
      <c r="M248" s="32"/>
      <c r="N248" s="33"/>
      <c r="O248" s="33"/>
      <c r="P248" s="33"/>
      <c r="Q248" s="13"/>
      <c r="R248" s="13"/>
      <c r="S248" s="13"/>
      <c r="T248" s="13"/>
      <c r="U248" s="13"/>
      <c r="V248" s="13"/>
      <c r="W248" s="33"/>
      <c r="X248" s="33"/>
      <c r="Y248" s="33"/>
      <c r="Z248" s="33"/>
      <c r="AA248" s="33"/>
      <c r="AB248" s="33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</row>
    <row r="249" spans="2:83" s="30" customFormat="1">
      <c r="B249" s="32"/>
      <c r="C249" s="32"/>
      <c r="D249" s="32"/>
      <c r="E249" s="32"/>
      <c r="F249" s="32"/>
      <c r="G249" s="36"/>
      <c r="H249" s="32"/>
      <c r="I249" s="37"/>
      <c r="J249" s="32"/>
      <c r="K249" s="32"/>
      <c r="L249" s="32"/>
      <c r="M249" s="32"/>
      <c r="N249" s="33"/>
      <c r="O249" s="33"/>
      <c r="P249" s="33"/>
      <c r="Q249" s="13"/>
      <c r="R249" s="13"/>
      <c r="S249" s="13"/>
      <c r="T249" s="13"/>
      <c r="U249" s="13"/>
      <c r="V249" s="13"/>
      <c r="W249" s="33"/>
      <c r="X249" s="33"/>
      <c r="Y249" s="33"/>
      <c r="Z249" s="33"/>
      <c r="AA249" s="33"/>
      <c r="AB249" s="33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</row>
    <row r="250" spans="2:83" s="30" customFormat="1">
      <c r="B250" s="32"/>
      <c r="C250" s="32"/>
      <c r="D250" s="32"/>
      <c r="E250" s="32"/>
      <c r="F250" s="32"/>
      <c r="G250" s="36"/>
      <c r="H250" s="32"/>
      <c r="I250" s="37"/>
      <c r="J250" s="32"/>
      <c r="K250" s="32"/>
      <c r="L250" s="32"/>
      <c r="M250" s="32"/>
      <c r="N250" s="33"/>
      <c r="O250" s="33"/>
      <c r="P250" s="33"/>
      <c r="Q250" s="13"/>
      <c r="R250" s="13"/>
      <c r="S250" s="13"/>
      <c r="T250" s="13"/>
      <c r="U250" s="13"/>
      <c r="V250" s="13"/>
      <c r="W250" s="33"/>
      <c r="X250" s="33"/>
      <c r="Y250" s="33"/>
      <c r="Z250" s="33"/>
      <c r="AA250" s="33"/>
      <c r="AB250" s="33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</row>
    <row r="251" spans="2:83" s="30" customFormat="1">
      <c r="B251" s="32"/>
      <c r="C251" s="32"/>
      <c r="D251" s="32"/>
      <c r="E251" s="32"/>
      <c r="F251" s="32"/>
      <c r="G251" s="36"/>
      <c r="H251" s="32"/>
      <c r="I251" s="37"/>
      <c r="J251" s="32"/>
      <c r="K251" s="32"/>
      <c r="L251" s="32"/>
      <c r="M251" s="32"/>
      <c r="N251" s="33"/>
      <c r="O251" s="33"/>
      <c r="P251" s="33"/>
      <c r="Q251" s="13"/>
      <c r="R251" s="13"/>
      <c r="S251" s="13"/>
      <c r="T251" s="13"/>
      <c r="U251" s="13"/>
      <c r="V251" s="13"/>
      <c r="W251" s="33"/>
      <c r="X251" s="33"/>
      <c r="Y251" s="33"/>
      <c r="Z251" s="33"/>
      <c r="AA251" s="33"/>
      <c r="AB251" s="33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</row>
    <row r="252" spans="2:83" s="30" customFormat="1">
      <c r="B252" s="32"/>
      <c r="C252" s="32"/>
      <c r="D252" s="32"/>
      <c r="E252" s="32"/>
      <c r="F252" s="32"/>
      <c r="G252" s="36"/>
      <c r="H252" s="32"/>
      <c r="I252" s="37"/>
      <c r="J252" s="32"/>
      <c r="K252" s="32"/>
      <c r="L252" s="32"/>
      <c r="M252" s="32"/>
      <c r="N252" s="33"/>
      <c r="O252" s="33"/>
      <c r="P252" s="33"/>
      <c r="Q252" s="13"/>
      <c r="R252" s="13"/>
      <c r="S252" s="13"/>
      <c r="T252" s="13"/>
      <c r="U252" s="13"/>
      <c r="V252" s="13"/>
      <c r="W252" s="33"/>
      <c r="X252" s="33"/>
      <c r="Y252" s="33"/>
      <c r="Z252" s="33"/>
      <c r="AA252" s="33"/>
      <c r="AB252" s="33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</row>
    <row r="253" spans="2:83" s="30" customFormat="1">
      <c r="B253" s="32"/>
      <c r="C253" s="32"/>
      <c r="D253" s="32"/>
      <c r="E253" s="32"/>
      <c r="F253" s="32"/>
      <c r="G253" s="36"/>
      <c r="H253" s="32"/>
      <c r="I253" s="37"/>
      <c r="J253" s="32"/>
      <c r="K253" s="32"/>
      <c r="L253" s="32"/>
      <c r="M253" s="32"/>
      <c r="N253" s="33"/>
      <c r="O253" s="33"/>
      <c r="P253" s="33"/>
      <c r="Q253" s="13"/>
      <c r="R253" s="13"/>
      <c r="S253" s="13"/>
      <c r="T253" s="13"/>
      <c r="U253" s="13"/>
      <c r="V253" s="13"/>
      <c r="W253" s="33"/>
      <c r="X253" s="33"/>
      <c r="Y253" s="33"/>
      <c r="Z253" s="33"/>
      <c r="AA253" s="33"/>
      <c r="AB253" s="33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</row>
    <row r="254" spans="2:83" s="30" customFormat="1">
      <c r="B254" s="32"/>
      <c r="C254" s="32"/>
      <c r="D254" s="32"/>
      <c r="E254" s="32"/>
      <c r="F254" s="32"/>
      <c r="G254" s="36"/>
      <c r="H254" s="32"/>
      <c r="I254" s="37"/>
      <c r="J254" s="32"/>
      <c r="K254" s="32"/>
      <c r="L254" s="32"/>
      <c r="M254" s="32"/>
      <c r="N254" s="33"/>
      <c r="O254" s="33"/>
      <c r="P254" s="33"/>
      <c r="Q254" s="13"/>
      <c r="R254" s="13"/>
      <c r="S254" s="13"/>
      <c r="T254" s="13"/>
      <c r="U254" s="13"/>
      <c r="V254" s="13"/>
      <c r="W254" s="33"/>
      <c r="X254" s="33"/>
      <c r="Y254" s="33"/>
      <c r="Z254" s="33"/>
      <c r="AA254" s="33"/>
      <c r="AB254" s="33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</row>
    <row r="255" spans="2:83" s="30" customFormat="1">
      <c r="B255" s="32"/>
      <c r="C255" s="32"/>
      <c r="D255" s="32"/>
      <c r="E255" s="32"/>
      <c r="F255" s="32"/>
      <c r="G255" s="36"/>
      <c r="H255" s="32"/>
      <c r="I255" s="37"/>
      <c r="J255" s="32"/>
      <c r="K255" s="32"/>
      <c r="L255" s="32"/>
      <c r="M255" s="32"/>
      <c r="N255" s="33"/>
      <c r="O255" s="33"/>
      <c r="P255" s="33"/>
      <c r="Q255" s="13"/>
      <c r="R255" s="13"/>
      <c r="S255" s="13"/>
      <c r="T255" s="13"/>
      <c r="U255" s="13"/>
      <c r="V255" s="13"/>
      <c r="W255" s="33"/>
      <c r="X255" s="33"/>
      <c r="Y255" s="33"/>
      <c r="Z255" s="33"/>
      <c r="AA255" s="33"/>
      <c r="AB255" s="33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</row>
    <row r="256" spans="2:83" s="30" customFormat="1">
      <c r="B256" s="32"/>
      <c r="C256" s="32"/>
      <c r="D256" s="32"/>
      <c r="E256" s="32"/>
      <c r="F256" s="32"/>
      <c r="G256" s="36"/>
      <c r="H256" s="32"/>
      <c r="I256" s="37"/>
      <c r="J256" s="32"/>
      <c r="K256" s="32"/>
      <c r="L256" s="32"/>
      <c r="M256" s="32"/>
      <c r="N256" s="33"/>
      <c r="O256" s="33"/>
      <c r="P256" s="33"/>
      <c r="Q256" s="13"/>
      <c r="R256" s="13"/>
      <c r="S256" s="13"/>
      <c r="T256" s="13"/>
      <c r="U256" s="13"/>
      <c r="V256" s="13"/>
      <c r="W256" s="33"/>
      <c r="X256" s="33"/>
      <c r="Y256" s="33"/>
      <c r="Z256" s="33"/>
      <c r="AA256" s="33"/>
      <c r="AB256" s="33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</row>
    <row r="257" spans="2:83" s="30" customFormat="1">
      <c r="B257" s="32"/>
      <c r="C257" s="32"/>
      <c r="D257" s="32"/>
      <c r="E257" s="32"/>
      <c r="F257" s="32"/>
      <c r="G257" s="36"/>
      <c r="H257" s="32"/>
      <c r="I257" s="37"/>
      <c r="J257" s="32"/>
      <c r="K257" s="32"/>
      <c r="L257" s="32"/>
      <c r="M257" s="32"/>
      <c r="N257" s="33"/>
      <c r="O257" s="33"/>
      <c r="P257" s="33"/>
      <c r="Q257" s="13"/>
      <c r="R257" s="13"/>
      <c r="S257" s="13"/>
      <c r="T257" s="13"/>
      <c r="U257" s="13"/>
      <c r="V257" s="13"/>
      <c r="W257" s="33"/>
      <c r="X257" s="33"/>
      <c r="Y257" s="33"/>
      <c r="Z257" s="33"/>
      <c r="AA257" s="33"/>
      <c r="AB257" s="33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</row>
    <row r="258" spans="2:83" s="30" customFormat="1">
      <c r="B258" s="32"/>
      <c r="C258" s="32"/>
      <c r="D258" s="32"/>
      <c r="E258" s="32"/>
      <c r="F258" s="32"/>
      <c r="G258" s="36"/>
      <c r="H258" s="32"/>
      <c r="I258" s="37"/>
      <c r="J258" s="32"/>
      <c r="K258" s="32"/>
      <c r="L258" s="32"/>
      <c r="M258" s="32"/>
      <c r="N258" s="33"/>
      <c r="O258" s="33"/>
      <c r="P258" s="33"/>
      <c r="Q258" s="13"/>
      <c r="R258" s="13"/>
      <c r="S258" s="13"/>
      <c r="T258" s="13"/>
      <c r="U258" s="13"/>
      <c r="V258" s="13"/>
      <c r="W258" s="33"/>
      <c r="X258" s="33"/>
      <c r="Y258" s="33"/>
      <c r="Z258" s="33"/>
      <c r="AA258" s="33"/>
      <c r="AB258" s="33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</row>
    <row r="259" spans="2:83" s="30" customFormat="1">
      <c r="B259" s="32"/>
      <c r="C259" s="32"/>
      <c r="D259" s="32"/>
      <c r="E259" s="32"/>
      <c r="F259" s="32"/>
      <c r="G259" s="36"/>
      <c r="H259" s="32"/>
      <c r="I259" s="37"/>
      <c r="J259" s="32"/>
      <c r="K259" s="32"/>
      <c r="L259" s="32"/>
      <c r="M259" s="32"/>
      <c r="N259" s="33"/>
      <c r="O259" s="33"/>
      <c r="P259" s="33"/>
      <c r="Q259" s="13"/>
      <c r="R259" s="13"/>
      <c r="S259" s="13"/>
      <c r="T259" s="13"/>
      <c r="U259" s="13"/>
      <c r="V259" s="13"/>
      <c r="W259" s="33"/>
      <c r="X259" s="33"/>
      <c r="Y259" s="33"/>
      <c r="Z259" s="33"/>
      <c r="AA259" s="33"/>
      <c r="AB259" s="33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</row>
    <row r="260" spans="2:83" s="30" customFormat="1">
      <c r="B260" s="32"/>
      <c r="C260" s="32"/>
      <c r="D260" s="32"/>
      <c r="E260" s="32"/>
      <c r="F260" s="32"/>
      <c r="G260" s="36"/>
      <c r="H260" s="32"/>
      <c r="I260" s="37"/>
      <c r="J260" s="32"/>
      <c r="K260" s="32"/>
      <c r="L260" s="32"/>
      <c r="M260" s="32"/>
      <c r="N260" s="33"/>
      <c r="O260" s="33"/>
      <c r="P260" s="33"/>
      <c r="Q260" s="13"/>
      <c r="R260" s="13"/>
      <c r="S260" s="13"/>
      <c r="T260" s="13"/>
      <c r="U260" s="13"/>
      <c r="V260" s="13"/>
      <c r="W260" s="33"/>
      <c r="X260" s="33"/>
      <c r="Y260" s="33"/>
      <c r="Z260" s="33"/>
      <c r="AA260" s="33"/>
      <c r="AB260" s="33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</row>
    <row r="261" spans="2:83" s="30" customFormat="1">
      <c r="B261" s="32"/>
      <c r="C261" s="32"/>
      <c r="D261" s="32"/>
      <c r="E261" s="32"/>
      <c r="F261" s="32"/>
      <c r="G261" s="36"/>
      <c r="H261" s="32"/>
      <c r="I261" s="37"/>
      <c r="J261" s="32"/>
      <c r="K261" s="32"/>
      <c r="L261" s="32"/>
      <c r="M261" s="32"/>
      <c r="N261" s="33"/>
      <c r="O261" s="33"/>
      <c r="P261" s="33"/>
      <c r="Q261" s="13"/>
      <c r="R261" s="13"/>
      <c r="S261" s="13"/>
      <c r="T261" s="13"/>
      <c r="U261" s="13"/>
      <c r="V261" s="13"/>
      <c r="W261" s="33"/>
      <c r="X261" s="33"/>
      <c r="Y261" s="33"/>
      <c r="Z261" s="33"/>
      <c r="AA261" s="33"/>
      <c r="AB261" s="33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</row>
    <row r="262" spans="2:83" s="30" customFormat="1">
      <c r="B262" s="32"/>
      <c r="C262" s="32"/>
      <c r="D262" s="32"/>
      <c r="E262" s="32"/>
      <c r="F262" s="32"/>
      <c r="G262" s="36"/>
      <c r="H262" s="32"/>
      <c r="I262" s="37"/>
      <c r="J262" s="32"/>
      <c r="K262" s="32"/>
      <c r="L262" s="32"/>
      <c r="M262" s="32"/>
      <c r="N262" s="33"/>
      <c r="O262" s="33"/>
      <c r="P262" s="33"/>
      <c r="Q262" s="13"/>
      <c r="R262" s="13"/>
      <c r="S262" s="13"/>
      <c r="T262" s="13"/>
      <c r="U262" s="13"/>
      <c r="V262" s="13"/>
      <c r="W262" s="33"/>
      <c r="X262" s="33"/>
      <c r="Y262" s="33"/>
      <c r="Z262" s="33"/>
      <c r="AA262" s="33"/>
      <c r="AB262" s="33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</row>
    <row r="263" spans="2:83" s="30" customFormat="1">
      <c r="B263" s="32"/>
      <c r="C263" s="32"/>
      <c r="D263" s="32"/>
      <c r="E263" s="32"/>
      <c r="F263" s="32"/>
      <c r="G263" s="36"/>
      <c r="H263" s="32"/>
      <c r="I263" s="37"/>
      <c r="J263" s="32"/>
      <c r="K263" s="32"/>
      <c r="L263" s="32"/>
      <c r="M263" s="32"/>
      <c r="N263" s="33"/>
      <c r="O263" s="33"/>
      <c r="P263" s="33"/>
      <c r="Q263" s="13"/>
      <c r="R263" s="13"/>
      <c r="S263" s="13"/>
      <c r="T263" s="13"/>
      <c r="U263" s="13"/>
      <c r="V263" s="13"/>
      <c r="W263" s="33"/>
      <c r="X263" s="33"/>
      <c r="Y263" s="33"/>
      <c r="Z263" s="33"/>
      <c r="AA263" s="33"/>
      <c r="AB263" s="33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</row>
    <row r="264" spans="2:83" s="30" customFormat="1">
      <c r="B264" s="32"/>
      <c r="C264" s="32"/>
      <c r="D264" s="32"/>
      <c r="E264" s="32"/>
      <c r="F264" s="32"/>
      <c r="G264" s="36"/>
      <c r="H264" s="32"/>
      <c r="I264" s="37"/>
      <c r="J264" s="32"/>
      <c r="K264" s="32"/>
      <c r="L264" s="32"/>
      <c r="M264" s="32"/>
      <c r="N264" s="33"/>
      <c r="O264" s="33"/>
      <c r="P264" s="33"/>
      <c r="Q264" s="13"/>
      <c r="R264" s="13"/>
      <c r="S264" s="13"/>
      <c r="T264" s="13"/>
      <c r="U264" s="13"/>
      <c r="V264" s="13"/>
      <c r="W264" s="33"/>
      <c r="X264" s="33"/>
      <c r="Y264" s="33"/>
      <c r="Z264" s="33"/>
      <c r="AA264" s="33"/>
      <c r="AB264" s="33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</row>
    <row r="265" spans="2:83" s="30" customFormat="1">
      <c r="B265" s="32"/>
      <c r="C265" s="32"/>
      <c r="D265" s="32"/>
      <c r="E265" s="32"/>
      <c r="F265" s="32"/>
      <c r="G265" s="36"/>
      <c r="H265" s="32"/>
      <c r="I265" s="37"/>
      <c r="J265" s="32"/>
      <c r="K265" s="32"/>
      <c r="L265" s="32"/>
      <c r="M265" s="32"/>
      <c r="N265" s="33"/>
      <c r="O265" s="33"/>
      <c r="P265" s="33"/>
      <c r="Q265" s="13"/>
      <c r="R265" s="13"/>
      <c r="S265" s="13"/>
      <c r="T265" s="13"/>
      <c r="U265" s="13"/>
      <c r="V265" s="13"/>
      <c r="W265" s="33"/>
      <c r="X265" s="33"/>
      <c r="Y265" s="33"/>
      <c r="Z265" s="33"/>
      <c r="AA265" s="33"/>
      <c r="AB265" s="33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</row>
    <row r="266" spans="2:83" s="30" customFormat="1">
      <c r="B266" s="32"/>
      <c r="C266" s="32"/>
      <c r="D266" s="32"/>
      <c r="E266" s="32"/>
      <c r="F266" s="32"/>
      <c r="G266" s="36"/>
      <c r="H266" s="32"/>
      <c r="I266" s="37"/>
      <c r="J266" s="32"/>
      <c r="K266" s="32"/>
      <c r="L266" s="32"/>
      <c r="M266" s="32"/>
      <c r="N266" s="33"/>
      <c r="O266" s="33"/>
      <c r="P266" s="33"/>
      <c r="Q266" s="13"/>
      <c r="R266" s="13"/>
      <c r="S266" s="13"/>
      <c r="T266" s="13"/>
      <c r="U266" s="13"/>
      <c r="V266" s="13"/>
      <c r="W266" s="33"/>
      <c r="X266" s="33"/>
      <c r="Y266" s="33"/>
      <c r="Z266" s="33"/>
      <c r="AA266" s="33"/>
      <c r="AB266" s="33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</row>
    <row r="267" spans="2:83" s="30" customFormat="1">
      <c r="B267" s="32"/>
      <c r="C267" s="32"/>
      <c r="D267" s="32"/>
      <c r="E267" s="32"/>
      <c r="F267" s="32"/>
      <c r="G267" s="36"/>
      <c r="H267" s="32"/>
      <c r="I267" s="37"/>
      <c r="J267" s="32"/>
      <c r="K267" s="32"/>
      <c r="L267" s="32"/>
      <c r="M267" s="32"/>
      <c r="N267" s="33"/>
      <c r="O267" s="33"/>
      <c r="P267" s="33"/>
      <c r="Q267" s="13"/>
      <c r="R267" s="13"/>
      <c r="S267" s="13"/>
      <c r="T267" s="13"/>
      <c r="U267" s="13"/>
      <c r="V267" s="13"/>
      <c r="W267" s="33"/>
      <c r="X267" s="33"/>
      <c r="Y267" s="33"/>
      <c r="Z267" s="33"/>
      <c r="AA267" s="33"/>
      <c r="AB267" s="33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</row>
    <row r="268" spans="2:83" s="30" customFormat="1">
      <c r="B268" s="32"/>
      <c r="C268" s="32"/>
      <c r="D268" s="32"/>
      <c r="E268" s="32"/>
      <c r="F268" s="32"/>
      <c r="G268" s="36"/>
      <c r="H268" s="32"/>
      <c r="I268" s="37"/>
      <c r="J268" s="32"/>
      <c r="K268" s="32"/>
      <c r="L268" s="32"/>
      <c r="M268" s="32"/>
      <c r="N268" s="33"/>
      <c r="O268" s="33"/>
      <c r="P268" s="33"/>
      <c r="Q268" s="13"/>
      <c r="R268" s="13"/>
      <c r="S268" s="13"/>
      <c r="T268" s="13"/>
      <c r="U268" s="13"/>
      <c r="V268" s="13"/>
      <c r="W268" s="33"/>
      <c r="X268" s="33"/>
      <c r="Y268" s="33"/>
      <c r="Z268" s="33"/>
      <c r="AA268" s="33"/>
      <c r="AB268" s="33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</row>
    <row r="269" spans="2:83" s="30" customFormat="1">
      <c r="B269" s="32"/>
      <c r="C269" s="32"/>
      <c r="D269" s="32"/>
      <c r="E269" s="32"/>
      <c r="F269" s="32"/>
      <c r="G269" s="36"/>
      <c r="H269" s="32"/>
      <c r="I269" s="37"/>
      <c r="J269" s="32"/>
      <c r="K269" s="32"/>
      <c r="L269" s="32"/>
      <c r="M269" s="32"/>
      <c r="N269" s="33"/>
      <c r="O269" s="33"/>
      <c r="P269" s="33"/>
      <c r="Q269" s="13"/>
      <c r="R269" s="13"/>
      <c r="S269" s="13"/>
      <c r="T269" s="13"/>
      <c r="U269" s="13"/>
      <c r="V269" s="13"/>
      <c r="W269" s="33"/>
      <c r="X269" s="33"/>
      <c r="Y269" s="33"/>
      <c r="Z269" s="33"/>
      <c r="AA269" s="33"/>
      <c r="AB269" s="33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</row>
    <row r="270" spans="2:83" s="30" customFormat="1">
      <c r="B270" s="32"/>
      <c r="C270" s="32"/>
      <c r="D270" s="32"/>
      <c r="E270" s="32"/>
      <c r="F270" s="32"/>
      <c r="G270" s="36"/>
      <c r="H270" s="32"/>
      <c r="I270" s="37"/>
      <c r="J270" s="32"/>
      <c r="K270" s="32"/>
      <c r="L270" s="32"/>
      <c r="M270" s="32"/>
      <c r="N270" s="33"/>
      <c r="O270" s="33"/>
      <c r="P270" s="33"/>
      <c r="Q270" s="13"/>
      <c r="R270" s="13"/>
      <c r="S270" s="13"/>
      <c r="T270" s="13"/>
      <c r="U270" s="13"/>
      <c r="V270" s="13"/>
      <c r="W270" s="33"/>
      <c r="X270" s="33"/>
      <c r="Y270" s="33"/>
      <c r="Z270" s="33"/>
      <c r="AA270" s="33"/>
      <c r="AB270" s="33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</row>
    <row r="271" spans="2:83" s="30" customFormat="1">
      <c r="B271" s="32"/>
      <c r="C271" s="32"/>
      <c r="D271" s="32"/>
      <c r="E271" s="32"/>
      <c r="F271" s="32"/>
      <c r="G271" s="36"/>
      <c r="H271" s="32"/>
      <c r="I271" s="37"/>
      <c r="J271" s="32"/>
      <c r="K271" s="32"/>
      <c r="L271" s="32"/>
      <c r="M271" s="32"/>
      <c r="N271" s="33"/>
      <c r="O271" s="33"/>
      <c r="P271" s="33"/>
      <c r="Q271" s="13"/>
      <c r="R271" s="13"/>
      <c r="S271" s="13"/>
      <c r="T271" s="13"/>
      <c r="U271" s="13"/>
      <c r="V271" s="13"/>
      <c r="W271" s="33"/>
      <c r="X271" s="33"/>
      <c r="Y271" s="33"/>
      <c r="Z271" s="33"/>
      <c r="AA271" s="33"/>
      <c r="AB271" s="33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</row>
    <row r="272" spans="2:83" s="30" customFormat="1">
      <c r="B272" s="32"/>
      <c r="C272" s="32"/>
      <c r="D272" s="32"/>
      <c r="E272" s="32"/>
      <c r="F272" s="32"/>
      <c r="G272" s="36"/>
      <c r="H272" s="32"/>
      <c r="I272" s="37"/>
      <c r="J272" s="32"/>
      <c r="K272" s="32"/>
      <c r="L272" s="32"/>
      <c r="M272" s="32"/>
      <c r="N272" s="33"/>
      <c r="O272" s="33"/>
      <c r="P272" s="33"/>
      <c r="Q272" s="13"/>
      <c r="R272" s="13"/>
      <c r="S272" s="13"/>
      <c r="T272" s="13"/>
      <c r="U272" s="13"/>
      <c r="V272" s="13"/>
      <c r="W272" s="33"/>
      <c r="X272" s="33"/>
      <c r="Y272" s="33"/>
      <c r="Z272" s="33"/>
      <c r="AA272" s="33"/>
      <c r="AB272" s="33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</row>
    <row r="273" spans="2:83" s="30" customFormat="1">
      <c r="B273" s="32"/>
      <c r="C273" s="32"/>
      <c r="D273" s="32"/>
      <c r="E273" s="32"/>
      <c r="F273" s="32"/>
      <c r="G273" s="36"/>
      <c r="H273" s="32"/>
      <c r="I273" s="37"/>
      <c r="J273" s="32"/>
      <c r="K273" s="32"/>
      <c r="L273" s="32"/>
      <c r="M273" s="32"/>
      <c r="N273" s="33"/>
      <c r="O273" s="33"/>
      <c r="P273" s="33"/>
      <c r="Q273" s="13"/>
      <c r="R273" s="13"/>
      <c r="S273" s="13"/>
      <c r="T273" s="13"/>
      <c r="U273" s="13"/>
      <c r="V273" s="13"/>
      <c r="W273" s="33"/>
      <c r="X273" s="33"/>
      <c r="Y273" s="33"/>
      <c r="Z273" s="33"/>
      <c r="AA273" s="33"/>
      <c r="AB273" s="33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</row>
    <row r="274" spans="2:83" s="30" customFormat="1">
      <c r="B274" s="32"/>
      <c r="C274" s="32"/>
      <c r="D274" s="32"/>
      <c r="E274" s="32"/>
      <c r="F274" s="32"/>
      <c r="G274" s="36"/>
      <c r="H274" s="32"/>
      <c r="I274" s="37"/>
      <c r="J274" s="32"/>
      <c r="K274" s="32"/>
      <c r="L274" s="32"/>
      <c r="M274" s="32"/>
      <c r="N274" s="33"/>
      <c r="O274" s="33"/>
      <c r="P274" s="33"/>
      <c r="Q274" s="13"/>
      <c r="R274" s="13"/>
      <c r="S274" s="13"/>
      <c r="T274" s="13"/>
      <c r="U274" s="13"/>
      <c r="V274" s="13"/>
      <c r="W274" s="33"/>
      <c r="X274" s="33"/>
      <c r="Y274" s="33"/>
      <c r="Z274" s="33"/>
      <c r="AA274" s="33"/>
      <c r="AB274" s="33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</row>
    <row r="275" spans="2:83" s="30" customFormat="1">
      <c r="B275" s="32"/>
      <c r="C275" s="32"/>
      <c r="D275" s="32"/>
      <c r="E275" s="32"/>
      <c r="F275" s="32"/>
      <c r="G275" s="36"/>
      <c r="H275" s="32"/>
      <c r="I275" s="37"/>
      <c r="J275" s="32"/>
      <c r="K275" s="32"/>
      <c r="L275" s="32"/>
      <c r="M275" s="32"/>
      <c r="N275" s="33"/>
      <c r="O275" s="33"/>
      <c r="P275" s="33"/>
      <c r="Q275" s="13"/>
      <c r="R275" s="13"/>
      <c r="S275" s="13"/>
      <c r="T275" s="13"/>
      <c r="U275" s="13"/>
      <c r="V275" s="13"/>
      <c r="W275" s="33"/>
      <c r="X275" s="33"/>
      <c r="Y275" s="33"/>
      <c r="Z275" s="33"/>
      <c r="AA275" s="33"/>
      <c r="AB275" s="33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</row>
    <row r="276" spans="2:83" s="30" customFormat="1">
      <c r="B276" s="32"/>
      <c r="C276" s="32"/>
      <c r="D276" s="32"/>
      <c r="E276" s="32"/>
      <c r="F276" s="32"/>
      <c r="G276" s="36"/>
      <c r="H276" s="32"/>
      <c r="I276" s="37"/>
      <c r="J276" s="32"/>
      <c r="K276" s="32"/>
      <c r="L276" s="32"/>
      <c r="M276" s="32"/>
      <c r="N276" s="33"/>
      <c r="O276" s="33"/>
      <c r="P276" s="33"/>
      <c r="Q276" s="13"/>
      <c r="R276" s="13"/>
      <c r="S276" s="13"/>
      <c r="T276" s="13"/>
      <c r="U276" s="13"/>
      <c r="V276" s="13"/>
      <c r="W276" s="33"/>
      <c r="X276" s="33"/>
      <c r="Y276" s="33"/>
      <c r="Z276" s="33"/>
      <c r="AA276" s="33"/>
      <c r="AB276" s="33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</row>
    <row r="277" spans="2:83" s="30" customFormat="1">
      <c r="B277" s="32"/>
      <c r="C277" s="32"/>
      <c r="D277" s="32"/>
      <c r="E277" s="32"/>
      <c r="F277" s="32"/>
      <c r="G277" s="36"/>
      <c r="H277" s="32"/>
      <c r="I277" s="37"/>
      <c r="J277" s="32"/>
      <c r="K277" s="32"/>
      <c r="L277" s="32"/>
      <c r="M277" s="32"/>
      <c r="N277" s="33"/>
      <c r="O277" s="33"/>
      <c r="P277" s="33"/>
      <c r="Q277" s="13"/>
      <c r="R277" s="13"/>
      <c r="S277" s="13"/>
      <c r="T277" s="13"/>
      <c r="U277" s="13"/>
      <c r="V277" s="13"/>
      <c r="W277" s="33"/>
      <c r="X277" s="33"/>
      <c r="Y277" s="33"/>
      <c r="Z277" s="33"/>
      <c r="AA277" s="33"/>
      <c r="AB277" s="33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</row>
    <row r="278" spans="2:83" s="30" customFormat="1">
      <c r="B278" s="32"/>
      <c r="C278" s="32"/>
      <c r="D278" s="32"/>
      <c r="E278" s="32"/>
      <c r="F278" s="32"/>
      <c r="G278" s="36"/>
      <c r="H278" s="32"/>
      <c r="I278" s="37"/>
      <c r="J278" s="32"/>
      <c r="K278" s="32"/>
      <c r="L278" s="32"/>
      <c r="M278" s="32"/>
      <c r="N278" s="33"/>
      <c r="O278" s="33"/>
      <c r="P278" s="33"/>
      <c r="Q278" s="13"/>
      <c r="R278" s="13"/>
      <c r="S278" s="13"/>
      <c r="T278" s="13"/>
      <c r="U278" s="13"/>
      <c r="V278" s="13"/>
      <c r="W278" s="33"/>
      <c r="X278" s="33"/>
      <c r="Y278" s="33"/>
      <c r="Z278" s="33"/>
      <c r="AA278" s="33"/>
      <c r="AB278" s="33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</row>
    <row r="279" spans="2:83" s="30" customFormat="1">
      <c r="B279" s="32"/>
      <c r="C279" s="32"/>
      <c r="D279" s="32"/>
      <c r="E279" s="32"/>
      <c r="F279" s="32"/>
      <c r="G279" s="36"/>
      <c r="H279" s="32"/>
      <c r="I279" s="37"/>
      <c r="J279" s="32"/>
      <c r="K279" s="32"/>
      <c r="L279" s="32"/>
      <c r="M279" s="32"/>
      <c r="N279" s="33"/>
      <c r="O279" s="33"/>
      <c r="P279" s="33"/>
      <c r="Q279" s="13"/>
      <c r="R279" s="13"/>
      <c r="S279" s="13"/>
      <c r="T279" s="13"/>
      <c r="U279" s="13"/>
      <c r="V279" s="13"/>
      <c r="W279" s="33"/>
      <c r="X279" s="33"/>
      <c r="Y279" s="33"/>
      <c r="Z279" s="33"/>
      <c r="AA279" s="33"/>
      <c r="AB279" s="33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</row>
    <row r="280" spans="2:83" s="30" customFormat="1">
      <c r="B280" s="32"/>
      <c r="C280" s="32"/>
      <c r="D280" s="32"/>
      <c r="E280" s="32"/>
      <c r="F280" s="32"/>
      <c r="G280" s="36"/>
      <c r="H280" s="32"/>
      <c r="I280" s="37"/>
      <c r="J280" s="32"/>
      <c r="K280" s="32"/>
      <c r="L280" s="32"/>
      <c r="M280" s="32"/>
      <c r="N280" s="33"/>
      <c r="O280" s="33"/>
      <c r="P280" s="33"/>
      <c r="Q280" s="13"/>
      <c r="R280" s="13"/>
      <c r="S280" s="13"/>
      <c r="T280" s="13"/>
      <c r="U280" s="13"/>
      <c r="V280" s="13"/>
      <c r="W280" s="33"/>
      <c r="X280" s="33"/>
      <c r="Y280" s="33"/>
      <c r="Z280" s="33"/>
      <c r="AA280" s="33"/>
      <c r="AB280" s="33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</row>
    <row r="281" spans="2:83" s="30" customFormat="1">
      <c r="B281" s="32"/>
      <c r="C281" s="32"/>
      <c r="D281" s="32"/>
      <c r="E281" s="32"/>
      <c r="F281" s="32"/>
      <c r="G281" s="36"/>
      <c r="H281" s="32"/>
      <c r="I281" s="37"/>
      <c r="J281" s="32"/>
      <c r="K281" s="32"/>
      <c r="L281" s="32"/>
      <c r="M281" s="32"/>
      <c r="N281" s="33"/>
      <c r="O281" s="33"/>
      <c r="P281" s="33"/>
      <c r="Q281" s="13"/>
      <c r="R281" s="13"/>
      <c r="S281" s="13"/>
      <c r="T281" s="13"/>
      <c r="U281" s="13"/>
      <c r="V281" s="13"/>
      <c r="W281" s="33"/>
      <c r="X281" s="33"/>
      <c r="Y281" s="33"/>
      <c r="Z281" s="33"/>
      <c r="AA281" s="33"/>
      <c r="AB281" s="33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</row>
    <row r="282" spans="2:83" s="30" customFormat="1">
      <c r="B282" s="32"/>
      <c r="C282" s="32"/>
      <c r="D282" s="32"/>
      <c r="E282" s="32"/>
      <c r="F282" s="32"/>
      <c r="G282" s="36"/>
      <c r="H282" s="32"/>
      <c r="I282" s="37"/>
      <c r="J282" s="32"/>
      <c r="K282" s="32"/>
      <c r="L282" s="32"/>
      <c r="M282" s="32"/>
      <c r="N282" s="33"/>
      <c r="O282" s="33"/>
      <c r="P282" s="33"/>
      <c r="Q282" s="13"/>
      <c r="R282" s="13"/>
      <c r="S282" s="13"/>
      <c r="T282" s="13"/>
      <c r="U282" s="13"/>
      <c r="V282" s="13"/>
      <c r="W282" s="33"/>
      <c r="X282" s="33"/>
      <c r="Y282" s="33"/>
      <c r="Z282" s="33"/>
      <c r="AA282" s="33"/>
      <c r="AB282" s="33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</row>
    <row r="283" spans="2:83" s="30" customFormat="1">
      <c r="B283" s="32"/>
      <c r="C283" s="32"/>
      <c r="D283" s="32"/>
      <c r="E283" s="32"/>
      <c r="F283" s="32"/>
      <c r="G283" s="36"/>
      <c r="H283" s="32"/>
      <c r="I283" s="37"/>
      <c r="J283" s="32"/>
      <c r="K283" s="32"/>
      <c r="L283" s="32"/>
      <c r="M283" s="32"/>
      <c r="N283" s="33"/>
      <c r="O283" s="33"/>
      <c r="P283" s="33"/>
      <c r="Q283" s="13"/>
      <c r="R283" s="13"/>
      <c r="S283" s="13"/>
      <c r="T283" s="13"/>
      <c r="U283" s="13"/>
      <c r="V283" s="13"/>
      <c r="W283" s="33"/>
      <c r="X283" s="33"/>
      <c r="Y283" s="33"/>
      <c r="Z283" s="33"/>
      <c r="AA283" s="33"/>
      <c r="AB283" s="33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</row>
    <row r="284" spans="2:83" s="30" customFormat="1">
      <c r="B284" s="32"/>
      <c r="C284" s="32"/>
      <c r="D284" s="32"/>
      <c r="E284" s="32"/>
      <c r="F284" s="32"/>
      <c r="G284" s="36"/>
      <c r="H284" s="32"/>
      <c r="I284" s="37"/>
      <c r="J284" s="32"/>
      <c r="K284" s="32"/>
      <c r="L284" s="32"/>
      <c r="M284" s="32"/>
      <c r="N284" s="33"/>
      <c r="O284" s="33"/>
      <c r="P284" s="33"/>
      <c r="Q284" s="13"/>
      <c r="R284" s="13"/>
      <c r="S284" s="13"/>
      <c r="T284" s="13"/>
      <c r="U284" s="13"/>
      <c r="V284" s="13"/>
      <c r="W284" s="33"/>
      <c r="X284" s="33"/>
      <c r="Y284" s="33"/>
      <c r="Z284" s="33"/>
      <c r="AA284" s="33"/>
      <c r="AB284" s="33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</row>
    <row r="285" spans="2:83" s="30" customFormat="1">
      <c r="B285" s="32"/>
      <c r="C285" s="32"/>
      <c r="D285" s="32"/>
      <c r="E285" s="32"/>
      <c r="F285" s="32"/>
      <c r="G285" s="36"/>
      <c r="H285" s="32"/>
      <c r="I285" s="37"/>
      <c r="J285" s="32"/>
      <c r="K285" s="32"/>
      <c r="L285" s="32"/>
      <c r="M285" s="32"/>
      <c r="N285" s="33"/>
      <c r="O285" s="33"/>
      <c r="P285" s="33"/>
      <c r="Q285" s="13"/>
      <c r="R285" s="13"/>
      <c r="S285" s="13"/>
      <c r="T285" s="13"/>
      <c r="U285" s="13"/>
      <c r="V285" s="13"/>
      <c r="W285" s="33"/>
      <c r="X285" s="33"/>
      <c r="Y285" s="33"/>
      <c r="Z285" s="33"/>
      <c r="AA285" s="33"/>
      <c r="AB285" s="33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</row>
    <row r="286" spans="2:83" s="30" customFormat="1">
      <c r="B286" s="32"/>
      <c r="C286" s="32"/>
      <c r="D286" s="32"/>
      <c r="E286" s="32"/>
      <c r="F286" s="32"/>
      <c r="G286" s="36"/>
      <c r="H286" s="32"/>
      <c r="I286" s="37"/>
      <c r="J286" s="32"/>
      <c r="K286" s="32"/>
      <c r="L286" s="32"/>
      <c r="M286" s="32"/>
      <c r="N286" s="33"/>
      <c r="O286" s="33"/>
      <c r="P286" s="33"/>
      <c r="Q286" s="13"/>
      <c r="R286" s="13"/>
      <c r="S286" s="13"/>
      <c r="T286" s="13"/>
      <c r="U286" s="13"/>
      <c r="V286" s="13"/>
      <c r="W286" s="33"/>
      <c r="X286" s="33"/>
      <c r="Y286" s="33"/>
      <c r="Z286" s="33"/>
      <c r="AA286" s="33"/>
      <c r="AB286" s="33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</row>
    <row r="287" spans="2:83" s="30" customFormat="1">
      <c r="B287" s="32"/>
      <c r="C287" s="32"/>
      <c r="D287" s="32"/>
      <c r="E287" s="32"/>
      <c r="F287" s="32"/>
      <c r="G287" s="36"/>
      <c r="H287" s="32"/>
      <c r="I287" s="37"/>
      <c r="J287" s="32"/>
      <c r="K287" s="32"/>
      <c r="L287" s="32"/>
      <c r="M287" s="32"/>
      <c r="N287" s="33"/>
      <c r="O287" s="33"/>
      <c r="P287" s="33"/>
      <c r="Q287" s="13"/>
      <c r="R287" s="13"/>
      <c r="S287" s="13"/>
      <c r="T287" s="13"/>
      <c r="U287" s="13"/>
      <c r="V287" s="13"/>
      <c r="W287" s="33"/>
      <c r="X287" s="33"/>
      <c r="Y287" s="33"/>
      <c r="Z287" s="33"/>
      <c r="AA287" s="33"/>
      <c r="AB287" s="33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</row>
    <row r="288" spans="2:83" s="30" customFormat="1">
      <c r="B288" s="32"/>
      <c r="C288" s="32"/>
      <c r="D288" s="32"/>
      <c r="E288" s="32"/>
      <c r="F288" s="32"/>
      <c r="G288" s="36"/>
      <c r="H288" s="32"/>
      <c r="I288" s="37"/>
      <c r="J288" s="32"/>
      <c r="K288" s="32"/>
      <c r="L288" s="32"/>
      <c r="M288" s="32"/>
      <c r="N288" s="33"/>
      <c r="O288" s="33"/>
      <c r="P288" s="33"/>
      <c r="Q288" s="13"/>
      <c r="R288" s="13"/>
      <c r="S288" s="13"/>
      <c r="T288" s="13"/>
      <c r="U288" s="13"/>
      <c r="V288" s="13"/>
      <c r="W288" s="33"/>
      <c r="X288" s="33"/>
      <c r="Y288" s="33"/>
      <c r="Z288" s="33"/>
      <c r="AA288" s="33"/>
      <c r="AB288" s="33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</row>
    <row r="289" spans="2:83" s="30" customFormat="1">
      <c r="B289" s="32"/>
      <c r="C289" s="32"/>
      <c r="D289" s="32"/>
      <c r="E289" s="32"/>
      <c r="F289" s="32"/>
      <c r="G289" s="36"/>
      <c r="H289" s="32"/>
      <c r="I289" s="37"/>
      <c r="J289" s="32"/>
      <c r="K289" s="32"/>
      <c r="L289" s="32"/>
      <c r="M289" s="32"/>
      <c r="N289" s="33"/>
      <c r="O289" s="33"/>
      <c r="P289" s="33"/>
      <c r="Q289" s="13"/>
      <c r="R289" s="13"/>
      <c r="S289" s="13"/>
      <c r="T289" s="13"/>
      <c r="U289" s="13"/>
      <c r="V289" s="13"/>
      <c r="W289" s="33"/>
      <c r="X289" s="33"/>
      <c r="Y289" s="33"/>
      <c r="Z289" s="33"/>
      <c r="AA289" s="33"/>
      <c r="AB289" s="33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</row>
    <row r="290" spans="2:83" s="30" customFormat="1">
      <c r="B290" s="32"/>
      <c r="C290" s="32"/>
      <c r="D290" s="32"/>
      <c r="E290" s="32"/>
      <c r="F290" s="32"/>
      <c r="G290" s="36"/>
      <c r="H290" s="32"/>
      <c r="I290" s="37"/>
      <c r="J290" s="32"/>
      <c r="K290" s="32"/>
      <c r="L290" s="32"/>
      <c r="M290" s="32"/>
      <c r="N290" s="33"/>
      <c r="O290" s="33"/>
      <c r="P290" s="33"/>
      <c r="Q290" s="13"/>
      <c r="R290" s="13"/>
      <c r="S290" s="13"/>
      <c r="T290" s="13"/>
      <c r="U290" s="13"/>
      <c r="V290" s="13"/>
      <c r="W290" s="33"/>
      <c r="X290" s="33"/>
      <c r="Y290" s="33"/>
      <c r="Z290" s="33"/>
      <c r="AA290" s="33"/>
      <c r="AB290" s="33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</row>
    <row r="291" spans="2:83" s="30" customFormat="1">
      <c r="B291" s="32"/>
      <c r="C291" s="32"/>
      <c r="D291" s="32"/>
      <c r="E291" s="32"/>
      <c r="F291" s="32"/>
      <c r="G291" s="36"/>
      <c r="H291" s="32"/>
      <c r="I291" s="37"/>
      <c r="J291" s="32"/>
      <c r="K291" s="32"/>
      <c r="L291" s="32"/>
      <c r="M291" s="32"/>
      <c r="N291" s="33"/>
      <c r="O291" s="33"/>
      <c r="P291" s="33"/>
      <c r="Q291" s="13"/>
      <c r="R291" s="13"/>
      <c r="S291" s="13"/>
      <c r="T291" s="13"/>
      <c r="U291" s="13"/>
      <c r="V291" s="13"/>
      <c r="W291" s="33"/>
      <c r="X291" s="33"/>
      <c r="Y291" s="33"/>
      <c r="Z291" s="33"/>
      <c r="AA291" s="33"/>
      <c r="AB291" s="33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</row>
    <row r="292" spans="2:83" s="30" customFormat="1">
      <c r="B292" s="32"/>
      <c r="C292" s="32"/>
      <c r="D292" s="32"/>
      <c r="E292" s="32"/>
      <c r="F292" s="32"/>
      <c r="G292" s="36"/>
      <c r="H292" s="32"/>
      <c r="I292" s="37"/>
      <c r="J292" s="32"/>
      <c r="K292" s="32"/>
      <c r="L292" s="32"/>
      <c r="M292" s="32"/>
      <c r="N292" s="33"/>
      <c r="O292" s="33"/>
      <c r="P292" s="33"/>
      <c r="Q292" s="13"/>
      <c r="R292" s="13"/>
      <c r="S292" s="13"/>
      <c r="T292" s="13"/>
      <c r="U292" s="13"/>
      <c r="V292" s="13"/>
      <c r="W292" s="33"/>
      <c r="X292" s="33"/>
      <c r="Y292" s="33"/>
      <c r="Z292" s="33"/>
      <c r="AA292" s="33"/>
      <c r="AB292" s="33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</row>
    <row r="293" spans="2:83" s="30" customFormat="1">
      <c r="B293" s="32"/>
      <c r="C293" s="32"/>
      <c r="D293" s="32"/>
      <c r="E293" s="32"/>
      <c r="F293" s="32"/>
      <c r="G293" s="36"/>
      <c r="H293" s="32"/>
      <c r="I293" s="37"/>
      <c r="J293" s="32"/>
      <c r="K293" s="32"/>
      <c r="L293" s="32"/>
      <c r="M293" s="32"/>
      <c r="N293" s="33"/>
      <c r="O293" s="33"/>
      <c r="P293" s="33"/>
      <c r="Q293" s="13"/>
      <c r="R293" s="13"/>
      <c r="S293" s="13"/>
      <c r="T293" s="13"/>
      <c r="U293" s="13"/>
      <c r="V293" s="13"/>
      <c r="W293" s="33"/>
      <c r="X293" s="33"/>
      <c r="Y293" s="33"/>
      <c r="Z293" s="33"/>
      <c r="AA293" s="33"/>
      <c r="AB293" s="33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</row>
    <row r="294" spans="2:83" s="30" customFormat="1">
      <c r="B294" s="32"/>
      <c r="C294" s="32"/>
      <c r="D294" s="32"/>
      <c r="E294" s="32"/>
      <c r="F294" s="32"/>
      <c r="G294" s="36"/>
      <c r="H294" s="32"/>
      <c r="I294" s="37"/>
      <c r="J294" s="32"/>
      <c r="K294" s="32"/>
      <c r="L294" s="32"/>
      <c r="M294" s="32"/>
      <c r="N294" s="33"/>
      <c r="O294" s="33"/>
      <c r="P294" s="33"/>
      <c r="Q294" s="13"/>
      <c r="R294" s="13"/>
      <c r="S294" s="13"/>
      <c r="T294" s="13"/>
      <c r="U294" s="13"/>
      <c r="V294" s="13"/>
      <c r="W294" s="33"/>
      <c r="X294" s="33"/>
      <c r="Y294" s="33"/>
      <c r="Z294" s="33"/>
      <c r="AA294" s="33"/>
      <c r="AB294" s="33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</row>
    <row r="295" spans="2:83" s="30" customFormat="1">
      <c r="B295" s="32"/>
      <c r="C295" s="32"/>
      <c r="D295" s="32"/>
      <c r="E295" s="32"/>
      <c r="F295" s="32"/>
      <c r="G295" s="36"/>
      <c r="H295" s="32"/>
      <c r="I295" s="37"/>
      <c r="J295" s="32"/>
      <c r="K295" s="32"/>
      <c r="L295" s="32"/>
      <c r="M295" s="32"/>
      <c r="N295" s="33"/>
      <c r="O295" s="33"/>
      <c r="P295" s="33"/>
      <c r="Q295" s="13"/>
      <c r="R295" s="13"/>
      <c r="S295" s="13"/>
      <c r="T295" s="13"/>
      <c r="U295" s="13"/>
      <c r="V295" s="13"/>
      <c r="W295" s="33"/>
      <c r="X295" s="33"/>
      <c r="Y295" s="33"/>
      <c r="Z295" s="33"/>
      <c r="AA295" s="33"/>
      <c r="AB295" s="33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</row>
    <row r="296" spans="2:83" s="30" customFormat="1">
      <c r="B296" s="32"/>
      <c r="C296" s="32"/>
      <c r="D296" s="32"/>
      <c r="E296" s="32"/>
      <c r="F296" s="32"/>
      <c r="G296" s="36"/>
      <c r="H296" s="32"/>
      <c r="I296" s="37"/>
      <c r="J296" s="32"/>
      <c r="K296" s="32"/>
      <c r="L296" s="32"/>
      <c r="M296" s="32"/>
      <c r="N296" s="33"/>
      <c r="O296" s="33"/>
      <c r="P296" s="33"/>
      <c r="Q296" s="13"/>
      <c r="R296" s="13"/>
      <c r="S296" s="13"/>
      <c r="T296" s="13"/>
      <c r="U296" s="13"/>
      <c r="V296" s="13"/>
      <c r="W296" s="33"/>
      <c r="X296" s="33"/>
      <c r="Y296" s="33"/>
      <c r="Z296" s="33"/>
      <c r="AA296" s="33"/>
      <c r="AB296" s="33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</row>
    <row r="297" spans="2:83" s="30" customFormat="1">
      <c r="B297" s="32"/>
      <c r="C297" s="32"/>
      <c r="D297" s="32"/>
      <c r="E297" s="32"/>
      <c r="F297" s="32"/>
      <c r="G297" s="36"/>
      <c r="H297" s="32"/>
      <c r="I297" s="37"/>
      <c r="J297" s="32"/>
      <c r="K297" s="32"/>
      <c r="L297" s="32"/>
      <c r="M297" s="32"/>
      <c r="N297" s="33"/>
      <c r="O297" s="33"/>
      <c r="P297" s="33"/>
      <c r="Q297" s="13"/>
      <c r="R297" s="13"/>
      <c r="S297" s="13"/>
      <c r="T297" s="13"/>
      <c r="U297" s="13"/>
      <c r="V297" s="13"/>
      <c r="W297" s="33"/>
      <c r="X297" s="33"/>
      <c r="Y297" s="33"/>
      <c r="Z297" s="33"/>
      <c r="AA297" s="33"/>
      <c r="AB297" s="33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</row>
    <row r="298" spans="2:83" s="30" customFormat="1">
      <c r="B298" s="32"/>
      <c r="C298" s="32"/>
      <c r="D298" s="32"/>
      <c r="E298" s="32"/>
      <c r="F298" s="32"/>
      <c r="G298" s="36"/>
      <c r="H298" s="32"/>
      <c r="I298" s="37"/>
      <c r="J298" s="32"/>
      <c r="K298" s="32"/>
      <c r="L298" s="32"/>
      <c r="M298" s="32"/>
      <c r="N298" s="33"/>
      <c r="O298" s="33"/>
      <c r="P298" s="33"/>
      <c r="Q298" s="13"/>
      <c r="R298" s="13"/>
      <c r="S298" s="13"/>
      <c r="T298" s="13"/>
      <c r="U298" s="13"/>
      <c r="V298" s="13"/>
      <c r="W298" s="33"/>
      <c r="X298" s="33"/>
      <c r="Y298" s="33"/>
      <c r="Z298" s="33"/>
      <c r="AA298" s="33"/>
      <c r="AB298" s="33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</row>
    <row r="299" spans="2:83" s="30" customFormat="1">
      <c r="B299" s="32"/>
      <c r="C299" s="32"/>
      <c r="D299" s="32"/>
      <c r="E299" s="32"/>
      <c r="F299" s="32"/>
      <c r="G299" s="36"/>
      <c r="H299" s="32"/>
      <c r="I299" s="37"/>
      <c r="J299" s="32"/>
      <c r="K299" s="32"/>
      <c r="L299" s="32"/>
      <c r="M299" s="32"/>
      <c r="N299" s="33"/>
      <c r="O299" s="33"/>
      <c r="P299" s="33"/>
      <c r="Q299" s="13"/>
      <c r="R299" s="13"/>
      <c r="S299" s="13"/>
      <c r="T299" s="13"/>
      <c r="U299" s="13"/>
      <c r="V299" s="13"/>
      <c r="W299" s="33"/>
      <c r="X299" s="33"/>
      <c r="Y299" s="33"/>
      <c r="Z299" s="33"/>
      <c r="AA299" s="33"/>
      <c r="AB299" s="33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</row>
    <row r="300" spans="2:83" s="30" customFormat="1">
      <c r="B300" s="32"/>
      <c r="C300" s="32"/>
      <c r="D300" s="32"/>
      <c r="E300" s="32"/>
      <c r="F300" s="32"/>
      <c r="G300" s="36"/>
      <c r="H300" s="32"/>
      <c r="I300" s="37"/>
      <c r="J300" s="32"/>
      <c r="K300" s="32"/>
      <c r="L300" s="32"/>
      <c r="M300" s="32"/>
      <c r="N300" s="33"/>
      <c r="O300" s="33"/>
      <c r="P300" s="33"/>
      <c r="Q300" s="13"/>
      <c r="R300" s="13"/>
      <c r="S300" s="13"/>
      <c r="T300" s="13"/>
      <c r="U300" s="13"/>
      <c r="V300" s="13"/>
      <c r="W300" s="33"/>
      <c r="X300" s="33"/>
      <c r="Y300" s="33"/>
      <c r="Z300" s="33"/>
      <c r="AA300" s="33"/>
      <c r="AB300" s="33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</row>
    <row r="301" spans="2:83" s="30" customFormat="1">
      <c r="B301" s="32"/>
      <c r="C301" s="32"/>
      <c r="D301" s="32"/>
      <c r="E301" s="32"/>
      <c r="F301" s="32"/>
      <c r="G301" s="36"/>
      <c r="H301" s="32"/>
      <c r="I301" s="37"/>
      <c r="J301" s="32"/>
      <c r="K301" s="32"/>
      <c r="L301" s="32"/>
      <c r="M301" s="32"/>
      <c r="N301" s="33"/>
      <c r="O301" s="33"/>
      <c r="P301" s="33"/>
      <c r="Q301" s="13"/>
      <c r="R301" s="13"/>
      <c r="S301" s="13"/>
      <c r="T301" s="13"/>
      <c r="U301" s="13"/>
      <c r="V301" s="13"/>
      <c r="W301" s="33"/>
      <c r="X301" s="33"/>
      <c r="Y301" s="33"/>
      <c r="Z301" s="33"/>
      <c r="AA301" s="33"/>
      <c r="AB301" s="33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</row>
    <row r="302" spans="2:83" s="30" customFormat="1">
      <c r="B302" s="32"/>
      <c r="C302" s="32"/>
      <c r="D302" s="32"/>
      <c r="E302" s="32"/>
      <c r="F302" s="32"/>
      <c r="G302" s="36"/>
      <c r="H302" s="32"/>
      <c r="I302" s="37"/>
      <c r="J302" s="32"/>
      <c r="K302" s="32"/>
      <c r="L302" s="32"/>
      <c r="M302" s="32"/>
      <c r="N302" s="33"/>
      <c r="O302" s="33"/>
      <c r="P302" s="33"/>
      <c r="Q302" s="13"/>
      <c r="R302" s="13"/>
      <c r="S302" s="13"/>
      <c r="T302" s="13"/>
      <c r="U302" s="13"/>
      <c r="V302" s="13"/>
      <c r="W302" s="33"/>
      <c r="X302" s="33"/>
      <c r="Y302" s="33"/>
      <c r="Z302" s="33"/>
      <c r="AA302" s="33"/>
      <c r="AB302" s="33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</row>
    <row r="303" spans="2:83" s="30" customFormat="1">
      <c r="B303" s="32"/>
      <c r="C303" s="32"/>
      <c r="D303" s="32"/>
      <c r="E303" s="32"/>
      <c r="F303" s="32"/>
      <c r="G303" s="36"/>
      <c r="H303" s="32"/>
      <c r="I303" s="37"/>
      <c r="J303" s="32"/>
      <c r="K303" s="32"/>
      <c r="L303" s="32"/>
      <c r="M303" s="32"/>
      <c r="N303" s="33"/>
      <c r="O303" s="33"/>
      <c r="P303" s="33"/>
      <c r="Q303" s="13"/>
      <c r="R303" s="13"/>
      <c r="S303" s="13"/>
      <c r="T303" s="13"/>
      <c r="U303" s="13"/>
      <c r="V303" s="13"/>
      <c r="W303" s="33"/>
      <c r="X303" s="33"/>
      <c r="Y303" s="33"/>
      <c r="Z303" s="33"/>
      <c r="AA303" s="33"/>
      <c r="AB303" s="33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</row>
    <row r="304" spans="2:83" s="30" customFormat="1">
      <c r="B304" s="32"/>
      <c r="C304" s="32"/>
      <c r="D304" s="32"/>
      <c r="E304" s="32"/>
      <c r="F304" s="32"/>
      <c r="G304" s="36"/>
      <c r="H304" s="32"/>
      <c r="I304" s="37"/>
      <c r="J304" s="32"/>
      <c r="K304" s="32"/>
      <c r="L304" s="32"/>
      <c r="M304" s="32"/>
      <c r="N304" s="33"/>
      <c r="O304" s="33"/>
      <c r="P304" s="33"/>
      <c r="Q304" s="13"/>
      <c r="R304" s="13"/>
      <c r="S304" s="13"/>
      <c r="T304" s="13"/>
      <c r="U304" s="13"/>
      <c r="V304" s="13"/>
      <c r="W304" s="33"/>
      <c r="X304" s="33"/>
      <c r="Y304" s="33"/>
      <c r="Z304" s="33"/>
      <c r="AA304" s="33"/>
      <c r="AB304" s="33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</row>
    <row r="305" spans="2:83" s="30" customFormat="1">
      <c r="B305" s="32"/>
      <c r="C305" s="32"/>
      <c r="D305" s="32"/>
      <c r="E305" s="32"/>
      <c r="F305" s="32"/>
      <c r="G305" s="36"/>
      <c r="H305" s="32"/>
      <c r="I305" s="37"/>
      <c r="J305" s="32"/>
      <c r="K305" s="32"/>
      <c r="L305" s="32"/>
      <c r="M305" s="32"/>
      <c r="N305" s="33"/>
      <c r="O305" s="33"/>
      <c r="P305" s="33"/>
      <c r="Q305" s="13"/>
      <c r="R305" s="13"/>
      <c r="S305" s="13"/>
      <c r="T305" s="13"/>
      <c r="U305" s="13"/>
      <c r="V305" s="13"/>
      <c r="W305" s="33"/>
      <c r="X305" s="33"/>
      <c r="Y305" s="33"/>
      <c r="Z305" s="33"/>
      <c r="AA305" s="33"/>
      <c r="AB305" s="33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</row>
    <row r="306" spans="2:83" s="30" customFormat="1">
      <c r="B306" s="32"/>
      <c r="C306" s="32"/>
      <c r="D306" s="32"/>
      <c r="E306" s="32"/>
      <c r="F306" s="32"/>
      <c r="G306" s="36"/>
      <c r="H306" s="32"/>
      <c r="I306" s="37"/>
      <c r="J306" s="32"/>
      <c r="K306" s="32"/>
      <c r="L306" s="32"/>
      <c r="M306" s="32"/>
      <c r="N306" s="33"/>
      <c r="O306" s="33"/>
      <c r="P306" s="33"/>
      <c r="Q306" s="13"/>
      <c r="R306" s="13"/>
      <c r="S306" s="13"/>
      <c r="T306" s="13"/>
      <c r="U306" s="13"/>
      <c r="V306" s="13"/>
      <c r="W306" s="33"/>
      <c r="X306" s="33"/>
      <c r="Y306" s="33"/>
      <c r="Z306" s="33"/>
      <c r="AA306" s="33"/>
      <c r="AB306" s="33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</row>
    <row r="307" spans="2:83" s="30" customFormat="1">
      <c r="B307" s="32"/>
      <c r="C307" s="32"/>
      <c r="D307" s="32"/>
      <c r="E307" s="32"/>
      <c r="F307" s="32"/>
      <c r="G307" s="36"/>
      <c r="H307" s="32"/>
      <c r="I307" s="37"/>
      <c r="J307" s="32"/>
      <c r="K307" s="32"/>
      <c r="L307" s="32"/>
      <c r="M307" s="32"/>
      <c r="N307" s="33"/>
      <c r="O307" s="33"/>
      <c r="P307" s="33"/>
      <c r="Q307" s="13"/>
      <c r="R307" s="13"/>
      <c r="S307" s="13"/>
      <c r="T307" s="13"/>
      <c r="U307" s="13"/>
      <c r="V307" s="13"/>
      <c r="W307" s="33"/>
      <c r="X307" s="33"/>
      <c r="Y307" s="33"/>
      <c r="Z307" s="33"/>
      <c r="AA307" s="33"/>
      <c r="AB307" s="33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</row>
    <row r="308" spans="2:83" s="30" customFormat="1">
      <c r="B308" s="32"/>
      <c r="C308" s="32"/>
      <c r="D308" s="32"/>
      <c r="E308" s="32"/>
      <c r="F308" s="32"/>
      <c r="G308" s="36"/>
      <c r="H308" s="32"/>
      <c r="I308" s="37"/>
      <c r="J308" s="32"/>
      <c r="K308" s="32"/>
      <c r="L308" s="32"/>
      <c r="M308" s="32"/>
      <c r="N308" s="33"/>
      <c r="O308" s="33"/>
      <c r="P308" s="33"/>
      <c r="Q308" s="13"/>
      <c r="R308" s="13"/>
      <c r="S308" s="13"/>
      <c r="T308" s="13"/>
      <c r="U308" s="13"/>
      <c r="V308" s="13"/>
      <c r="W308" s="33"/>
      <c r="X308" s="33"/>
      <c r="Y308" s="33"/>
      <c r="Z308" s="33"/>
      <c r="AA308" s="33"/>
      <c r="AB308" s="33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</row>
    <row r="309" spans="2:83" s="30" customFormat="1">
      <c r="B309" s="32"/>
      <c r="C309" s="32"/>
      <c r="D309" s="32"/>
      <c r="E309" s="32"/>
      <c r="F309" s="32"/>
      <c r="G309" s="36"/>
      <c r="H309" s="32"/>
      <c r="I309" s="37"/>
      <c r="J309" s="32"/>
      <c r="K309" s="32"/>
      <c r="L309" s="32"/>
      <c r="M309" s="32"/>
      <c r="N309" s="33"/>
      <c r="O309" s="33"/>
      <c r="P309" s="33"/>
      <c r="Q309" s="13"/>
      <c r="R309" s="13"/>
      <c r="S309" s="13"/>
      <c r="T309" s="13"/>
      <c r="U309" s="13"/>
      <c r="V309" s="13"/>
      <c r="W309" s="33"/>
      <c r="X309" s="33"/>
      <c r="Y309" s="33"/>
      <c r="Z309" s="33"/>
      <c r="AA309" s="33"/>
      <c r="AB309" s="33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</row>
    <row r="310" spans="2:83" s="30" customFormat="1">
      <c r="B310" s="32"/>
      <c r="C310" s="32"/>
      <c r="D310" s="32"/>
      <c r="E310" s="32"/>
      <c r="F310" s="32"/>
      <c r="G310" s="36"/>
      <c r="H310" s="32"/>
      <c r="I310" s="37"/>
      <c r="J310" s="32"/>
      <c r="K310" s="32"/>
      <c r="L310" s="32"/>
      <c r="M310" s="32"/>
      <c r="N310" s="33"/>
      <c r="O310" s="33"/>
      <c r="P310" s="33"/>
      <c r="Q310" s="13"/>
      <c r="R310" s="13"/>
      <c r="S310" s="13"/>
      <c r="T310" s="13"/>
      <c r="U310" s="13"/>
      <c r="V310" s="13"/>
      <c r="W310" s="33"/>
      <c r="X310" s="33"/>
      <c r="Y310" s="33"/>
      <c r="Z310" s="33"/>
      <c r="AA310" s="33"/>
      <c r="AB310" s="33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</row>
    <row r="311" spans="2:83" s="30" customFormat="1">
      <c r="B311" s="32"/>
      <c r="C311" s="32"/>
      <c r="D311" s="32"/>
      <c r="E311" s="32"/>
      <c r="F311" s="32"/>
      <c r="G311" s="36"/>
      <c r="H311" s="32"/>
      <c r="I311" s="37"/>
      <c r="J311" s="32"/>
      <c r="K311" s="32"/>
      <c r="L311" s="32"/>
      <c r="M311" s="32"/>
      <c r="N311" s="33"/>
      <c r="O311" s="33"/>
      <c r="P311" s="33"/>
      <c r="Q311" s="13"/>
      <c r="R311" s="13"/>
      <c r="S311" s="13"/>
      <c r="T311" s="13"/>
      <c r="U311" s="13"/>
      <c r="V311" s="13"/>
      <c r="W311" s="33"/>
      <c r="X311" s="33"/>
      <c r="Y311" s="33"/>
      <c r="Z311" s="33"/>
      <c r="AA311" s="33"/>
      <c r="AB311" s="33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</row>
    <row r="312" spans="2:83" s="30" customFormat="1">
      <c r="B312" s="32"/>
      <c r="C312" s="32"/>
      <c r="D312" s="32"/>
      <c r="E312" s="32"/>
      <c r="F312" s="32"/>
      <c r="G312" s="36"/>
      <c r="H312" s="32"/>
      <c r="I312" s="37"/>
      <c r="J312" s="32"/>
      <c r="K312" s="32"/>
      <c r="L312" s="32"/>
      <c r="M312" s="32"/>
      <c r="N312" s="33"/>
      <c r="O312" s="33"/>
      <c r="P312" s="33"/>
      <c r="Q312" s="13"/>
      <c r="R312" s="13"/>
      <c r="S312" s="13"/>
      <c r="T312" s="13"/>
      <c r="U312" s="13"/>
      <c r="V312" s="13"/>
      <c r="W312" s="33"/>
      <c r="X312" s="33"/>
      <c r="Y312" s="33"/>
      <c r="Z312" s="33"/>
      <c r="AA312" s="33"/>
      <c r="AB312" s="33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</row>
    <row r="313" spans="2:83" s="30" customFormat="1">
      <c r="B313" s="32"/>
      <c r="C313" s="32"/>
      <c r="D313" s="32"/>
      <c r="E313" s="32"/>
      <c r="F313" s="32"/>
      <c r="G313" s="36"/>
      <c r="H313" s="32"/>
      <c r="I313" s="37"/>
      <c r="J313" s="32"/>
      <c r="K313" s="32"/>
      <c r="L313" s="32"/>
      <c r="M313" s="32"/>
      <c r="N313" s="33"/>
      <c r="O313" s="33"/>
      <c r="P313" s="33"/>
      <c r="Q313" s="13"/>
      <c r="R313" s="13"/>
      <c r="S313" s="13"/>
      <c r="T313" s="13"/>
      <c r="U313" s="13"/>
      <c r="V313" s="13"/>
      <c r="W313" s="33"/>
      <c r="X313" s="33"/>
      <c r="Y313" s="33"/>
      <c r="Z313" s="33"/>
      <c r="AA313" s="33"/>
      <c r="AB313" s="33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</row>
    <row r="314" spans="2:83" s="30" customFormat="1">
      <c r="B314" s="32"/>
      <c r="C314" s="32"/>
      <c r="D314" s="32"/>
      <c r="E314" s="32"/>
      <c r="F314" s="32"/>
      <c r="G314" s="36"/>
      <c r="H314" s="32"/>
      <c r="I314" s="37"/>
      <c r="J314" s="32"/>
      <c r="K314" s="32"/>
      <c r="L314" s="32"/>
      <c r="M314" s="32"/>
      <c r="N314" s="33"/>
      <c r="O314" s="33"/>
      <c r="P314" s="33"/>
      <c r="Q314" s="13"/>
      <c r="R314" s="13"/>
      <c r="S314" s="13"/>
      <c r="T314" s="13"/>
      <c r="U314" s="13"/>
      <c r="V314" s="13"/>
      <c r="W314" s="33"/>
      <c r="X314" s="33"/>
      <c r="Y314" s="33"/>
      <c r="Z314" s="33"/>
      <c r="AA314" s="33"/>
      <c r="AB314" s="33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</row>
    <row r="315" spans="2:83" s="30" customFormat="1">
      <c r="B315" s="32"/>
      <c r="C315" s="32"/>
      <c r="D315" s="32"/>
      <c r="E315" s="32"/>
      <c r="F315" s="32"/>
      <c r="G315" s="36"/>
      <c r="H315" s="32"/>
      <c r="I315" s="37"/>
      <c r="J315" s="32"/>
      <c r="K315" s="32"/>
      <c r="L315" s="32"/>
      <c r="M315" s="32"/>
      <c r="N315" s="33"/>
      <c r="O315" s="33"/>
      <c r="P315" s="33"/>
      <c r="Q315" s="13"/>
      <c r="R315" s="13"/>
      <c r="S315" s="13"/>
      <c r="T315" s="13"/>
      <c r="U315" s="13"/>
      <c r="V315" s="13"/>
      <c r="W315" s="33"/>
      <c r="X315" s="33"/>
      <c r="Y315" s="33"/>
      <c r="Z315" s="33"/>
      <c r="AA315" s="33"/>
      <c r="AB315" s="33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</row>
    <row r="316" spans="2:83" s="30" customFormat="1">
      <c r="B316" s="32"/>
      <c r="C316" s="32"/>
      <c r="D316" s="32"/>
      <c r="E316" s="32"/>
      <c r="F316" s="32"/>
      <c r="G316" s="36"/>
      <c r="H316" s="32"/>
      <c r="I316" s="37"/>
      <c r="J316" s="32"/>
      <c r="K316" s="32"/>
      <c r="L316" s="32"/>
      <c r="M316" s="32"/>
      <c r="N316" s="33"/>
      <c r="O316" s="33"/>
      <c r="P316" s="33"/>
      <c r="Q316" s="13"/>
      <c r="R316" s="13"/>
      <c r="S316" s="13"/>
      <c r="T316" s="13"/>
      <c r="U316" s="13"/>
      <c r="V316" s="13"/>
      <c r="W316" s="33"/>
      <c r="X316" s="33"/>
      <c r="Y316" s="33"/>
      <c r="Z316" s="33"/>
      <c r="AA316" s="33"/>
      <c r="AB316" s="33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</row>
    <row r="317" spans="2:83" s="30" customFormat="1">
      <c r="B317" s="32"/>
      <c r="C317" s="32"/>
      <c r="D317" s="32"/>
      <c r="E317" s="32"/>
      <c r="F317" s="32"/>
      <c r="G317" s="36"/>
      <c r="H317" s="32"/>
      <c r="I317" s="37"/>
      <c r="J317" s="32"/>
      <c r="K317" s="32"/>
      <c r="L317" s="32"/>
      <c r="M317" s="32"/>
      <c r="N317" s="33"/>
      <c r="O317" s="33"/>
      <c r="P317" s="33"/>
      <c r="Q317" s="13"/>
      <c r="R317" s="13"/>
      <c r="S317" s="13"/>
      <c r="T317" s="13"/>
      <c r="U317" s="13"/>
      <c r="V317" s="13"/>
      <c r="W317" s="33"/>
      <c r="X317" s="33"/>
      <c r="Y317" s="33"/>
      <c r="Z317" s="33"/>
      <c r="AA317" s="33"/>
      <c r="AB317" s="33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</row>
    <row r="318" spans="2:83" s="30" customFormat="1">
      <c r="B318" s="32"/>
      <c r="C318" s="32"/>
      <c r="D318" s="32"/>
      <c r="E318" s="32"/>
      <c r="F318" s="32"/>
      <c r="G318" s="36"/>
      <c r="H318" s="32"/>
      <c r="I318" s="37"/>
      <c r="J318" s="32"/>
      <c r="K318" s="32"/>
      <c r="L318" s="32"/>
      <c r="M318" s="32"/>
      <c r="N318" s="33"/>
      <c r="O318" s="33"/>
      <c r="P318" s="33"/>
      <c r="Q318" s="13"/>
      <c r="R318" s="13"/>
      <c r="S318" s="13"/>
      <c r="T318" s="13"/>
      <c r="U318" s="13"/>
      <c r="V318" s="13"/>
      <c r="W318" s="33"/>
      <c r="X318" s="33"/>
      <c r="Y318" s="33"/>
      <c r="Z318" s="33"/>
      <c r="AA318" s="33"/>
      <c r="AB318" s="33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</row>
    <row r="319" spans="2:83" s="30" customFormat="1">
      <c r="B319" s="32"/>
      <c r="C319" s="32"/>
      <c r="D319" s="32"/>
      <c r="E319" s="32"/>
      <c r="F319" s="32"/>
      <c r="G319" s="36"/>
      <c r="H319" s="32"/>
      <c r="I319" s="37"/>
      <c r="J319" s="32"/>
      <c r="K319" s="32"/>
      <c r="L319" s="32"/>
      <c r="M319" s="32"/>
      <c r="N319" s="33"/>
      <c r="O319" s="33"/>
      <c r="P319" s="33"/>
      <c r="Q319" s="13"/>
      <c r="R319" s="13"/>
      <c r="S319" s="13"/>
      <c r="T319" s="13"/>
      <c r="U319" s="13"/>
      <c r="V319" s="13"/>
      <c r="W319" s="33"/>
      <c r="X319" s="33"/>
      <c r="Y319" s="33"/>
      <c r="Z319" s="33"/>
      <c r="AA319" s="33"/>
      <c r="AB319" s="33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</row>
    <row r="320" spans="2:83" s="30" customFormat="1">
      <c r="B320" s="32"/>
      <c r="C320" s="32"/>
      <c r="D320" s="32"/>
      <c r="E320" s="32"/>
      <c r="F320" s="32"/>
      <c r="G320" s="36"/>
      <c r="H320" s="32"/>
      <c r="I320" s="37"/>
      <c r="J320" s="32"/>
      <c r="K320" s="32"/>
      <c r="L320" s="32"/>
      <c r="M320" s="32"/>
      <c r="N320" s="33"/>
      <c r="O320" s="33"/>
      <c r="P320" s="33"/>
      <c r="Q320" s="13"/>
      <c r="R320" s="13"/>
      <c r="S320" s="13"/>
      <c r="T320" s="13"/>
      <c r="U320" s="13"/>
      <c r="V320" s="13"/>
      <c r="W320" s="33"/>
      <c r="X320" s="33"/>
      <c r="Y320" s="33"/>
      <c r="Z320" s="33"/>
      <c r="AA320" s="33"/>
      <c r="AB320" s="33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</row>
    <row r="321" spans="2:83" s="30" customFormat="1">
      <c r="B321" s="32"/>
      <c r="C321" s="32"/>
      <c r="D321" s="32"/>
      <c r="E321" s="32"/>
      <c r="F321" s="32"/>
      <c r="G321" s="36"/>
      <c r="H321" s="32"/>
      <c r="I321" s="37"/>
      <c r="J321" s="32"/>
      <c r="K321" s="32"/>
      <c r="L321" s="32"/>
      <c r="M321" s="32"/>
      <c r="N321" s="33"/>
      <c r="O321" s="33"/>
      <c r="P321" s="33"/>
      <c r="Q321" s="13"/>
      <c r="R321" s="13"/>
      <c r="S321" s="13"/>
      <c r="T321" s="13"/>
      <c r="U321" s="13"/>
      <c r="V321" s="13"/>
      <c r="W321" s="33"/>
      <c r="X321" s="33"/>
      <c r="Y321" s="33"/>
      <c r="Z321" s="33"/>
      <c r="AA321" s="33"/>
      <c r="AB321" s="33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</row>
    <row r="322" spans="2:83" s="30" customFormat="1">
      <c r="B322" s="32"/>
      <c r="C322" s="32"/>
      <c r="D322" s="32"/>
      <c r="E322" s="32"/>
      <c r="F322" s="32"/>
      <c r="G322" s="36"/>
      <c r="H322" s="32"/>
      <c r="I322" s="37"/>
      <c r="J322" s="32"/>
      <c r="K322" s="32"/>
      <c r="L322" s="32"/>
      <c r="M322" s="32"/>
      <c r="N322" s="33"/>
      <c r="O322" s="33"/>
      <c r="P322" s="33"/>
      <c r="Q322" s="13"/>
      <c r="R322" s="13"/>
      <c r="S322" s="13"/>
      <c r="T322" s="13"/>
      <c r="U322" s="13"/>
      <c r="V322" s="13"/>
      <c r="W322" s="33"/>
      <c r="X322" s="33"/>
      <c r="Y322" s="33"/>
      <c r="Z322" s="33"/>
      <c r="AA322" s="33"/>
      <c r="AB322" s="33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</row>
    <row r="323" spans="2:83" s="30" customFormat="1">
      <c r="B323" s="32"/>
      <c r="C323" s="32"/>
      <c r="D323" s="32"/>
      <c r="E323" s="32"/>
      <c r="F323" s="32"/>
      <c r="G323" s="36"/>
      <c r="H323" s="32"/>
      <c r="I323" s="37"/>
      <c r="J323" s="32"/>
      <c r="K323" s="32"/>
      <c r="L323" s="32"/>
      <c r="M323" s="32"/>
      <c r="N323" s="33"/>
      <c r="O323" s="33"/>
      <c r="P323" s="33"/>
      <c r="Q323" s="13"/>
      <c r="R323" s="13"/>
      <c r="S323" s="13"/>
      <c r="T323" s="13"/>
      <c r="U323" s="13"/>
      <c r="V323" s="13"/>
      <c r="W323" s="33"/>
      <c r="X323" s="33"/>
      <c r="Y323" s="33"/>
      <c r="Z323" s="33"/>
      <c r="AA323" s="33"/>
      <c r="AB323" s="33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</row>
    <row r="324" spans="2:83" s="30" customFormat="1">
      <c r="B324" s="32"/>
      <c r="C324" s="32"/>
      <c r="D324" s="32"/>
      <c r="E324" s="32"/>
      <c r="F324" s="32"/>
      <c r="G324" s="36"/>
      <c r="H324" s="32"/>
      <c r="I324" s="37"/>
      <c r="J324" s="32"/>
      <c r="K324" s="32"/>
      <c r="L324" s="32"/>
      <c r="M324" s="32"/>
      <c r="N324" s="33"/>
      <c r="O324" s="33"/>
      <c r="P324" s="33"/>
      <c r="Q324" s="13"/>
      <c r="R324" s="13"/>
      <c r="S324" s="13"/>
      <c r="T324" s="13"/>
      <c r="U324" s="13"/>
      <c r="V324" s="13"/>
      <c r="W324" s="33"/>
      <c r="X324" s="33"/>
      <c r="Y324" s="33"/>
      <c r="Z324" s="33"/>
      <c r="AA324" s="33"/>
      <c r="AB324" s="33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</row>
    <row r="325" spans="2:83" s="30" customFormat="1">
      <c r="B325" s="32"/>
      <c r="C325" s="32"/>
      <c r="D325" s="32"/>
      <c r="E325" s="32"/>
      <c r="F325" s="32"/>
      <c r="G325" s="36"/>
      <c r="H325" s="32"/>
      <c r="I325" s="37"/>
      <c r="J325" s="32"/>
      <c r="K325" s="32"/>
      <c r="L325" s="32"/>
      <c r="M325" s="32"/>
      <c r="N325" s="33"/>
      <c r="O325" s="33"/>
      <c r="P325" s="33"/>
      <c r="Q325" s="13"/>
      <c r="R325" s="13"/>
      <c r="S325" s="13"/>
      <c r="T325" s="13"/>
      <c r="U325" s="13"/>
      <c r="V325" s="13"/>
      <c r="W325" s="33"/>
      <c r="X325" s="33"/>
      <c r="Y325" s="33"/>
      <c r="Z325" s="33"/>
      <c r="AA325" s="33"/>
      <c r="AB325" s="33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</row>
    <row r="326" spans="2:83" s="30" customFormat="1">
      <c r="B326" s="32"/>
      <c r="C326" s="32"/>
      <c r="D326" s="32"/>
      <c r="E326" s="32"/>
      <c r="F326" s="32"/>
      <c r="G326" s="36"/>
      <c r="H326" s="32"/>
      <c r="I326" s="37"/>
      <c r="J326" s="32"/>
      <c r="K326" s="32"/>
      <c r="L326" s="32"/>
      <c r="M326" s="32"/>
      <c r="N326" s="33"/>
      <c r="O326" s="33"/>
      <c r="P326" s="33"/>
      <c r="Q326" s="13"/>
      <c r="R326" s="13"/>
      <c r="S326" s="13"/>
      <c r="T326" s="13"/>
      <c r="U326" s="13"/>
      <c r="V326" s="13"/>
      <c r="W326" s="33"/>
      <c r="X326" s="33"/>
      <c r="Y326" s="33"/>
      <c r="Z326" s="33"/>
      <c r="AA326" s="33"/>
      <c r="AB326" s="33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</row>
    <row r="327" spans="2:83" s="30" customFormat="1">
      <c r="B327" s="32"/>
      <c r="C327" s="32"/>
      <c r="D327" s="32"/>
      <c r="E327" s="32"/>
      <c r="F327" s="32"/>
      <c r="G327" s="36"/>
      <c r="H327" s="32"/>
      <c r="I327" s="37"/>
      <c r="J327" s="32"/>
      <c r="K327" s="32"/>
      <c r="L327" s="32"/>
      <c r="M327" s="32"/>
      <c r="N327" s="33"/>
      <c r="O327" s="33"/>
      <c r="P327" s="33"/>
      <c r="Q327" s="13"/>
      <c r="R327" s="13"/>
      <c r="S327" s="13"/>
      <c r="T327" s="13"/>
      <c r="U327" s="13"/>
      <c r="V327" s="13"/>
      <c r="W327" s="33"/>
      <c r="X327" s="33"/>
      <c r="Y327" s="33"/>
      <c r="Z327" s="33"/>
      <c r="AA327" s="33"/>
      <c r="AB327" s="33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</row>
    <row r="328" spans="2:83" s="30" customFormat="1">
      <c r="B328" s="32"/>
      <c r="C328" s="32"/>
      <c r="D328" s="32"/>
      <c r="E328" s="32"/>
      <c r="F328" s="32"/>
      <c r="G328" s="36"/>
      <c r="H328" s="32"/>
      <c r="I328" s="37"/>
      <c r="J328" s="32"/>
      <c r="K328" s="32"/>
      <c r="L328" s="32"/>
      <c r="M328" s="32"/>
      <c r="N328" s="33"/>
      <c r="O328" s="33"/>
      <c r="P328" s="33"/>
      <c r="Q328" s="13"/>
      <c r="R328" s="13"/>
      <c r="S328" s="13"/>
      <c r="T328" s="13"/>
      <c r="U328" s="13"/>
      <c r="V328" s="13"/>
      <c r="W328" s="33"/>
      <c r="X328" s="33"/>
      <c r="Y328" s="33"/>
      <c r="Z328" s="33"/>
      <c r="AA328" s="33"/>
      <c r="AB328" s="33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</row>
    <row r="329" spans="2:83" s="30" customFormat="1">
      <c r="B329" s="32"/>
      <c r="C329" s="32"/>
      <c r="D329" s="32"/>
      <c r="E329" s="32"/>
      <c r="F329" s="32"/>
      <c r="G329" s="36"/>
      <c r="H329" s="32"/>
      <c r="I329" s="37"/>
      <c r="J329" s="32"/>
      <c r="K329" s="32"/>
      <c r="L329" s="32"/>
      <c r="M329" s="32"/>
      <c r="N329" s="33"/>
      <c r="O329" s="33"/>
      <c r="P329" s="33"/>
      <c r="Q329" s="13"/>
      <c r="R329" s="13"/>
      <c r="S329" s="13"/>
      <c r="T329" s="13"/>
      <c r="U329" s="13"/>
      <c r="V329" s="13"/>
      <c r="W329" s="33"/>
      <c r="X329" s="33"/>
      <c r="Y329" s="33"/>
      <c r="Z329" s="33"/>
      <c r="AA329" s="33"/>
      <c r="AB329" s="33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</row>
    <row r="330" spans="2:83" s="30" customFormat="1">
      <c r="B330" s="32"/>
      <c r="C330" s="32"/>
      <c r="D330" s="32"/>
      <c r="E330" s="32"/>
      <c r="F330" s="32"/>
      <c r="G330" s="36"/>
      <c r="H330" s="32"/>
      <c r="I330" s="37"/>
      <c r="J330" s="32"/>
      <c r="K330" s="32"/>
      <c r="L330" s="32"/>
      <c r="M330" s="32"/>
      <c r="N330" s="33"/>
      <c r="O330" s="33"/>
      <c r="P330" s="33"/>
      <c r="Q330" s="13"/>
      <c r="R330" s="13"/>
      <c r="S330" s="13"/>
      <c r="T330" s="13"/>
      <c r="U330" s="13"/>
      <c r="V330" s="13"/>
      <c r="W330" s="33"/>
      <c r="X330" s="33"/>
      <c r="Y330" s="33"/>
      <c r="Z330" s="33"/>
      <c r="AA330" s="33"/>
      <c r="AB330" s="33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</row>
    <row r="331" spans="2:83" s="30" customFormat="1">
      <c r="B331" s="32"/>
      <c r="C331" s="32"/>
      <c r="D331" s="32"/>
      <c r="E331" s="32"/>
      <c r="F331" s="32"/>
      <c r="G331" s="36"/>
      <c r="H331" s="32"/>
      <c r="I331" s="37"/>
      <c r="J331" s="32"/>
      <c r="K331" s="32"/>
      <c r="L331" s="32"/>
      <c r="M331" s="32"/>
      <c r="N331" s="33"/>
      <c r="O331" s="33"/>
      <c r="P331" s="33"/>
      <c r="Q331" s="13"/>
      <c r="R331" s="13"/>
      <c r="S331" s="13"/>
      <c r="T331" s="13"/>
      <c r="U331" s="13"/>
      <c r="V331" s="13"/>
      <c r="W331" s="33"/>
      <c r="X331" s="33"/>
      <c r="Y331" s="33"/>
      <c r="Z331" s="33"/>
      <c r="AA331" s="33"/>
      <c r="AB331" s="33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</row>
    <row r="332" spans="2:83" s="30" customFormat="1">
      <c r="B332" s="32"/>
      <c r="C332" s="32"/>
      <c r="D332" s="32"/>
      <c r="E332" s="32"/>
      <c r="F332" s="32"/>
      <c r="G332" s="36"/>
      <c r="H332" s="32"/>
      <c r="I332" s="37"/>
      <c r="J332" s="32"/>
      <c r="K332" s="32"/>
      <c r="L332" s="32"/>
      <c r="M332" s="32"/>
      <c r="N332" s="33"/>
      <c r="O332" s="33"/>
      <c r="P332" s="33"/>
      <c r="Q332" s="13"/>
      <c r="R332" s="13"/>
      <c r="S332" s="13"/>
      <c r="T332" s="13"/>
      <c r="U332" s="13"/>
      <c r="V332" s="13"/>
      <c r="W332" s="33"/>
      <c r="X332" s="33"/>
      <c r="Y332" s="33"/>
      <c r="Z332" s="33"/>
      <c r="AA332" s="33"/>
      <c r="AB332" s="33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</row>
    <row r="333" spans="2:83" s="30" customFormat="1">
      <c r="B333" s="32"/>
      <c r="C333" s="32"/>
      <c r="D333" s="32"/>
      <c r="E333" s="32"/>
      <c r="F333" s="32"/>
      <c r="G333" s="36"/>
      <c r="H333" s="32"/>
      <c r="I333" s="37"/>
      <c r="J333" s="32"/>
      <c r="K333" s="32"/>
      <c r="L333" s="32"/>
      <c r="M333" s="32"/>
      <c r="N333" s="33"/>
      <c r="O333" s="33"/>
      <c r="P333" s="33"/>
      <c r="Q333" s="13"/>
      <c r="R333" s="13"/>
      <c r="S333" s="13"/>
      <c r="T333" s="13"/>
      <c r="U333" s="13"/>
      <c r="V333" s="13"/>
      <c r="W333" s="33"/>
      <c r="X333" s="33"/>
      <c r="Y333" s="33"/>
      <c r="Z333" s="33"/>
      <c r="AA333" s="33"/>
      <c r="AB333" s="33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</row>
    <row r="334" spans="2:83" s="30" customFormat="1">
      <c r="B334" s="32"/>
      <c r="C334" s="32"/>
      <c r="D334" s="32"/>
      <c r="E334" s="32"/>
      <c r="F334" s="32"/>
      <c r="G334" s="36"/>
      <c r="H334" s="32"/>
      <c r="I334" s="37"/>
      <c r="J334" s="32"/>
      <c r="K334" s="32"/>
      <c r="L334" s="32"/>
      <c r="M334" s="32"/>
      <c r="N334" s="33"/>
      <c r="O334" s="33"/>
      <c r="P334" s="33"/>
      <c r="Q334" s="13"/>
      <c r="R334" s="13"/>
      <c r="S334" s="13"/>
      <c r="T334" s="13"/>
      <c r="U334" s="13"/>
      <c r="V334" s="13"/>
      <c r="W334" s="33"/>
      <c r="X334" s="33"/>
      <c r="Y334" s="33"/>
      <c r="Z334" s="33"/>
      <c r="AA334" s="33"/>
      <c r="AB334" s="33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</row>
    <row r="335" spans="2:83" s="30" customFormat="1">
      <c r="B335" s="32"/>
      <c r="C335" s="32"/>
      <c r="D335" s="32"/>
      <c r="E335" s="32"/>
      <c r="F335" s="32"/>
      <c r="G335" s="36"/>
      <c r="H335" s="32"/>
      <c r="I335" s="37"/>
      <c r="J335" s="32"/>
      <c r="K335" s="32"/>
      <c r="L335" s="32"/>
      <c r="M335" s="32"/>
      <c r="N335" s="33"/>
      <c r="O335" s="33"/>
      <c r="P335" s="33"/>
      <c r="Q335" s="13"/>
      <c r="R335" s="13"/>
      <c r="S335" s="13"/>
      <c r="T335" s="13"/>
      <c r="U335" s="13"/>
      <c r="V335" s="13"/>
      <c r="W335" s="33"/>
      <c r="X335" s="33"/>
      <c r="Y335" s="33"/>
      <c r="Z335" s="33"/>
      <c r="AA335" s="33"/>
      <c r="AB335" s="33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</row>
    <row r="336" spans="2:83" s="30" customFormat="1">
      <c r="B336" s="32"/>
      <c r="C336" s="32"/>
      <c r="D336" s="32"/>
      <c r="E336" s="32"/>
      <c r="F336" s="32"/>
      <c r="G336" s="36"/>
      <c r="H336" s="32"/>
      <c r="I336" s="37"/>
      <c r="J336" s="32"/>
      <c r="K336" s="32"/>
      <c r="L336" s="32"/>
      <c r="M336" s="32"/>
      <c r="N336" s="33"/>
      <c r="O336" s="33"/>
      <c r="P336" s="33"/>
      <c r="Q336" s="13"/>
      <c r="R336" s="13"/>
      <c r="S336" s="13"/>
      <c r="T336" s="13"/>
      <c r="U336" s="13"/>
      <c r="V336" s="13"/>
      <c r="W336" s="33"/>
      <c r="X336" s="33"/>
      <c r="Y336" s="33"/>
      <c r="Z336" s="33"/>
      <c r="AA336" s="33"/>
      <c r="AB336" s="33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</row>
    <row r="337" spans="2:83" s="30" customFormat="1">
      <c r="B337" s="32"/>
      <c r="C337" s="32"/>
      <c r="D337" s="32"/>
      <c r="E337" s="32"/>
      <c r="F337" s="32"/>
      <c r="G337" s="36"/>
      <c r="H337" s="32"/>
      <c r="I337" s="37"/>
      <c r="J337" s="32"/>
      <c r="K337" s="32"/>
      <c r="L337" s="32"/>
      <c r="M337" s="32"/>
      <c r="N337" s="33"/>
      <c r="O337" s="33"/>
      <c r="P337" s="33"/>
      <c r="Q337" s="13"/>
      <c r="R337" s="13"/>
      <c r="S337" s="13"/>
      <c r="T337" s="13"/>
      <c r="U337" s="13"/>
      <c r="V337" s="13"/>
      <c r="W337" s="33"/>
      <c r="X337" s="33"/>
      <c r="Y337" s="33"/>
      <c r="Z337" s="33"/>
      <c r="AA337" s="33"/>
      <c r="AB337" s="33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</row>
    <row r="338" spans="2:83" s="30" customFormat="1">
      <c r="B338" s="32"/>
      <c r="C338" s="32"/>
      <c r="D338" s="32"/>
      <c r="E338" s="32"/>
      <c r="F338" s="32"/>
      <c r="G338" s="36"/>
      <c r="H338" s="32"/>
      <c r="I338" s="37"/>
      <c r="J338" s="32"/>
      <c r="K338" s="32"/>
      <c r="L338" s="32"/>
      <c r="M338" s="32"/>
      <c r="N338" s="33"/>
      <c r="O338" s="33"/>
      <c r="P338" s="33"/>
      <c r="Q338" s="13"/>
      <c r="R338" s="13"/>
      <c r="S338" s="13"/>
      <c r="T338" s="13"/>
      <c r="U338" s="13"/>
      <c r="V338" s="13"/>
      <c r="W338" s="33"/>
      <c r="X338" s="33"/>
      <c r="Y338" s="33"/>
      <c r="Z338" s="33"/>
      <c r="AA338" s="33"/>
      <c r="AB338" s="33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</row>
    <row r="339" spans="2:83" s="30" customFormat="1">
      <c r="B339" s="32"/>
      <c r="C339" s="32"/>
      <c r="D339" s="32"/>
      <c r="E339" s="32"/>
      <c r="F339" s="32"/>
      <c r="G339" s="36"/>
      <c r="H339" s="32"/>
      <c r="I339" s="37"/>
      <c r="J339" s="32"/>
      <c r="K339" s="32"/>
      <c r="L339" s="32"/>
      <c r="M339" s="32"/>
      <c r="N339" s="33"/>
      <c r="O339" s="33"/>
      <c r="P339" s="33"/>
      <c r="Q339" s="13"/>
      <c r="R339" s="13"/>
      <c r="S339" s="13"/>
      <c r="T339" s="13"/>
      <c r="U339" s="13"/>
      <c r="V339" s="13"/>
      <c r="W339" s="33"/>
      <c r="X339" s="33"/>
      <c r="Y339" s="33"/>
      <c r="Z339" s="33"/>
      <c r="AA339" s="33"/>
      <c r="AB339" s="33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</row>
    <row r="340" spans="2:83" s="30" customFormat="1">
      <c r="B340" s="32"/>
      <c r="C340" s="32"/>
      <c r="D340" s="32"/>
      <c r="E340" s="32"/>
      <c r="F340" s="32"/>
      <c r="G340" s="36"/>
      <c r="H340" s="32"/>
      <c r="I340" s="37"/>
      <c r="J340" s="32"/>
      <c r="K340" s="32"/>
      <c r="L340" s="32"/>
      <c r="M340" s="32"/>
      <c r="N340" s="33"/>
      <c r="O340" s="33"/>
      <c r="P340" s="33"/>
      <c r="Q340" s="13"/>
      <c r="R340" s="13"/>
      <c r="S340" s="13"/>
      <c r="T340" s="13"/>
      <c r="U340" s="13"/>
      <c r="V340" s="13"/>
      <c r="W340" s="33"/>
      <c r="X340" s="33"/>
      <c r="Y340" s="33"/>
      <c r="Z340" s="33"/>
      <c r="AA340" s="33"/>
      <c r="AB340" s="33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</row>
    <row r="341" spans="2:83" s="30" customFormat="1">
      <c r="B341" s="32"/>
      <c r="C341" s="32"/>
      <c r="D341" s="32"/>
      <c r="E341" s="32"/>
      <c r="F341" s="32"/>
      <c r="G341" s="36"/>
      <c r="H341" s="32"/>
      <c r="I341" s="37"/>
      <c r="J341" s="32"/>
      <c r="K341" s="32"/>
      <c r="L341" s="32"/>
      <c r="M341" s="32"/>
      <c r="N341" s="33"/>
      <c r="O341" s="33"/>
      <c r="P341" s="33"/>
      <c r="Q341" s="13"/>
      <c r="R341" s="13"/>
      <c r="S341" s="13"/>
      <c r="T341" s="13"/>
      <c r="U341" s="13"/>
      <c r="V341" s="13"/>
      <c r="W341" s="33"/>
      <c r="X341" s="33"/>
      <c r="Y341" s="33"/>
      <c r="Z341" s="33"/>
      <c r="AA341" s="33"/>
      <c r="AB341" s="33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</row>
    <row r="342" spans="2:83" s="30" customFormat="1">
      <c r="B342" s="32"/>
      <c r="C342" s="32"/>
      <c r="D342" s="32"/>
      <c r="E342" s="32"/>
      <c r="F342" s="32"/>
      <c r="G342" s="36"/>
      <c r="H342" s="32"/>
      <c r="I342" s="37"/>
      <c r="J342" s="32"/>
      <c r="K342" s="32"/>
      <c r="L342" s="32"/>
      <c r="M342" s="32"/>
      <c r="N342" s="33"/>
      <c r="O342" s="33"/>
      <c r="P342" s="33"/>
      <c r="Q342" s="13"/>
      <c r="R342" s="13"/>
      <c r="S342" s="13"/>
      <c r="T342" s="13"/>
      <c r="U342" s="13"/>
      <c r="V342" s="13"/>
      <c r="W342" s="33"/>
      <c r="X342" s="33"/>
      <c r="Y342" s="33"/>
      <c r="Z342" s="33"/>
      <c r="AA342" s="33"/>
      <c r="AB342" s="33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</row>
    <row r="343" spans="2:83" s="30" customFormat="1">
      <c r="B343" s="32"/>
      <c r="C343" s="32"/>
      <c r="D343" s="32"/>
      <c r="E343" s="32"/>
      <c r="F343" s="32"/>
      <c r="G343" s="36"/>
      <c r="H343" s="32"/>
      <c r="I343" s="37"/>
      <c r="J343" s="32"/>
      <c r="K343" s="32"/>
      <c r="L343" s="32"/>
      <c r="M343" s="32"/>
      <c r="N343" s="33"/>
      <c r="O343" s="33"/>
      <c r="P343" s="33"/>
      <c r="Q343" s="13"/>
      <c r="R343" s="13"/>
      <c r="S343" s="13"/>
      <c r="T343" s="13"/>
      <c r="U343" s="13"/>
      <c r="V343" s="13"/>
      <c r="W343" s="33"/>
      <c r="X343" s="33"/>
      <c r="Y343" s="33"/>
      <c r="Z343" s="33"/>
      <c r="AA343" s="33"/>
      <c r="AB343" s="33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</row>
    <row r="344" spans="2:83" s="30" customFormat="1">
      <c r="B344" s="32"/>
      <c r="C344" s="32"/>
      <c r="D344" s="32"/>
      <c r="E344" s="32"/>
      <c r="F344" s="32"/>
      <c r="G344" s="36"/>
      <c r="H344" s="32"/>
      <c r="I344" s="37"/>
      <c r="J344" s="32"/>
      <c r="K344" s="32"/>
      <c r="L344" s="32"/>
      <c r="M344" s="32"/>
      <c r="N344" s="33"/>
      <c r="O344" s="33"/>
      <c r="P344" s="33"/>
      <c r="Q344" s="13"/>
      <c r="R344" s="13"/>
      <c r="S344" s="13"/>
      <c r="T344" s="13"/>
      <c r="U344" s="13"/>
      <c r="V344" s="13"/>
      <c r="W344" s="33"/>
      <c r="X344" s="33"/>
      <c r="Y344" s="33"/>
      <c r="Z344" s="33"/>
      <c r="AA344" s="33"/>
      <c r="AB344" s="33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</row>
    <row r="345" spans="2:83" s="30" customFormat="1">
      <c r="B345" s="32"/>
      <c r="C345" s="32"/>
      <c r="D345" s="32"/>
      <c r="E345" s="32"/>
      <c r="F345" s="32"/>
      <c r="G345" s="36"/>
      <c r="H345" s="32"/>
      <c r="I345" s="37"/>
      <c r="J345" s="32"/>
      <c r="K345" s="32"/>
      <c r="L345" s="32"/>
      <c r="M345" s="32"/>
      <c r="N345" s="33"/>
      <c r="O345" s="33"/>
      <c r="P345" s="33"/>
      <c r="Q345" s="13"/>
      <c r="R345" s="13"/>
      <c r="S345" s="13"/>
      <c r="T345" s="13"/>
      <c r="U345" s="13"/>
      <c r="V345" s="13"/>
      <c r="W345" s="33"/>
      <c r="X345" s="33"/>
      <c r="Y345" s="33"/>
      <c r="Z345" s="33"/>
      <c r="AA345" s="33"/>
      <c r="AB345" s="33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</row>
    <row r="346" spans="2:83" s="30" customFormat="1">
      <c r="B346" s="32"/>
      <c r="C346" s="32"/>
      <c r="D346" s="32"/>
      <c r="E346" s="32"/>
      <c r="F346" s="32"/>
      <c r="G346" s="36"/>
      <c r="H346" s="32"/>
      <c r="I346" s="37"/>
      <c r="J346" s="32"/>
      <c r="K346" s="32"/>
      <c r="L346" s="32"/>
      <c r="M346" s="32"/>
      <c r="N346" s="33"/>
      <c r="O346" s="33"/>
      <c r="P346" s="33"/>
      <c r="Q346" s="13"/>
      <c r="R346" s="13"/>
      <c r="S346" s="13"/>
      <c r="T346" s="13"/>
      <c r="U346" s="13"/>
      <c r="V346" s="13"/>
      <c r="W346" s="33"/>
      <c r="X346" s="33"/>
      <c r="Y346" s="33"/>
      <c r="Z346" s="33"/>
      <c r="AA346" s="33"/>
      <c r="AB346" s="33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</row>
    <row r="347" spans="2:83" s="30" customFormat="1">
      <c r="B347" s="32"/>
      <c r="C347" s="32"/>
      <c r="D347" s="32"/>
      <c r="E347" s="32"/>
      <c r="F347" s="32"/>
      <c r="G347" s="36"/>
      <c r="H347" s="32"/>
      <c r="I347" s="37"/>
      <c r="J347" s="32"/>
      <c r="K347" s="32"/>
      <c r="L347" s="32"/>
      <c r="M347" s="32"/>
      <c r="N347" s="33"/>
      <c r="O347" s="33"/>
      <c r="P347" s="33"/>
      <c r="Q347" s="13"/>
      <c r="R347" s="13"/>
      <c r="S347" s="13"/>
      <c r="T347" s="13"/>
      <c r="U347" s="13"/>
      <c r="V347" s="13"/>
      <c r="W347" s="33"/>
      <c r="X347" s="33"/>
      <c r="Y347" s="33"/>
      <c r="Z347" s="33"/>
      <c r="AA347" s="33"/>
      <c r="AB347" s="33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</row>
    <row r="348" spans="2:83" s="30" customFormat="1">
      <c r="B348" s="32"/>
      <c r="C348" s="32"/>
      <c r="D348" s="32"/>
      <c r="E348" s="32"/>
      <c r="F348" s="32"/>
      <c r="G348" s="36"/>
      <c r="H348" s="32"/>
      <c r="I348" s="37"/>
      <c r="J348" s="32"/>
      <c r="K348" s="32"/>
      <c r="L348" s="32"/>
      <c r="M348" s="32"/>
      <c r="N348" s="33"/>
      <c r="O348" s="33"/>
      <c r="P348" s="33"/>
      <c r="Q348" s="13"/>
      <c r="R348" s="13"/>
      <c r="S348" s="13"/>
      <c r="T348" s="13"/>
      <c r="U348" s="13"/>
      <c r="V348" s="13"/>
      <c r="W348" s="33"/>
      <c r="X348" s="33"/>
      <c r="Y348" s="33"/>
      <c r="Z348" s="33"/>
      <c r="AA348" s="33"/>
      <c r="AB348" s="33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</row>
    <row r="349" spans="2:83" s="30" customFormat="1">
      <c r="B349" s="32"/>
      <c r="C349" s="32"/>
      <c r="D349" s="32"/>
      <c r="E349" s="32"/>
      <c r="F349" s="32"/>
      <c r="G349" s="36"/>
      <c r="H349" s="32"/>
      <c r="I349" s="37"/>
      <c r="J349" s="32"/>
      <c r="K349" s="32"/>
      <c r="L349" s="32"/>
      <c r="M349" s="32"/>
      <c r="N349" s="33"/>
      <c r="O349" s="33"/>
      <c r="P349" s="33"/>
      <c r="Q349" s="13"/>
      <c r="R349" s="13"/>
      <c r="S349" s="13"/>
      <c r="T349" s="13"/>
      <c r="U349" s="13"/>
      <c r="V349" s="13"/>
      <c r="W349" s="33"/>
      <c r="X349" s="33"/>
      <c r="Y349" s="33"/>
      <c r="Z349" s="33"/>
      <c r="AA349" s="33"/>
      <c r="AB349" s="33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</row>
    <row r="350" spans="2:83" s="30" customFormat="1">
      <c r="B350" s="32"/>
      <c r="C350" s="32"/>
      <c r="D350" s="32"/>
      <c r="E350" s="32"/>
      <c r="F350" s="32"/>
      <c r="G350" s="36"/>
      <c r="H350" s="32"/>
      <c r="I350" s="37"/>
      <c r="J350" s="32"/>
      <c r="K350" s="32"/>
      <c r="L350" s="32"/>
      <c r="M350" s="32"/>
      <c r="N350" s="33"/>
      <c r="O350" s="33"/>
      <c r="P350" s="33"/>
      <c r="Q350" s="13"/>
      <c r="R350" s="13"/>
      <c r="S350" s="13"/>
      <c r="T350" s="13"/>
      <c r="U350" s="13"/>
      <c r="V350" s="13"/>
      <c r="W350" s="33"/>
      <c r="X350" s="33"/>
      <c r="Y350" s="33"/>
      <c r="Z350" s="33"/>
      <c r="AA350" s="33"/>
      <c r="AB350" s="33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</row>
    <row r="351" spans="2:83" s="30" customFormat="1">
      <c r="B351" s="32"/>
      <c r="C351" s="32"/>
      <c r="D351" s="32"/>
      <c r="E351" s="32"/>
      <c r="F351" s="32"/>
      <c r="G351" s="36"/>
      <c r="H351" s="32"/>
      <c r="I351" s="37"/>
      <c r="J351" s="32"/>
      <c r="K351" s="32"/>
      <c r="L351" s="32"/>
      <c r="M351" s="32"/>
      <c r="N351" s="33"/>
      <c r="O351" s="33"/>
      <c r="P351" s="33"/>
      <c r="Q351" s="13"/>
      <c r="R351" s="13"/>
      <c r="S351" s="13"/>
      <c r="T351" s="13"/>
      <c r="U351" s="13"/>
      <c r="V351" s="13"/>
      <c r="W351" s="33"/>
      <c r="X351" s="33"/>
      <c r="Y351" s="33"/>
      <c r="Z351" s="33"/>
      <c r="AA351" s="33"/>
      <c r="AB351" s="33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</row>
    <row r="352" spans="2:83" s="30" customFormat="1">
      <c r="B352" s="32"/>
      <c r="C352" s="32"/>
      <c r="D352" s="32"/>
      <c r="E352" s="32"/>
      <c r="F352" s="32"/>
      <c r="G352" s="36"/>
      <c r="H352" s="32"/>
      <c r="I352" s="37"/>
      <c r="J352" s="32"/>
      <c r="K352" s="32"/>
      <c r="L352" s="32"/>
      <c r="M352" s="32"/>
      <c r="N352" s="33"/>
      <c r="O352" s="33"/>
      <c r="P352" s="33"/>
      <c r="Q352" s="13"/>
      <c r="R352" s="13"/>
      <c r="S352" s="13"/>
      <c r="T352" s="13"/>
      <c r="U352" s="13"/>
      <c r="V352" s="13"/>
      <c r="W352" s="33"/>
      <c r="X352" s="33"/>
      <c r="Y352" s="33"/>
      <c r="Z352" s="33"/>
      <c r="AA352" s="33"/>
      <c r="AB352" s="33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</row>
    <row r="353" spans="2:83" s="30" customFormat="1">
      <c r="B353" s="32"/>
      <c r="C353" s="32"/>
      <c r="D353" s="32"/>
      <c r="E353" s="32"/>
      <c r="F353" s="32"/>
      <c r="G353" s="36"/>
      <c r="H353" s="32"/>
      <c r="I353" s="37"/>
      <c r="J353" s="32"/>
      <c r="K353" s="32"/>
      <c r="L353" s="32"/>
      <c r="M353" s="32"/>
      <c r="N353" s="33"/>
      <c r="O353" s="33"/>
      <c r="P353" s="33"/>
      <c r="Q353" s="13"/>
      <c r="R353" s="13"/>
      <c r="S353" s="13"/>
      <c r="T353" s="13"/>
      <c r="U353" s="13"/>
      <c r="V353" s="13"/>
      <c r="W353" s="33"/>
      <c r="X353" s="33"/>
      <c r="Y353" s="33"/>
      <c r="Z353" s="33"/>
      <c r="AA353" s="33"/>
      <c r="AB353" s="33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</row>
    <row r="354" spans="2:83" s="30" customFormat="1">
      <c r="B354" s="32"/>
      <c r="C354" s="32"/>
      <c r="D354" s="32"/>
      <c r="E354" s="32"/>
      <c r="F354" s="32"/>
      <c r="G354" s="36"/>
      <c r="H354" s="32"/>
      <c r="I354" s="37"/>
      <c r="J354" s="32"/>
      <c r="K354" s="32"/>
      <c r="L354" s="32"/>
      <c r="M354" s="32"/>
      <c r="N354" s="33"/>
      <c r="O354" s="33"/>
      <c r="P354" s="33"/>
      <c r="Q354" s="13"/>
      <c r="R354" s="13"/>
      <c r="S354" s="13"/>
      <c r="T354" s="13"/>
      <c r="U354" s="13"/>
      <c r="V354" s="13"/>
      <c r="W354" s="33"/>
      <c r="X354" s="33"/>
      <c r="Y354" s="33"/>
      <c r="Z354" s="33"/>
      <c r="AA354" s="33"/>
      <c r="AB354" s="33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</row>
    <row r="355" spans="2:83" s="30" customFormat="1">
      <c r="B355" s="32"/>
      <c r="C355" s="32"/>
      <c r="D355" s="32"/>
      <c r="E355" s="32"/>
      <c r="F355" s="32"/>
      <c r="G355" s="36"/>
      <c r="H355" s="32"/>
      <c r="I355" s="37"/>
      <c r="J355" s="32"/>
      <c r="K355" s="32"/>
      <c r="L355" s="32"/>
      <c r="M355" s="32"/>
      <c r="N355" s="33"/>
      <c r="O355" s="33"/>
      <c r="P355" s="33"/>
      <c r="Q355" s="13"/>
      <c r="R355" s="13"/>
      <c r="S355" s="13"/>
      <c r="T355" s="13"/>
      <c r="U355" s="13"/>
      <c r="V355" s="13"/>
      <c r="W355" s="33"/>
      <c r="X355" s="33"/>
      <c r="Y355" s="33"/>
      <c r="Z355" s="33"/>
      <c r="AA355" s="33"/>
      <c r="AB355" s="33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</row>
    <row r="356" spans="2:83" s="30" customFormat="1">
      <c r="B356" s="32"/>
      <c r="C356" s="32"/>
      <c r="D356" s="32"/>
      <c r="E356" s="32"/>
      <c r="F356" s="32"/>
      <c r="G356" s="36"/>
      <c r="H356" s="32"/>
      <c r="I356" s="37"/>
      <c r="J356" s="32"/>
      <c r="K356" s="32"/>
      <c r="L356" s="32"/>
      <c r="M356" s="32"/>
      <c r="N356" s="33"/>
      <c r="O356" s="33"/>
      <c r="P356" s="33"/>
      <c r="Q356" s="13"/>
      <c r="R356" s="13"/>
      <c r="S356" s="13"/>
      <c r="T356" s="13"/>
      <c r="U356" s="13"/>
      <c r="V356" s="13"/>
      <c r="W356" s="33"/>
      <c r="X356" s="33"/>
      <c r="Y356" s="33"/>
      <c r="Z356" s="33"/>
      <c r="AA356" s="33"/>
      <c r="AB356" s="33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</row>
    <row r="357" spans="2:83" s="30" customFormat="1">
      <c r="B357" s="32"/>
      <c r="C357" s="32"/>
      <c r="D357" s="32"/>
      <c r="E357" s="32"/>
      <c r="F357" s="32"/>
      <c r="G357" s="36"/>
      <c r="H357" s="32"/>
      <c r="I357" s="37"/>
      <c r="J357" s="32"/>
      <c r="K357" s="32"/>
      <c r="L357" s="32"/>
      <c r="M357" s="32"/>
      <c r="N357" s="33"/>
      <c r="O357" s="33"/>
      <c r="P357" s="33"/>
      <c r="Q357" s="13"/>
      <c r="R357" s="13"/>
      <c r="S357" s="13"/>
      <c r="T357" s="13"/>
      <c r="U357" s="13"/>
      <c r="V357" s="13"/>
      <c r="W357" s="33"/>
      <c r="X357" s="33"/>
      <c r="Y357" s="33"/>
      <c r="Z357" s="33"/>
      <c r="AA357" s="33"/>
      <c r="AB357" s="33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</row>
    <row r="358" spans="2:83" s="30" customFormat="1">
      <c r="B358" s="32"/>
      <c r="C358" s="32"/>
      <c r="D358" s="32"/>
      <c r="E358" s="32"/>
      <c r="F358" s="32"/>
      <c r="G358" s="36"/>
      <c r="H358" s="32"/>
      <c r="I358" s="37"/>
      <c r="J358" s="32"/>
      <c r="K358" s="32"/>
      <c r="L358" s="32"/>
      <c r="M358" s="32"/>
      <c r="N358" s="33"/>
      <c r="O358" s="33"/>
      <c r="P358" s="33"/>
      <c r="Q358" s="13"/>
      <c r="R358" s="13"/>
      <c r="S358" s="13"/>
      <c r="T358" s="13"/>
      <c r="U358" s="13"/>
      <c r="V358" s="13"/>
      <c r="W358" s="33"/>
      <c r="X358" s="33"/>
      <c r="Y358" s="33"/>
      <c r="Z358" s="33"/>
      <c r="AA358" s="33"/>
      <c r="AB358" s="33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</row>
    <row r="359" spans="2:83" s="30" customFormat="1">
      <c r="B359" s="32"/>
      <c r="C359" s="32"/>
      <c r="D359" s="32"/>
      <c r="E359" s="32"/>
      <c r="F359" s="32"/>
      <c r="G359" s="36"/>
      <c r="H359" s="32"/>
      <c r="I359" s="37"/>
      <c r="J359" s="32"/>
      <c r="K359" s="32"/>
      <c r="L359" s="32"/>
      <c r="M359" s="32"/>
      <c r="N359" s="33"/>
      <c r="O359" s="33"/>
      <c r="P359" s="33"/>
      <c r="Q359" s="13"/>
      <c r="R359" s="13"/>
      <c r="S359" s="13"/>
      <c r="T359" s="13"/>
      <c r="U359" s="13"/>
      <c r="V359" s="13"/>
      <c r="W359" s="33"/>
      <c r="X359" s="33"/>
      <c r="Y359" s="33"/>
      <c r="Z359" s="33"/>
      <c r="AA359" s="33"/>
      <c r="AB359" s="33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</row>
    <row r="360" spans="2:83" s="30" customFormat="1">
      <c r="B360" s="32"/>
      <c r="C360" s="32"/>
      <c r="D360" s="32"/>
      <c r="E360" s="32"/>
      <c r="F360" s="32"/>
      <c r="G360" s="36"/>
      <c r="H360" s="32"/>
      <c r="I360" s="37"/>
      <c r="J360" s="32"/>
      <c r="K360" s="32"/>
      <c r="L360" s="32"/>
      <c r="M360" s="32"/>
      <c r="N360" s="33"/>
      <c r="O360" s="33"/>
      <c r="P360" s="33"/>
      <c r="Q360" s="13"/>
      <c r="R360" s="13"/>
      <c r="S360" s="13"/>
      <c r="T360" s="13"/>
      <c r="U360" s="13"/>
      <c r="V360" s="13"/>
      <c r="W360" s="33"/>
      <c r="X360" s="33"/>
      <c r="Y360" s="33"/>
      <c r="Z360" s="33"/>
      <c r="AA360" s="33"/>
      <c r="AB360" s="33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</row>
    <row r="361" spans="2:83" s="30" customFormat="1">
      <c r="B361" s="32"/>
      <c r="C361" s="32"/>
      <c r="D361" s="32"/>
      <c r="E361" s="32"/>
      <c r="F361" s="32"/>
      <c r="G361" s="36"/>
      <c r="H361" s="32"/>
      <c r="I361" s="37"/>
      <c r="J361" s="32"/>
      <c r="K361" s="32"/>
      <c r="L361" s="32"/>
      <c r="M361" s="32"/>
      <c r="N361" s="33"/>
      <c r="O361" s="33"/>
      <c r="P361" s="33"/>
      <c r="Q361" s="13"/>
      <c r="R361" s="13"/>
      <c r="S361" s="13"/>
      <c r="T361" s="13"/>
      <c r="U361" s="13"/>
      <c r="V361" s="13"/>
      <c r="W361" s="33"/>
      <c r="X361" s="33"/>
      <c r="Y361" s="33"/>
      <c r="Z361" s="33"/>
      <c r="AA361" s="33"/>
      <c r="AB361" s="33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</row>
    <row r="362" spans="2:83" s="30" customFormat="1">
      <c r="B362" s="32"/>
      <c r="C362" s="32"/>
      <c r="D362" s="32"/>
      <c r="E362" s="32"/>
      <c r="F362" s="32"/>
      <c r="G362" s="36"/>
      <c r="H362" s="32"/>
      <c r="I362" s="37"/>
      <c r="J362" s="32"/>
      <c r="K362" s="32"/>
      <c r="L362" s="32"/>
      <c r="M362" s="32"/>
      <c r="N362" s="33"/>
      <c r="O362" s="33"/>
      <c r="P362" s="33"/>
      <c r="Q362" s="13"/>
      <c r="R362" s="13"/>
      <c r="S362" s="13"/>
      <c r="T362" s="13"/>
      <c r="U362" s="13"/>
      <c r="V362" s="13"/>
      <c r="W362" s="33"/>
      <c r="X362" s="33"/>
      <c r="Y362" s="33"/>
      <c r="Z362" s="33"/>
      <c r="AA362" s="33"/>
      <c r="AB362" s="33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</row>
    <row r="363" spans="2:83" s="30" customFormat="1">
      <c r="B363" s="32"/>
      <c r="C363" s="32"/>
      <c r="D363" s="32"/>
      <c r="E363" s="32"/>
      <c r="F363" s="32"/>
      <c r="G363" s="36"/>
      <c r="H363" s="32"/>
      <c r="I363" s="37"/>
      <c r="J363" s="32"/>
      <c r="K363" s="32"/>
      <c r="L363" s="32"/>
      <c r="M363" s="32"/>
      <c r="N363" s="33"/>
      <c r="O363" s="33"/>
      <c r="P363" s="33"/>
      <c r="Q363" s="13"/>
      <c r="R363" s="13"/>
      <c r="S363" s="13"/>
      <c r="T363" s="13"/>
      <c r="U363" s="13"/>
      <c r="V363" s="13"/>
      <c r="W363" s="33"/>
      <c r="X363" s="33"/>
      <c r="Y363" s="33"/>
      <c r="Z363" s="33"/>
      <c r="AA363" s="33"/>
      <c r="AB363" s="33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</row>
    <row r="364" spans="2:83" s="30" customFormat="1">
      <c r="B364" s="32"/>
      <c r="C364" s="32"/>
      <c r="D364" s="32"/>
      <c r="E364" s="32"/>
      <c r="F364" s="32"/>
      <c r="G364" s="36"/>
      <c r="H364" s="32"/>
      <c r="I364" s="37"/>
      <c r="J364" s="32"/>
      <c r="K364" s="32"/>
      <c r="L364" s="32"/>
      <c r="M364" s="32"/>
      <c r="N364" s="33"/>
      <c r="O364" s="33"/>
      <c r="P364" s="33"/>
      <c r="Q364" s="13"/>
      <c r="R364" s="13"/>
      <c r="S364" s="13"/>
      <c r="T364" s="13"/>
      <c r="U364" s="13"/>
      <c r="V364" s="13"/>
      <c r="W364" s="33"/>
      <c r="X364" s="33"/>
      <c r="Y364" s="33"/>
      <c r="Z364" s="33"/>
      <c r="AA364" s="33"/>
      <c r="AB364" s="33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</row>
    <row r="365" spans="2:83" s="30" customFormat="1">
      <c r="B365" s="32"/>
      <c r="C365" s="32"/>
      <c r="D365" s="32"/>
      <c r="E365" s="32"/>
      <c r="F365" s="32"/>
      <c r="G365" s="36"/>
      <c r="H365" s="32"/>
      <c r="I365" s="37"/>
      <c r="J365" s="32"/>
      <c r="K365" s="32"/>
      <c r="L365" s="32"/>
      <c r="M365" s="32"/>
      <c r="N365" s="33"/>
      <c r="O365" s="33"/>
      <c r="P365" s="33"/>
      <c r="Q365" s="13"/>
      <c r="R365" s="13"/>
      <c r="S365" s="13"/>
      <c r="T365" s="13"/>
      <c r="U365" s="13"/>
      <c r="V365" s="13"/>
      <c r="W365" s="33"/>
      <c r="X365" s="33"/>
      <c r="Y365" s="33"/>
      <c r="Z365" s="33"/>
      <c r="AA365" s="33"/>
      <c r="AB365" s="33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</row>
    <row r="366" spans="2:83" s="30" customFormat="1">
      <c r="B366" s="32"/>
      <c r="C366" s="32"/>
      <c r="D366" s="32"/>
      <c r="E366" s="32"/>
      <c r="F366" s="32"/>
      <c r="G366" s="36"/>
      <c r="H366" s="32"/>
      <c r="I366" s="37"/>
      <c r="J366" s="32"/>
      <c r="K366" s="32"/>
      <c r="L366" s="32"/>
      <c r="M366" s="32"/>
      <c r="N366" s="33"/>
      <c r="O366" s="33"/>
      <c r="P366" s="33"/>
      <c r="Q366" s="13"/>
      <c r="R366" s="13"/>
      <c r="S366" s="13"/>
      <c r="T366" s="13"/>
      <c r="U366" s="13"/>
      <c r="V366" s="13"/>
      <c r="W366" s="33"/>
      <c r="X366" s="33"/>
      <c r="Y366" s="33"/>
      <c r="Z366" s="33"/>
      <c r="AA366" s="33"/>
      <c r="AB366" s="33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</row>
    <row r="367" spans="2:83" s="30" customFormat="1">
      <c r="B367" s="32"/>
      <c r="C367" s="32"/>
      <c r="D367" s="32"/>
      <c r="E367" s="32"/>
      <c r="F367" s="32"/>
      <c r="G367" s="36"/>
      <c r="H367" s="32"/>
      <c r="I367" s="37"/>
      <c r="J367" s="32"/>
      <c r="K367" s="32"/>
      <c r="L367" s="32"/>
      <c r="M367" s="32"/>
      <c r="N367" s="33"/>
      <c r="O367" s="33"/>
      <c r="P367" s="33"/>
      <c r="Q367" s="13"/>
      <c r="R367" s="13"/>
      <c r="S367" s="13"/>
      <c r="T367" s="13"/>
      <c r="U367" s="13"/>
      <c r="V367" s="13"/>
      <c r="W367" s="33"/>
      <c r="X367" s="33"/>
      <c r="Y367" s="33"/>
      <c r="Z367" s="33"/>
      <c r="AA367" s="33"/>
      <c r="AB367" s="33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</row>
    <row r="368" spans="2:83" s="30" customFormat="1">
      <c r="B368" s="32"/>
      <c r="C368" s="32"/>
      <c r="D368" s="32"/>
      <c r="E368" s="32"/>
      <c r="F368" s="32"/>
      <c r="G368" s="36"/>
      <c r="H368" s="32"/>
      <c r="I368" s="37"/>
      <c r="J368" s="32"/>
      <c r="K368" s="32"/>
      <c r="L368" s="32"/>
      <c r="M368" s="32"/>
      <c r="N368" s="33"/>
      <c r="O368" s="33"/>
      <c r="P368" s="33"/>
      <c r="Q368" s="13"/>
      <c r="R368" s="13"/>
      <c r="S368" s="13"/>
      <c r="T368" s="13"/>
      <c r="U368" s="13"/>
      <c r="V368" s="13"/>
      <c r="W368" s="33"/>
      <c r="X368" s="33"/>
      <c r="Y368" s="33"/>
      <c r="Z368" s="33"/>
      <c r="AA368" s="33"/>
      <c r="AB368" s="33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</row>
    <row r="369" spans="2:83" s="30" customFormat="1">
      <c r="B369" s="32"/>
      <c r="C369" s="32"/>
      <c r="D369" s="32"/>
      <c r="E369" s="32"/>
      <c r="F369" s="32"/>
      <c r="G369" s="36"/>
      <c r="H369" s="32"/>
      <c r="I369" s="37"/>
      <c r="J369" s="32"/>
      <c r="K369" s="32"/>
      <c r="L369" s="32"/>
      <c r="M369" s="32"/>
      <c r="N369" s="33"/>
      <c r="O369" s="33"/>
      <c r="P369" s="33"/>
      <c r="Q369" s="13"/>
      <c r="R369" s="13"/>
      <c r="S369" s="13"/>
      <c r="T369" s="13"/>
      <c r="U369" s="13"/>
      <c r="V369" s="13"/>
      <c r="W369" s="33"/>
      <c r="X369" s="33"/>
      <c r="Y369" s="33"/>
      <c r="Z369" s="33"/>
      <c r="AA369" s="33"/>
      <c r="AB369" s="33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</row>
    <row r="370" spans="2:83" s="30" customFormat="1">
      <c r="B370" s="32"/>
      <c r="C370" s="32"/>
      <c r="D370" s="32"/>
      <c r="E370" s="32"/>
      <c r="F370" s="32"/>
      <c r="G370" s="36"/>
      <c r="H370" s="32"/>
      <c r="I370" s="37"/>
      <c r="J370" s="32"/>
      <c r="K370" s="32"/>
      <c r="L370" s="32"/>
      <c r="M370" s="32"/>
      <c r="N370" s="33"/>
      <c r="O370" s="33"/>
      <c r="P370" s="33"/>
      <c r="Q370" s="13"/>
      <c r="R370" s="13"/>
      <c r="S370" s="13"/>
      <c r="T370" s="13"/>
      <c r="U370" s="13"/>
      <c r="V370" s="13"/>
      <c r="W370" s="33"/>
      <c r="X370" s="33"/>
      <c r="Y370" s="33"/>
      <c r="Z370" s="33"/>
      <c r="AA370" s="33"/>
      <c r="AB370" s="33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</row>
    <row r="371" spans="2:83" s="30" customFormat="1">
      <c r="B371" s="32"/>
      <c r="C371" s="32"/>
      <c r="D371" s="32"/>
      <c r="E371" s="32"/>
      <c r="F371" s="32"/>
      <c r="G371" s="36"/>
      <c r="H371" s="32"/>
      <c r="I371" s="37"/>
      <c r="J371" s="32"/>
      <c r="K371" s="32"/>
      <c r="L371" s="32"/>
      <c r="M371" s="32"/>
      <c r="N371" s="33"/>
      <c r="O371" s="33"/>
      <c r="P371" s="33"/>
      <c r="Q371" s="13"/>
      <c r="R371" s="13"/>
      <c r="S371" s="13"/>
      <c r="T371" s="13"/>
      <c r="U371" s="13"/>
      <c r="V371" s="13"/>
      <c r="W371" s="33"/>
      <c r="X371" s="33"/>
      <c r="Y371" s="33"/>
      <c r="Z371" s="33"/>
      <c r="AA371" s="33"/>
      <c r="AB371" s="33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</row>
    <row r="372" spans="2:83" s="30" customFormat="1">
      <c r="B372" s="32"/>
      <c r="C372" s="32"/>
      <c r="D372" s="32"/>
      <c r="E372" s="32"/>
      <c r="F372" s="32"/>
      <c r="G372" s="36"/>
      <c r="H372" s="32"/>
      <c r="I372" s="37"/>
      <c r="J372" s="32"/>
      <c r="K372" s="32"/>
      <c r="L372" s="32"/>
      <c r="M372" s="32"/>
      <c r="N372" s="33"/>
      <c r="O372" s="33"/>
      <c r="P372" s="33"/>
      <c r="Q372" s="13"/>
      <c r="R372" s="13"/>
      <c r="S372" s="13"/>
      <c r="T372" s="13"/>
      <c r="U372" s="13"/>
      <c r="V372" s="13"/>
      <c r="W372" s="33"/>
      <c r="X372" s="33"/>
      <c r="Y372" s="33"/>
      <c r="Z372" s="33"/>
      <c r="AA372" s="33"/>
      <c r="AB372" s="33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</row>
    <row r="373" spans="2:83" s="30" customFormat="1">
      <c r="B373" s="32"/>
      <c r="C373" s="32"/>
      <c r="D373" s="32"/>
      <c r="E373" s="32"/>
      <c r="F373" s="32"/>
      <c r="G373" s="36"/>
      <c r="H373" s="32"/>
      <c r="I373" s="37"/>
      <c r="J373" s="32"/>
      <c r="K373" s="32"/>
      <c r="L373" s="32"/>
      <c r="M373" s="32"/>
      <c r="N373" s="33"/>
      <c r="O373" s="33"/>
      <c r="P373" s="33"/>
      <c r="Q373" s="13"/>
      <c r="R373" s="13"/>
      <c r="S373" s="13"/>
      <c r="T373" s="13"/>
      <c r="U373" s="13"/>
      <c r="V373" s="13"/>
      <c r="W373" s="33"/>
      <c r="X373" s="33"/>
      <c r="Y373" s="33"/>
      <c r="Z373" s="33"/>
      <c r="AA373" s="33"/>
      <c r="AB373" s="33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</row>
    <row r="374" spans="2:83" s="30" customFormat="1">
      <c r="B374" s="32"/>
      <c r="C374" s="32"/>
      <c r="D374" s="32"/>
      <c r="E374" s="32"/>
      <c r="F374" s="32"/>
      <c r="G374" s="36"/>
      <c r="H374" s="32"/>
      <c r="I374" s="37"/>
      <c r="J374" s="32"/>
      <c r="K374" s="32"/>
      <c r="L374" s="32"/>
      <c r="M374" s="32"/>
      <c r="N374" s="33"/>
      <c r="O374" s="33"/>
      <c r="P374" s="33"/>
      <c r="Q374" s="13"/>
      <c r="R374" s="13"/>
      <c r="S374" s="13"/>
      <c r="T374" s="13"/>
      <c r="U374" s="13"/>
      <c r="V374" s="13"/>
      <c r="W374" s="33"/>
      <c r="X374" s="33"/>
      <c r="Y374" s="33"/>
      <c r="Z374" s="33"/>
      <c r="AA374" s="33"/>
      <c r="AB374" s="33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</row>
    <row r="375" spans="2:83" s="30" customFormat="1">
      <c r="B375" s="32"/>
      <c r="C375" s="32"/>
      <c r="D375" s="32"/>
      <c r="E375" s="32"/>
      <c r="F375" s="32"/>
      <c r="G375" s="36"/>
      <c r="H375" s="32"/>
      <c r="I375" s="37"/>
      <c r="J375" s="32"/>
      <c r="K375" s="32"/>
      <c r="L375" s="32"/>
      <c r="M375" s="32"/>
      <c r="N375" s="33"/>
      <c r="O375" s="33"/>
      <c r="P375" s="33"/>
      <c r="Q375" s="13"/>
      <c r="R375" s="13"/>
      <c r="S375" s="13"/>
      <c r="T375" s="13"/>
      <c r="U375" s="13"/>
      <c r="V375" s="13"/>
      <c r="W375" s="33"/>
      <c r="X375" s="33"/>
      <c r="Y375" s="33"/>
      <c r="Z375" s="33"/>
      <c r="AA375" s="33"/>
      <c r="AB375" s="33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</row>
    <row r="376" spans="2:83" s="30" customFormat="1">
      <c r="B376" s="32"/>
      <c r="C376" s="32"/>
      <c r="D376" s="32"/>
      <c r="E376" s="32"/>
      <c r="F376" s="32"/>
      <c r="G376" s="36"/>
      <c r="H376" s="32"/>
      <c r="I376" s="37"/>
      <c r="J376" s="32"/>
      <c r="K376" s="32"/>
      <c r="L376" s="32"/>
      <c r="M376" s="32"/>
      <c r="N376" s="33"/>
      <c r="O376" s="33"/>
      <c r="P376" s="33"/>
      <c r="Q376" s="13"/>
      <c r="R376" s="13"/>
      <c r="S376" s="13"/>
      <c r="T376" s="13"/>
      <c r="U376" s="13"/>
      <c r="V376" s="13"/>
      <c r="W376" s="33"/>
      <c r="X376" s="33"/>
      <c r="Y376" s="33"/>
      <c r="Z376" s="33"/>
      <c r="AA376" s="33"/>
      <c r="AB376" s="33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</row>
    <row r="377" spans="2:83" s="30" customFormat="1">
      <c r="B377" s="32"/>
      <c r="C377" s="32"/>
      <c r="D377" s="32"/>
      <c r="E377" s="32"/>
      <c r="F377" s="32"/>
      <c r="G377" s="36"/>
      <c r="H377" s="32"/>
      <c r="I377" s="37"/>
      <c r="J377" s="32"/>
      <c r="K377" s="32"/>
      <c r="L377" s="32"/>
      <c r="M377" s="32"/>
      <c r="N377" s="33"/>
      <c r="O377" s="33"/>
      <c r="P377" s="33"/>
      <c r="Q377" s="13"/>
      <c r="R377" s="13"/>
      <c r="S377" s="13"/>
      <c r="T377" s="13"/>
      <c r="U377" s="13"/>
      <c r="V377" s="13"/>
      <c r="W377" s="33"/>
      <c r="X377" s="33"/>
      <c r="Y377" s="33"/>
      <c r="Z377" s="33"/>
      <c r="AA377" s="33"/>
      <c r="AB377" s="33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</row>
    <row r="378" spans="2:83" s="30" customFormat="1">
      <c r="B378" s="32"/>
      <c r="C378" s="32"/>
      <c r="D378" s="32"/>
      <c r="E378" s="32"/>
      <c r="F378" s="32"/>
      <c r="G378" s="36"/>
      <c r="H378" s="32"/>
      <c r="I378" s="37"/>
      <c r="J378" s="32"/>
      <c r="K378" s="32"/>
      <c r="L378" s="32"/>
      <c r="M378" s="32"/>
      <c r="N378" s="33"/>
      <c r="O378" s="33"/>
      <c r="P378" s="33"/>
      <c r="Q378" s="13"/>
      <c r="R378" s="13"/>
      <c r="S378" s="13"/>
      <c r="T378" s="13"/>
      <c r="U378" s="13"/>
      <c r="V378" s="13"/>
      <c r="W378" s="33"/>
      <c r="X378" s="33"/>
      <c r="Y378" s="33"/>
      <c r="Z378" s="33"/>
      <c r="AA378" s="33"/>
      <c r="AB378" s="33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</row>
    <row r="379" spans="2:83" s="30" customFormat="1">
      <c r="B379" s="32"/>
      <c r="C379" s="32"/>
      <c r="D379" s="32"/>
      <c r="E379" s="32"/>
      <c r="F379" s="32"/>
      <c r="G379" s="36"/>
      <c r="H379" s="32"/>
      <c r="I379" s="37"/>
      <c r="J379" s="32"/>
      <c r="K379" s="32"/>
      <c r="L379" s="32"/>
      <c r="M379" s="32"/>
      <c r="N379" s="33"/>
      <c r="O379" s="33"/>
      <c r="P379" s="33"/>
      <c r="Q379" s="13"/>
      <c r="R379" s="13"/>
      <c r="S379" s="13"/>
      <c r="T379" s="13"/>
      <c r="U379" s="13"/>
      <c r="V379" s="13"/>
      <c r="W379" s="33"/>
      <c r="X379" s="33"/>
      <c r="Y379" s="33"/>
      <c r="Z379" s="33"/>
      <c r="AA379" s="33"/>
      <c r="AB379" s="33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</row>
    <row r="380" spans="2:83" s="30" customFormat="1">
      <c r="B380" s="32"/>
      <c r="C380" s="32"/>
      <c r="D380" s="32"/>
      <c r="E380" s="32"/>
      <c r="F380" s="32"/>
      <c r="G380" s="36"/>
      <c r="H380" s="32"/>
      <c r="I380" s="37"/>
      <c r="J380" s="32"/>
      <c r="K380" s="32"/>
      <c r="L380" s="32"/>
      <c r="M380" s="32"/>
      <c r="N380" s="33"/>
      <c r="O380" s="33"/>
      <c r="P380" s="33"/>
      <c r="Q380" s="13"/>
      <c r="R380" s="13"/>
      <c r="S380" s="13"/>
      <c r="T380" s="13"/>
      <c r="U380" s="13"/>
      <c r="V380" s="13"/>
      <c r="W380" s="33"/>
      <c r="X380" s="33"/>
      <c r="Y380" s="33"/>
      <c r="Z380" s="33"/>
      <c r="AA380" s="33"/>
      <c r="AB380" s="33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</row>
    <row r="381" spans="2:83" s="30" customFormat="1">
      <c r="B381" s="32"/>
      <c r="C381" s="32"/>
      <c r="D381" s="32"/>
      <c r="E381" s="32"/>
      <c r="F381" s="32"/>
      <c r="G381" s="36"/>
      <c r="H381" s="32"/>
      <c r="I381" s="37"/>
      <c r="J381" s="32"/>
      <c r="K381" s="32"/>
      <c r="L381" s="32"/>
      <c r="M381" s="32"/>
      <c r="N381" s="33"/>
      <c r="O381" s="33"/>
      <c r="P381" s="33"/>
      <c r="Q381" s="13"/>
      <c r="R381" s="13"/>
      <c r="S381" s="13"/>
      <c r="T381" s="13"/>
      <c r="U381" s="13"/>
      <c r="V381" s="13"/>
      <c r="W381" s="33"/>
      <c r="X381" s="33"/>
      <c r="Y381" s="33"/>
      <c r="Z381" s="33"/>
      <c r="AA381" s="33"/>
      <c r="AB381" s="33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</row>
    <row r="382" spans="2:83" s="30" customFormat="1">
      <c r="B382" s="32"/>
      <c r="C382" s="32"/>
      <c r="D382" s="32"/>
      <c r="E382" s="32"/>
      <c r="F382" s="32"/>
      <c r="G382" s="36"/>
      <c r="H382" s="32"/>
      <c r="I382" s="37"/>
      <c r="J382" s="32"/>
      <c r="K382" s="32"/>
      <c r="L382" s="32"/>
      <c r="M382" s="32"/>
      <c r="N382" s="33"/>
      <c r="O382" s="33"/>
      <c r="P382" s="33"/>
      <c r="Q382" s="13"/>
      <c r="R382" s="13"/>
      <c r="S382" s="13"/>
      <c r="T382" s="13"/>
      <c r="U382" s="13"/>
      <c r="V382" s="13"/>
      <c r="W382" s="33"/>
      <c r="X382" s="33"/>
      <c r="Y382" s="33"/>
      <c r="Z382" s="33"/>
      <c r="AA382" s="33"/>
      <c r="AB382" s="33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</row>
    <row r="383" spans="2:83" s="30" customFormat="1">
      <c r="B383" s="32"/>
      <c r="C383" s="32"/>
      <c r="D383" s="32"/>
      <c r="E383" s="32"/>
      <c r="F383" s="32"/>
      <c r="G383" s="36"/>
      <c r="H383" s="32"/>
      <c r="I383" s="37"/>
      <c r="J383" s="32"/>
      <c r="K383" s="32"/>
      <c r="L383" s="32"/>
      <c r="M383" s="32"/>
      <c r="N383" s="33"/>
      <c r="O383" s="33"/>
      <c r="P383" s="33"/>
      <c r="Q383" s="13"/>
      <c r="R383" s="13"/>
      <c r="S383" s="13"/>
      <c r="T383" s="13"/>
      <c r="U383" s="13"/>
      <c r="V383" s="13"/>
      <c r="W383" s="33"/>
      <c r="X383" s="33"/>
      <c r="Y383" s="33"/>
      <c r="Z383" s="33"/>
      <c r="AA383" s="33"/>
      <c r="AB383" s="33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</row>
    <row r="384" spans="2:83" s="30" customFormat="1">
      <c r="B384" s="32"/>
      <c r="C384" s="32"/>
      <c r="D384" s="32"/>
      <c r="E384" s="32"/>
      <c r="F384" s="32"/>
      <c r="G384" s="36"/>
      <c r="H384" s="32"/>
      <c r="I384" s="37"/>
      <c r="J384" s="32"/>
      <c r="K384" s="32"/>
      <c r="L384" s="32"/>
      <c r="M384" s="32"/>
      <c r="N384" s="33"/>
      <c r="O384" s="33"/>
      <c r="P384" s="33"/>
      <c r="Q384" s="13"/>
      <c r="R384" s="13"/>
      <c r="S384" s="13"/>
      <c r="T384" s="13"/>
      <c r="U384" s="13"/>
      <c r="V384" s="13"/>
      <c r="W384" s="33"/>
      <c r="X384" s="33"/>
      <c r="Y384" s="33"/>
      <c r="Z384" s="33"/>
      <c r="AA384" s="33"/>
      <c r="AB384" s="33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</row>
    <row r="385" spans="2:83" s="30" customFormat="1">
      <c r="B385" s="32"/>
      <c r="C385" s="32"/>
      <c r="D385" s="32"/>
      <c r="E385" s="32"/>
      <c r="F385" s="32"/>
      <c r="G385" s="36"/>
      <c r="H385" s="32"/>
      <c r="I385" s="37"/>
      <c r="J385" s="32"/>
      <c r="K385" s="32"/>
      <c r="L385" s="32"/>
      <c r="M385" s="32"/>
      <c r="N385" s="33"/>
      <c r="O385" s="33"/>
      <c r="P385" s="33"/>
      <c r="Q385" s="13"/>
      <c r="R385" s="13"/>
      <c r="S385" s="13"/>
      <c r="T385" s="13"/>
      <c r="U385" s="13"/>
      <c r="V385" s="13"/>
      <c r="W385" s="33"/>
      <c r="X385" s="33"/>
      <c r="Y385" s="33"/>
      <c r="Z385" s="33"/>
      <c r="AA385" s="33"/>
      <c r="AB385" s="33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</row>
    <row r="386" spans="2:83" s="30" customFormat="1">
      <c r="B386" s="32"/>
      <c r="C386" s="32"/>
      <c r="D386" s="32"/>
      <c r="E386" s="32"/>
      <c r="F386" s="32"/>
      <c r="G386" s="36"/>
      <c r="H386" s="32"/>
      <c r="I386" s="37"/>
      <c r="J386" s="32"/>
      <c r="K386" s="32"/>
      <c r="L386" s="32"/>
      <c r="M386" s="32"/>
      <c r="N386" s="33"/>
      <c r="O386" s="33"/>
      <c r="P386" s="33"/>
      <c r="Q386" s="13"/>
      <c r="R386" s="13"/>
      <c r="S386" s="13"/>
      <c r="T386" s="13"/>
      <c r="U386" s="13"/>
      <c r="V386" s="13"/>
      <c r="W386" s="33"/>
      <c r="X386" s="33"/>
      <c r="Y386" s="33"/>
      <c r="Z386" s="33"/>
      <c r="AA386" s="33"/>
      <c r="AB386" s="33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</row>
    <row r="387" spans="2:83" s="30" customFormat="1">
      <c r="B387" s="32"/>
      <c r="C387" s="32"/>
      <c r="D387" s="32"/>
      <c r="E387" s="32"/>
      <c r="F387" s="32"/>
      <c r="G387" s="36"/>
      <c r="H387" s="32"/>
      <c r="I387" s="37"/>
      <c r="J387" s="32"/>
      <c r="K387" s="32"/>
      <c r="L387" s="32"/>
      <c r="M387" s="32"/>
      <c r="N387" s="33"/>
      <c r="O387" s="33"/>
      <c r="P387" s="33"/>
      <c r="Q387" s="13"/>
      <c r="R387" s="13"/>
      <c r="S387" s="13"/>
      <c r="T387" s="13"/>
      <c r="U387" s="13"/>
      <c r="V387" s="13"/>
      <c r="W387" s="33"/>
      <c r="X387" s="33"/>
      <c r="Y387" s="33"/>
      <c r="Z387" s="33"/>
      <c r="AA387" s="33"/>
      <c r="AB387" s="33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</row>
    <row r="388" spans="2:83" s="30" customFormat="1">
      <c r="B388" s="32"/>
      <c r="C388" s="32"/>
      <c r="D388" s="32"/>
      <c r="E388" s="32"/>
      <c r="F388" s="32"/>
      <c r="G388" s="36"/>
      <c r="H388" s="32"/>
      <c r="I388" s="37"/>
      <c r="J388" s="32"/>
      <c r="K388" s="32"/>
      <c r="L388" s="32"/>
      <c r="M388" s="32"/>
      <c r="N388" s="33"/>
      <c r="O388" s="33"/>
      <c r="P388" s="33"/>
      <c r="Q388" s="13"/>
      <c r="R388" s="13"/>
      <c r="S388" s="13"/>
      <c r="T388" s="13"/>
      <c r="U388" s="13"/>
      <c r="V388" s="13"/>
      <c r="W388" s="33"/>
      <c r="X388" s="33"/>
      <c r="Y388" s="33"/>
      <c r="Z388" s="33"/>
      <c r="AA388" s="33"/>
      <c r="AB388" s="33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</row>
    <row r="389" spans="2:83" s="30" customFormat="1">
      <c r="B389" s="32"/>
      <c r="C389" s="32"/>
      <c r="D389" s="32"/>
      <c r="E389" s="32"/>
      <c r="F389" s="32"/>
      <c r="G389" s="36"/>
      <c r="H389" s="32"/>
      <c r="I389" s="37"/>
      <c r="J389" s="32"/>
      <c r="K389" s="32"/>
      <c r="L389" s="32"/>
      <c r="M389" s="32"/>
      <c r="N389" s="33"/>
      <c r="O389" s="33"/>
      <c r="P389" s="33"/>
      <c r="Q389" s="13"/>
      <c r="R389" s="13"/>
      <c r="S389" s="13"/>
      <c r="T389" s="13"/>
      <c r="U389" s="13"/>
      <c r="V389" s="13"/>
      <c r="W389" s="33"/>
      <c r="X389" s="33"/>
      <c r="Y389" s="33"/>
      <c r="Z389" s="33"/>
      <c r="AA389" s="33"/>
      <c r="AB389" s="33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</row>
    <row r="390" spans="2:83" s="30" customFormat="1">
      <c r="B390" s="32"/>
      <c r="C390" s="32"/>
      <c r="D390" s="32"/>
      <c r="E390" s="32"/>
      <c r="F390" s="32"/>
      <c r="G390" s="36"/>
      <c r="H390" s="32"/>
      <c r="I390" s="37"/>
      <c r="J390" s="32"/>
      <c r="K390" s="32"/>
      <c r="L390" s="32"/>
      <c r="M390" s="32"/>
      <c r="N390" s="33"/>
      <c r="O390" s="33"/>
      <c r="P390" s="33"/>
      <c r="Q390" s="13"/>
      <c r="R390" s="13"/>
      <c r="S390" s="13"/>
      <c r="T390" s="13"/>
      <c r="U390" s="13"/>
      <c r="V390" s="13"/>
      <c r="W390" s="33"/>
      <c r="X390" s="33"/>
      <c r="Y390" s="33"/>
      <c r="Z390" s="33"/>
      <c r="AA390" s="33"/>
      <c r="AB390" s="33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</row>
    <row r="391" spans="2:83" s="30" customFormat="1">
      <c r="B391" s="32"/>
      <c r="C391" s="32"/>
      <c r="D391" s="32"/>
      <c r="E391" s="32"/>
      <c r="F391" s="32"/>
      <c r="G391" s="36"/>
      <c r="H391" s="32"/>
      <c r="I391" s="37"/>
      <c r="J391" s="32"/>
      <c r="K391" s="32"/>
      <c r="L391" s="32"/>
      <c r="M391" s="32"/>
      <c r="N391" s="33"/>
      <c r="O391" s="33"/>
      <c r="P391" s="33"/>
      <c r="Q391" s="13"/>
      <c r="R391" s="13"/>
      <c r="S391" s="13"/>
      <c r="T391" s="13"/>
      <c r="U391" s="13"/>
      <c r="V391" s="13"/>
      <c r="W391" s="33"/>
      <c r="X391" s="33"/>
      <c r="Y391" s="33"/>
      <c r="Z391" s="33"/>
      <c r="AA391" s="33"/>
      <c r="AB391" s="33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</row>
    <row r="392" spans="2:83" s="30" customFormat="1">
      <c r="B392" s="32"/>
      <c r="C392" s="32"/>
      <c r="D392" s="32"/>
      <c r="E392" s="32"/>
      <c r="F392" s="32"/>
      <c r="G392" s="36"/>
      <c r="H392" s="32"/>
      <c r="I392" s="37"/>
      <c r="J392" s="32"/>
      <c r="K392" s="32"/>
      <c r="L392" s="32"/>
      <c r="M392" s="32"/>
      <c r="N392" s="33"/>
      <c r="O392" s="33"/>
      <c r="P392" s="33"/>
      <c r="Q392" s="13"/>
      <c r="R392" s="13"/>
      <c r="S392" s="13"/>
      <c r="T392" s="13"/>
      <c r="U392" s="13"/>
      <c r="V392" s="13"/>
      <c r="W392" s="33"/>
      <c r="X392" s="33"/>
      <c r="Y392" s="33"/>
      <c r="Z392" s="33"/>
      <c r="AA392" s="33"/>
      <c r="AB392" s="33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  <c r="CE392" s="32"/>
    </row>
    <row r="393" spans="2:83" s="30" customFormat="1">
      <c r="B393" s="32"/>
      <c r="C393" s="32"/>
      <c r="D393" s="32"/>
      <c r="E393" s="32"/>
      <c r="F393" s="32"/>
      <c r="G393" s="36"/>
      <c r="H393" s="32"/>
      <c r="I393" s="37"/>
      <c r="J393" s="32"/>
      <c r="K393" s="32"/>
      <c r="L393" s="32"/>
      <c r="M393" s="32"/>
      <c r="N393" s="33"/>
      <c r="O393" s="33"/>
      <c r="P393" s="33"/>
      <c r="Q393" s="13"/>
      <c r="R393" s="13"/>
      <c r="S393" s="13"/>
      <c r="T393" s="13"/>
      <c r="U393" s="13"/>
      <c r="V393" s="13"/>
      <c r="W393" s="33"/>
      <c r="X393" s="33"/>
      <c r="Y393" s="33"/>
      <c r="Z393" s="33"/>
      <c r="AA393" s="33"/>
      <c r="AB393" s="33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</row>
    <row r="394" spans="2:83" s="30" customFormat="1">
      <c r="B394" s="32"/>
      <c r="C394" s="32"/>
      <c r="D394" s="32"/>
      <c r="E394" s="32"/>
      <c r="F394" s="32"/>
      <c r="G394" s="36"/>
      <c r="H394" s="32"/>
      <c r="I394" s="37"/>
      <c r="J394" s="32"/>
      <c r="K394" s="32"/>
      <c r="L394" s="32"/>
      <c r="M394" s="32"/>
      <c r="N394" s="33"/>
      <c r="O394" s="33"/>
      <c r="P394" s="33"/>
      <c r="Q394" s="13"/>
      <c r="R394" s="13"/>
      <c r="S394" s="13"/>
      <c r="T394" s="13"/>
      <c r="U394" s="13"/>
      <c r="V394" s="13"/>
      <c r="W394" s="33"/>
      <c r="X394" s="33"/>
      <c r="Y394" s="33"/>
      <c r="Z394" s="33"/>
      <c r="AA394" s="33"/>
      <c r="AB394" s="33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</row>
    <row r="395" spans="2:83" s="30" customFormat="1">
      <c r="B395" s="32"/>
      <c r="C395" s="32"/>
      <c r="D395" s="32"/>
      <c r="E395" s="32"/>
      <c r="F395" s="32"/>
      <c r="G395" s="36"/>
      <c r="H395" s="32"/>
      <c r="I395" s="37"/>
      <c r="J395" s="32"/>
      <c r="K395" s="32"/>
      <c r="L395" s="32"/>
      <c r="M395" s="32"/>
      <c r="N395" s="33"/>
      <c r="O395" s="33"/>
      <c r="P395" s="33"/>
      <c r="Q395" s="13"/>
      <c r="R395" s="13"/>
      <c r="S395" s="13"/>
      <c r="T395" s="13"/>
      <c r="U395" s="13"/>
      <c r="V395" s="13"/>
      <c r="W395" s="33"/>
      <c r="X395" s="33"/>
      <c r="Y395" s="33"/>
      <c r="Z395" s="33"/>
      <c r="AA395" s="33"/>
      <c r="AB395" s="33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</row>
    <row r="396" spans="2:83" s="30" customFormat="1">
      <c r="B396" s="32"/>
      <c r="C396" s="32"/>
      <c r="D396" s="32"/>
      <c r="E396" s="32"/>
      <c r="F396" s="32"/>
      <c r="G396" s="36"/>
      <c r="H396" s="32"/>
      <c r="I396" s="37"/>
      <c r="J396" s="32"/>
      <c r="K396" s="32"/>
      <c r="L396" s="32"/>
      <c r="M396" s="32"/>
      <c r="N396" s="33"/>
      <c r="O396" s="33"/>
      <c r="P396" s="33"/>
      <c r="Q396" s="13"/>
      <c r="R396" s="13"/>
      <c r="S396" s="13"/>
      <c r="T396" s="13"/>
      <c r="U396" s="13"/>
      <c r="V396" s="13"/>
      <c r="W396" s="33"/>
      <c r="X396" s="33"/>
      <c r="Y396" s="33"/>
      <c r="Z396" s="33"/>
      <c r="AA396" s="33"/>
      <c r="AB396" s="33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  <c r="CE396" s="32"/>
    </row>
    <row r="397" spans="2:83" s="30" customFormat="1">
      <c r="B397" s="32"/>
      <c r="C397" s="32"/>
      <c r="D397" s="32"/>
      <c r="E397" s="32"/>
      <c r="F397" s="32"/>
      <c r="G397" s="36"/>
      <c r="H397" s="32"/>
      <c r="I397" s="37"/>
      <c r="J397" s="32"/>
      <c r="K397" s="32"/>
      <c r="L397" s="32"/>
      <c r="M397" s="32"/>
      <c r="N397" s="33"/>
      <c r="O397" s="33"/>
      <c r="P397" s="33"/>
      <c r="Q397" s="13"/>
      <c r="R397" s="13"/>
      <c r="S397" s="13"/>
      <c r="T397" s="13"/>
      <c r="U397" s="13"/>
      <c r="V397" s="13"/>
      <c r="W397" s="33"/>
      <c r="X397" s="33"/>
      <c r="Y397" s="33"/>
      <c r="Z397" s="33"/>
      <c r="AA397" s="33"/>
      <c r="AB397" s="33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</row>
    <row r="398" spans="2:83" s="30" customFormat="1">
      <c r="B398" s="32"/>
      <c r="C398" s="32"/>
      <c r="D398" s="32"/>
      <c r="E398" s="32"/>
      <c r="F398" s="32"/>
      <c r="G398" s="36"/>
      <c r="H398" s="32"/>
      <c r="I398" s="37"/>
      <c r="J398" s="32"/>
      <c r="K398" s="32"/>
      <c r="L398" s="32"/>
      <c r="M398" s="32"/>
      <c r="N398" s="33"/>
      <c r="O398" s="33"/>
      <c r="P398" s="33"/>
      <c r="Q398" s="13"/>
      <c r="R398" s="13"/>
      <c r="S398" s="13"/>
      <c r="T398" s="13"/>
      <c r="U398" s="13"/>
      <c r="V398" s="13"/>
      <c r="W398" s="33"/>
      <c r="X398" s="33"/>
      <c r="Y398" s="33"/>
      <c r="Z398" s="33"/>
      <c r="AA398" s="33"/>
      <c r="AB398" s="33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</row>
    <row r="399" spans="2:83" s="30" customFormat="1">
      <c r="B399" s="32"/>
      <c r="C399" s="32"/>
      <c r="D399" s="32"/>
      <c r="E399" s="32"/>
      <c r="F399" s="32"/>
      <c r="G399" s="36"/>
      <c r="H399" s="32"/>
      <c r="I399" s="37"/>
      <c r="J399" s="32"/>
      <c r="K399" s="32"/>
      <c r="L399" s="32"/>
      <c r="M399" s="32"/>
      <c r="N399" s="33"/>
      <c r="O399" s="33"/>
      <c r="P399" s="33"/>
      <c r="Q399" s="13"/>
      <c r="R399" s="13"/>
      <c r="S399" s="13"/>
      <c r="T399" s="13"/>
      <c r="U399" s="13"/>
      <c r="V399" s="13"/>
      <c r="W399" s="33"/>
      <c r="X399" s="33"/>
      <c r="Y399" s="33"/>
      <c r="Z399" s="33"/>
      <c r="AA399" s="33"/>
      <c r="AB399" s="33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</row>
    <row r="400" spans="2:83" s="30" customFormat="1">
      <c r="B400" s="32"/>
      <c r="C400" s="32"/>
      <c r="D400" s="32"/>
      <c r="E400" s="32"/>
      <c r="F400" s="32"/>
      <c r="G400" s="36"/>
      <c r="H400" s="32"/>
      <c r="I400" s="37"/>
      <c r="J400" s="32"/>
      <c r="K400" s="32"/>
      <c r="L400" s="32"/>
      <c r="M400" s="32"/>
      <c r="N400" s="33"/>
      <c r="O400" s="33"/>
      <c r="P400" s="33"/>
      <c r="Q400" s="13"/>
      <c r="R400" s="13"/>
      <c r="S400" s="13"/>
      <c r="T400" s="13"/>
      <c r="U400" s="13"/>
      <c r="V400" s="13"/>
      <c r="W400" s="33"/>
      <c r="X400" s="33"/>
      <c r="Y400" s="33"/>
      <c r="Z400" s="33"/>
      <c r="AA400" s="33"/>
      <c r="AB400" s="33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</row>
    <row r="401" spans="2:83" s="30" customFormat="1">
      <c r="B401" s="32"/>
      <c r="C401" s="32"/>
      <c r="D401" s="32"/>
      <c r="E401" s="32"/>
      <c r="F401" s="32"/>
      <c r="G401" s="36"/>
      <c r="H401" s="32"/>
      <c r="I401" s="37"/>
      <c r="J401" s="32"/>
      <c r="K401" s="32"/>
      <c r="L401" s="32"/>
      <c r="M401" s="32"/>
      <c r="N401" s="33"/>
      <c r="O401" s="33"/>
      <c r="P401" s="33"/>
      <c r="Q401" s="13"/>
      <c r="R401" s="13"/>
      <c r="S401" s="13"/>
      <c r="T401" s="13"/>
      <c r="U401" s="13"/>
      <c r="V401" s="13"/>
      <c r="W401" s="33"/>
      <c r="X401" s="33"/>
      <c r="Y401" s="33"/>
      <c r="Z401" s="33"/>
      <c r="AA401" s="33"/>
      <c r="AB401" s="33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</row>
    <row r="402" spans="2:83" s="30" customFormat="1">
      <c r="B402" s="32"/>
      <c r="C402" s="32"/>
      <c r="D402" s="32"/>
      <c r="E402" s="32"/>
      <c r="F402" s="32"/>
      <c r="G402" s="36"/>
      <c r="H402" s="32"/>
      <c r="I402" s="37"/>
      <c r="J402" s="32"/>
      <c r="K402" s="32"/>
      <c r="L402" s="32"/>
      <c r="M402" s="32"/>
      <c r="N402" s="33"/>
      <c r="O402" s="33"/>
      <c r="P402" s="33"/>
      <c r="Q402" s="13"/>
      <c r="R402" s="13"/>
      <c r="S402" s="13"/>
      <c r="T402" s="13"/>
      <c r="U402" s="13"/>
      <c r="V402" s="13"/>
      <c r="W402" s="33"/>
      <c r="X402" s="33"/>
      <c r="Y402" s="33"/>
      <c r="Z402" s="33"/>
      <c r="AA402" s="33"/>
      <c r="AB402" s="33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  <c r="CE402" s="32"/>
    </row>
    <row r="403" spans="2:83" s="30" customFormat="1">
      <c r="B403" s="32"/>
      <c r="C403" s="32"/>
      <c r="D403" s="32"/>
      <c r="E403" s="32"/>
      <c r="F403" s="32"/>
      <c r="G403" s="36"/>
      <c r="H403" s="32"/>
      <c r="I403" s="37"/>
      <c r="J403" s="32"/>
      <c r="K403" s="32"/>
      <c r="L403" s="32"/>
      <c r="M403" s="32"/>
      <c r="N403" s="33"/>
      <c r="O403" s="33"/>
      <c r="P403" s="33"/>
      <c r="Q403" s="13"/>
      <c r="R403" s="13"/>
      <c r="S403" s="13"/>
      <c r="T403" s="13"/>
      <c r="U403" s="13"/>
      <c r="V403" s="13"/>
      <c r="W403" s="33"/>
      <c r="X403" s="33"/>
      <c r="Y403" s="33"/>
      <c r="Z403" s="33"/>
      <c r="AA403" s="33"/>
      <c r="AB403" s="33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</row>
    <row r="404" spans="2:83" s="30" customFormat="1">
      <c r="B404" s="32"/>
      <c r="C404" s="32"/>
      <c r="D404" s="32"/>
      <c r="E404" s="32"/>
      <c r="F404" s="32"/>
      <c r="G404" s="36"/>
      <c r="H404" s="32"/>
      <c r="I404" s="37"/>
      <c r="J404" s="32"/>
      <c r="K404" s="32"/>
      <c r="L404" s="32"/>
      <c r="M404" s="32"/>
      <c r="N404" s="33"/>
      <c r="O404" s="33"/>
      <c r="P404" s="33"/>
      <c r="Q404" s="13"/>
      <c r="R404" s="13"/>
      <c r="S404" s="13"/>
      <c r="T404" s="13"/>
      <c r="U404" s="13"/>
      <c r="V404" s="13"/>
      <c r="W404" s="33"/>
      <c r="X404" s="33"/>
      <c r="Y404" s="33"/>
      <c r="Z404" s="33"/>
      <c r="AA404" s="33"/>
      <c r="AB404" s="33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</row>
    <row r="405" spans="2:83" s="30" customFormat="1">
      <c r="B405" s="32"/>
      <c r="C405" s="32"/>
      <c r="D405" s="32"/>
      <c r="E405" s="32"/>
      <c r="F405" s="32"/>
      <c r="G405" s="36"/>
      <c r="H405" s="32"/>
      <c r="I405" s="37"/>
      <c r="J405" s="32"/>
      <c r="K405" s="32"/>
      <c r="L405" s="32"/>
      <c r="M405" s="32"/>
      <c r="N405" s="33"/>
      <c r="O405" s="33"/>
      <c r="P405" s="33"/>
      <c r="Q405" s="13"/>
      <c r="R405" s="13"/>
      <c r="S405" s="13"/>
      <c r="T405" s="13"/>
      <c r="U405" s="13"/>
      <c r="V405" s="13"/>
      <c r="W405" s="33"/>
      <c r="X405" s="33"/>
      <c r="Y405" s="33"/>
      <c r="Z405" s="33"/>
      <c r="AA405" s="33"/>
      <c r="AB405" s="33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</row>
    <row r="406" spans="2:83" s="30" customFormat="1">
      <c r="B406" s="32"/>
      <c r="C406" s="32"/>
      <c r="D406" s="32"/>
      <c r="E406" s="32"/>
      <c r="F406" s="32"/>
      <c r="G406" s="36"/>
      <c r="H406" s="32"/>
      <c r="I406" s="37"/>
      <c r="J406" s="32"/>
      <c r="K406" s="32"/>
      <c r="L406" s="32"/>
      <c r="M406" s="32"/>
      <c r="N406" s="33"/>
      <c r="O406" s="33"/>
      <c r="P406" s="33"/>
      <c r="Q406" s="13"/>
      <c r="R406" s="13"/>
      <c r="S406" s="13"/>
      <c r="T406" s="13"/>
      <c r="U406" s="13"/>
      <c r="V406" s="13"/>
      <c r="W406" s="33"/>
      <c r="X406" s="33"/>
      <c r="Y406" s="33"/>
      <c r="Z406" s="33"/>
      <c r="AA406" s="33"/>
      <c r="AB406" s="33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</row>
    <row r="407" spans="2:83" s="30" customFormat="1">
      <c r="B407" s="32"/>
      <c r="C407" s="32"/>
      <c r="D407" s="32"/>
      <c r="E407" s="32"/>
      <c r="F407" s="32"/>
      <c r="G407" s="36"/>
      <c r="H407" s="32"/>
      <c r="I407" s="37"/>
      <c r="J407" s="32"/>
      <c r="K407" s="32"/>
      <c r="L407" s="32"/>
      <c r="M407" s="32"/>
      <c r="N407" s="33"/>
      <c r="O407" s="33"/>
      <c r="P407" s="33"/>
      <c r="Q407" s="13"/>
      <c r="R407" s="13"/>
      <c r="S407" s="13"/>
      <c r="T407" s="13"/>
      <c r="U407" s="13"/>
      <c r="V407" s="13"/>
      <c r="W407" s="33"/>
      <c r="X407" s="33"/>
      <c r="Y407" s="33"/>
      <c r="Z407" s="33"/>
      <c r="AA407" s="33"/>
      <c r="AB407" s="33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</row>
    <row r="408" spans="2:83" s="30" customFormat="1">
      <c r="B408" s="32"/>
      <c r="C408" s="32"/>
      <c r="D408" s="32"/>
      <c r="E408" s="32"/>
      <c r="F408" s="32"/>
      <c r="G408" s="36"/>
      <c r="H408" s="32"/>
      <c r="I408" s="37"/>
      <c r="J408" s="32"/>
      <c r="K408" s="32"/>
      <c r="L408" s="32"/>
      <c r="M408" s="32"/>
      <c r="N408" s="33"/>
      <c r="O408" s="33"/>
      <c r="P408" s="33"/>
      <c r="Q408" s="13"/>
      <c r="R408" s="13"/>
      <c r="S408" s="13"/>
      <c r="T408" s="13"/>
      <c r="U408" s="13"/>
      <c r="V408" s="13"/>
      <c r="W408" s="33"/>
      <c r="X408" s="33"/>
      <c r="Y408" s="33"/>
      <c r="Z408" s="33"/>
      <c r="AA408" s="33"/>
      <c r="AB408" s="33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  <c r="CE408" s="32"/>
    </row>
    <row r="409" spans="2:83" s="30" customFormat="1">
      <c r="B409" s="32"/>
      <c r="C409" s="32"/>
      <c r="D409" s="32"/>
      <c r="E409" s="32"/>
      <c r="F409" s="32"/>
      <c r="G409" s="36"/>
      <c r="H409" s="32"/>
      <c r="I409" s="37"/>
      <c r="J409" s="32"/>
      <c r="K409" s="32"/>
      <c r="L409" s="32"/>
      <c r="M409" s="32"/>
      <c r="N409" s="33"/>
      <c r="O409" s="33"/>
      <c r="P409" s="33"/>
      <c r="Q409" s="13"/>
      <c r="R409" s="13"/>
      <c r="S409" s="13"/>
      <c r="T409" s="13"/>
      <c r="U409" s="13"/>
      <c r="V409" s="13"/>
      <c r="W409" s="33"/>
      <c r="X409" s="33"/>
      <c r="Y409" s="33"/>
      <c r="Z409" s="33"/>
      <c r="AA409" s="33"/>
      <c r="AB409" s="33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</row>
    <row r="410" spans="2:83" s="30" customFormat="1">
      <c r="B410" s="32"/>
      <c r="C410" s="32"/>
      <c r="D410" s="32"/>
      <c r="E410" s="32"/>
      <c r="F410" s="32"/>
      <c r="G410" s="36"/>
      <c r="H410" s="32"/>
      <c r="I410" s="37"/>
      <c r="J410" s="32"/>
      <c r="K410" s="32"/>
      <c r="L410" s="32"/>
      <c r="M410" s="32"/>
      <c r="N410" s="33"/>
      <c r="O410" s="33"/>
      <c r="P410" s="33"/>
      <c r="Q410" s="13"/>
      <c r="R410" s="13"/>
      <c r="S410" s="13"/>
      <c r="T410" s="13"/>
      <c r="U410" s="13"/>
      <c r="V410" s="13"/>
      <c r="W410" s="33"/>
      <c r="X410" s="33"/>
      <c r="Y410" s="33"/>
      <c r="Z410" s="33"/>
      <c r="AA410" s="33"/>
      <c r="AB410" s="33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  <c r="CE410" s="32"/>
    </row>
    <row r="411" spans="2:83" s="30" customFormat="1">
      <c r="B411" s="32"/>
      <c r="C411" s="32"/>
      <c r="D411" s="32"/>
      <c r="E411" s="32"/>
      <c r="F411" s="32"/>
      <c r="G411" s="36"/>
      <c r="H411" s="32"/>
      <c r="I411" s="37"/>
      <c r="J411" s="32"/>
      <c r="K411" s="32"/>
      <c r="L411" s="32"/>
      <c r="M411" s="32"/>
      <c r="N411" s="33"/>
      <c r="O411" s="33"/>
      <c r="P411" s="33"/>
      <c r="Q411" s="13"/>
      <c r="R411" s="13"/>
      <c r="S411" s="13"/>
      <c r="T411" s="13"/>
      <c r="U411" s="13"/>
      <c r="V411" s="13"/>
      <c r="W411" s="33"/>
      <c r="X411" s="33"/>
      <c r="Y411" s="33"/>
      <c r="Z411" s="33"/>
      <c r="AA411" s="33"/>
      <c r="AB411" s="33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</row>
    <row r="412" spans="2:83" s="30" customFormat="1">
      <c r="B412" s="32"/>
      <c r="C412" s="32"/>
      <c r="D412" s="32"/>
      <c r="E412" s="32"/>
      <c r="F412" s="32"/>
      <c r="G412" s="36"/>
      <c r="H412" s="32"/>
      <c r="I412" s="37"/>
      <c r="J412" s="32"/>
      <c r="K412" s="32"/>
      <c r="L412" s="32"/>
      <c r="M412" s="32"/>
      <c r="N412" s="33"/>
      <c r="O412" s="33"/>
      <c r="P412" s="33"/>
      <c r="Q412" s="13"/>
      <c r="R412" s="13"/>
      <c r="S412" s="13"/>
      <c r="T412" s="13"/>
      <c r="U412" s="13"/>
      <c r="V412" s="13"/>
      <c r="W412" s="33"/>
      <c r="X412" s="33"/>
      <c r="Y412" s="33"/>
      <c r="Z412" s="33"/>
      <c r="AA412" s="33"/>
      <c r="AB412" s="33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</row>
    <row r="413" spans="2:83" s="30" customFormat="1">
      <c r="B413" s="32"/>
      <c r="C413" s="32"/>
      <c r="D413" s="32"/>
      <c r="E413" s="32"/>
      <c r="F413" s="32"/>
      <c r="G413" s="36"/>
      <c r="H413" s="32"/>
      <c r="I413" s="37"/>
      <c r="J413" s="32"/>
      <c r="K413" s="32"/>
      <c r="L413" s="32"/>
      <c r="M413" s="32"/>
      <c r="N413" s="33"/>
      <c r="O413" s="33"/>
      <c r="P413" s="33"/>
      <c r="Q413" s="13"/>
      <c r="R413" s="13"/>
      <c r="S413" s="13"/>
      <c r="T413" s="13"/>
      <c r="U413" s="13"/>
      <c r="V413" s="13"/>
      <c r="W413" s="33"/>
      <c r="X413" s="33"/>
      <c r="Y413" s="33"/>
      <c r="Z413" s="33"/>
      <c r="AA413" s="33"/>
      <c r="AB413" s="33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  <c r="CE413" s="32"/>
    </row>
    <row r="414" spans="2:83" s="30" customFormat="1">
      <c r="B414" s="32"/>
      <c r="C414" s="32"/>
      <c r="D414" s="32"/>
      <c r="E414" s="32"/>
      <c r="F414" s="32"/>
      <c r="G414" s="36"/>
      <c r="H414" s="32"/>
      <c r="I414" s="37"/>
      <c r="J414" s="32"/>
      <c r="K414" s="32"/>
      <c r="L414" s="32"/>
      <c r="M414" s="32"/>
      <c r="N414" s="33"/>
      <c r="O414" s="33"/>
      <c r="P414" s="33"/>
      <c r="Q414" s="13"/>
      <c r="R414" s="13"/>
      <c r="S414" s="13"/>
      <c r="T414" s="13"/>
      <c r="U414" s="13"/>
      <c r="V414" s="13"/>
      <c r="W414" s="33"/>
      <c r="X414" s="33"/>
      <c r="Y414" s="33"/>
      <c r="Z414" s="33"/>
      <c r="AA414" s="33"/>
      <c r="AB414" s="33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</row>
    <row r="415" spans="2:83" s="30" customFormat="1">
      <c r="B415" s="32"/>
      <c r="C415" s="32"/>
      <c r="D415" s="32"/>
      <c r="E415" s="32"/>
      <c r="F415" s="32"/>
      <c r="G415" s="36"/>
      <c r="H415" s="32"/>
      <c r="I415" s="37"/>
      <c r="J415" s="32"/>
      <c r="K415" s="32"/>
      <c r="L415" s="32"/>
      <c r="M415" s="32"/>
      <c r="N415" s="33"/>
      <c r="O415" s="33"/>
      <c r="P415" s="33"/>
      <c r="Q415" s="13"/>
      <c r="R415" s="13"/>
      <c r="S415" s="13"/>
      <c r="T415" s="13"/>
      <c r="U415" s="13"/>
      <c r="V415" s="13"/>
      <c r="W415" s="33"/>
      <c r="X415" s="33"/>
      <c r="Y415" s="33"/>
      <c r="Z415" s="33"/>
      <c r="AA415" s="33"/>
      <c r="AB415" s="33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</row>
    <row r="416" spans="2:83" s="30" customFormat="1">
      <c r="B416" s="32"/>
      <c r="C416" s="32"/>
      <c r="D416" s="32"/>
      <c r="E416" s="32"/>
      <c r="F416" s="32"/>
      <c r="G416" s="36"/>
      <c r="H416" s="32"/>
      <c r="I416" s="37"/>
      <c r="J416" s="32"/>
      <c r="K416" s="32"/>
      <c r="L416" s="32"/>
      <c r="M416" s="32"/>
      <c r="N416" s="33"/>
      <c r="O416" s="33"/>
      <c r="P416" s="33"/>
      <c r="Q416" s="13"/>
      <c r="R416" s="13"/>
      <c r="S416" s="13"/>
      <c r="T416" s="13"/>
      <c r="U416" s="13"/>
      <c r="V416" s="13"/>
      <c r="W416" s="33"/>
      <c r="X416" s="33"/>
      <c r="Y416" s="33"/>
      <c r="Z416" s="33"/>
      <c r="AA416" s="33"/>
      <c r="AB416" s="33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</row>
    <row r="417" spans="2:83" s="30" customFormat="1">
      <c r="B417" s="32"/>
      <c r="C417" s="32"/>
      <c r="D417" s="32"/>
      <c r="E417" s="32"/>
      <c r="F417" s="32"/>
      <c r="G417" s="36"/>
      <c r="H417" s="32"/>
      <c r="I417" s="37"/>
      <c r="J417" s="32"/>
      <c r="K417" s="32"/>
      <c r="L417" s="32"/>
      <c r="M417" s="32"/>
      <c r="N417" s="33"/>
      <c r="O417" s="33"/>
      <c r="P417" s="33"/>
      <c r="Q417" s="13"/>
      <c r="R417" s="13"/>
      <c r="S417" s="13"/>
      <c r="T417" s="13"/>
      <c r="U417" s="13"/>
      <c r="V417" s="13"/>
      <c r="W417" s="33"/>
      <c r="X417" s="33"/>
      <c r="Y417" s="33"/>
      <c r="Z417" s="33"/>
      <c r="AA417" s="33"/>
      <c r="AB417" s="33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</row>
    <row r="418" spans="2:83" s="30" customFormat="1">
      <c r="B418" s="32"/>
      <c r="C418" s="32"/>
      <c r="D418" s="32"/>
      <c r="E418" s="32"/>
      <c r="F418" s="32"/>
      <c r="G418" s="36"/>
      <c r="H418" s="32"/>
      <c r="I418" s="37"/>
      <c r="J418" s="32"/>
      <c r="K418" s="32"/>
      <c r="L418" s="32"/>
      <c r="M418" s="32"/>
      <c r="N418" s="33"/>
      <c r="O418" s="33"/>
      <c r="P418" s="33"/>
      <c r="Q418" s="13"/>
      <c r="R418" s="13"/>
      <c r="S418" s="13"/>
      <c r="T418" s="13"/>
      <c r="U418" s="13"/>
      <c r="V418" s="13"/>
      <c r="W418" s="33"/>
      <c r="X418" s="33"/>
      <c r="Y418" s="33"/>
      <c r="Z418" s="33"/>
      <c r="AA418" s="33"/>
      <c r="AB418" s="33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</row>
    <row r="419" spans="2:83" s="30" customFormat="1">
      <c r="B419" s="32"/>
      <c r="C419" s="32"/>
      <c r="D419" s="32"/>
      <c r="E419" s="32"/>
      <c r="F419" s="32"/>
      <c r="G419" s="36"/>
      <c r="H419" s="32"/>
      <c r="I419" s="37"/>
      <c r="J419" s="32"/>
      <c r="K419" s="32"/>
      <c r="L419" s="32"/>
      <c r="M419" s="32"/>
      <c r="N419" s="33"/>
      <c r="O419" s="33"/>
      <c r="P419" s="33"/>
      <c r="Q419" s="13"/>
      <c r="R419" s="13"/>
      <c r="S419" s="13"/>
      <c r="T419" s="13"/>
      <c r="U419" s="13"/>
      <c r="V419" s="13"/>
      <c r="W419" s="33"/>
      <c r="X419" s="33"/>
      <c r="Y419" s="33"/>
      <c r="Z419" s="33"/>
      <c r="AA419" s="33"/>
      <c r="AB419" s="33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</row>
    <row r="420" spans="2:83" s="30" customFormat="1">
      <c r="B420" s="32"/>
      <c r="C420" s="32"/>
      <c r="D420" s="32"/>
      <c r="E420" s="32"/>
      <c r="F420" s="32"/>
      <c r="G420" s="36"/>
      <c r="H420" s="32"/>
      <c r="I420" s="37"/>
      <c r="J420" s="32"/>
      <c r="K420" s="32"/>
      <c r="L420" s="32"/>
      <c r="M420" s="32"/>
      <c r="N420" s="33"/>
      <c r="O420" s="33"/>
      <c r="P420" s="33"/>
      <c r="Q420" s="13"/>
      <c r="R420" s="13"/>
      <c r="S420" s="13"/>
      <c r="T420" s="13"/>
      <c r="U420" s="13"/>
      <c r="V420" s="13"/>
      <c r="W420" s="33"/>
      <c r="X420" s="33"/>
      <c r="Y420" s="33"/>
      <c r="Z420" s="33"/>
      <c r="AA420" s="33"/>
      <c r="AB420" s="33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  <c r="CE420" s="32"/>
    </row>
    <row r="421" spans="2:83" s="30" customFormat="1">
      <c r="B421" s="32"/>
      <c r="C421" s="32"/>
      <c r="D421" s="32"/>
      <c r="E421" s="32"/>
      <c r="F421" s="32"/>
      <c r="G421" s="36"/>
      <c r="H421" s="32"/>
      <c r="I421" s="37"/>
      <c r="J421" s="32"/>
      <c r="K421" s="32"/>
      <c r="L421" s="32"/>
      <c r="M421" s="32"/>
      <c r="N421" s="33"/>
      <c r="O421" s="33"/>
      <c r="P421" s="33"/>
      <c r="Q421" s="13"/>
      <c r="R421" s="13"/>
      <c r="S421" s="13"/>
      <c r="T421" s="13"/>
      <c r="U421" s="13"/>
      <c r="V421" s="13"/>
      <c r="W421" s="33"/>
      <c r="X421" s="33"/>
      <c r="Y421" s="33"/>
      <c r="Z421" s="33"/>
      <c r="AA421" s="33"/>
      <c r="AB421" s="33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</row>
    <row r="422" spans="2:83" s="30" customFormat="1">
      <c r="B422" s="32"/>
      <c r="C422" s="32"/>
      <c r="D422" s="32"/>
      <c r="E422" s="32"/>
      <c r="F422" s="32"/>
      <c r="G422" s="36"/>
      <c r="H422" s="32"/>
      <c r="I422" s="37"/>
      <c r="J422" s="32"/>
      <c r="K422" s="32"/>
      <c r="L422" s="32"/>
      <c r="M422" s="32"/>
      <c r="N422" s="33"/>
      <c r="O422" s="33"/>
      <c r="P422" s="33"/>
      <c r="Q422" s="13"/>
      <c r="R422" s="13"/>
      <c r="S422" s="13"/>
      <c r="T422" s="13"/>
      <c r="U422" s="13"/>
      <c r="V422" s="13"/>
      <c r="W422" s="33"/>
      <c r="X422" s="33"/>
      <c r="Y422" s="33"/>
      <c r="Z422" s="33"/>
      <c r="AA422" s="33"/>
      <c r="AB422" s="33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</row>
    <row r="423" spans="2:83" s="30" customFormat="1">
      <c r="B423" s="32"/>
      <c r="C423" s="32"/>
      <c r="D423" s="32"/>
      <c r="E423" s="32"/>
      <c r="F423" s="32"/>
      <c r="G423" s="36"/>
      <c r="H423" s="32"/>
      <c r="I423" s="37"/>
      <c r="J423" s="32"/>
      <c r="K423" s="32"/>
      <c r="L423" s="32"/>
      <c r="M423" s="32"/>
      <c r="N423" s="33"/>
      <c r="O423" s="33"/>
      <c r="P423" s="33"/>
      <c r="Q423" s="13"/>
      <c r="R423" s="13"/>
      <c r="S423" s="13"/>
      <c r="T423" s="13"/>
      <c r="U423" s="13"/>
      <c r="V423" s="13"/>
      <c r="W423" s="33"/>
      <c r="X423" s="33"/>
      <c r="Y423" s="33"/>
      <c r="Z423" s="33"/>
      <c r="AA423" s="33"/>
      <c r="AB423" s="33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  <c r="CE423" s="32"/>
    </row>
    <row r="424" spans="2:83" s="30" customFormat="1">
      <c r="B424" s="32"/>
      <c r="C424" s="32"/>
      <c r="D424" s="32"/>
      <c r="E424" s="32"/>
      <c r="F424" s="32"/>
      <c r="G424" s="36"/>
      <c r="H424" s="32"/>
      <c r="I424" s="37"/>
      <c r="J424" s="32"/>
      <c r="K424" s="32"/>
      <c r="L424" s="32"/>
      <c r="M424" s="32"/>
      <c r="N424" s="33"/>
      <c r="O424" s="33"/>
      <c r="P424" s="33"/>
      <c r="Q424" s="13"/>
      <c r="R424" s="13"/>
      <c r="S424" s="13"/>
      <c r="T424" s="13"/>
      <c r="U424" s="13"/>
      <c r="V424" s="13"/>
      <c r="W424" s="33"/>
      <c r="X424" s="33"/>
      <c r="Y424" s="33"/>
      <c r="Z424" s="33"/>
      <c r="AA424" s="33"/>
      <c r="AB424" s="33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</row>
    <row r="425" spans="2:83" s="30" customFormat="1">
      <c r="B425" s="32"/>
      <c r="C425" s="32"/>
      <c r="D425" s="32"/>
      <c r="E425" s="32"/>
      <c r="F425" s="32"/>
      <c r="G425" s="36"/>
      <c r="H425" s="32"/>
      <c r="I425" s="37"/>
      <c r="J425" s="32"/>
      <c r="K425" s="32"/>
      <c r="L425" s="32"/>
      <c r="M425" s="32"/>
      <c r="N425" s="33"/>
      <c r="O425" s="33"/>
      <c r="P425" s="33"/>
      <c r="Q425" s="13"/>
      <c r="R425" s="13"/>
      <c r="S425" s="13"/>
      <c r="T425" s="13"/>
      <c r="U425" s="13"/>
      <c r="V425" s="13"/>
      <c r="W425" s="33"/>
      <c r="X425" s="33"/>
      <c r="Y425" s="33"/>
      <c r="Z425" s="33"/>
      <c r="AA425" s="33"/>
      <c r="AB425" s="33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  <c r="CE425" s="32"/>
    </row>
    <row r="426" spans="2:83" s="30" customFormat="1">
      <c r="B426" s="32"/>
      <c r="C426" s="32"/>
      <c r="D426" s="32"/>
      <c r="E426" s="32"/>
      <c r="F426" s="32"/>
      <c r="G426" s="36"/>
      <c r="H426" s="32"/>
      <c r="I426" s="37"/>
      <c r="J426" s="32"/>
      <c r="K426" s="32"/>
      <c r="L426" s="32"/>
      <c r="M426" s="32"/>
      <c r="N426" s="33"/>
      <c r="O426" s="33"/>
      <c r="P426" s="33"/>
      <c r="Q426" s="13"/>
      <c r="R426" s="13"/>
      <c r="S426" s="13"/>
      <c r="T426" s="13"/>
      <c r="U426" s="13"/>
      <c r="V426" s="13"/>
      <c r="W426" s="33"/>
      <c r="X426" s="33"/>
      <c r="Y426" s="33"/>
      <c r="Z426" s="33"/>
      <c r="AA426" s="33"/>
      <c r="AB426" s="33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</row>
    <row r="427" spans="2:83" s="30" customFormat="1">
      <c r="B427" s="32"/>
      <c r="C427" s="32"/>
      <c r="D427" s="32"/>
      <c r="E427" s="32"/>
      <c r="F427" s="32"/>
      <c r="G427" s="36"/>
      <c r="H427" s="32"/>
      <c r="I427" s="37"/>
      <c r="J427" s="32"/>
      <c r="K427" s="32"/>
      <c r="L427" s="32"/>
      <c r="M427" s="32"/>
      <c r="N427" s="33"/>
      <c r="O427" s="33"/>
      <c r="P427" s="33"/>
      <c r="Q427" s="13"/>
      <c r="R427" s="13"/>
      <c r="S427" s="13"/>
      <c r="T427" s="13"/>
      <c r="U427" s="13"/>
      <c r="V427" s="13"/>
      <c r="W427" s="33"/>
      <c r="X427" s="33"/>
      <c r="Y427" s="33"/>
      <c r="Z427" s="33"/>
      <c r="AA427" s="33"/>
      <c r="AB427" s="33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  <c r="CE427" s="32"/>
    </row>
    <row r="428" spans="2:83" s="30" customFormat="1">
      <c r="B428" s="32"/>
      <c r="C428" s="32"/>
      <c r="D428" s="32"/>
      <c r="E428" s="32"/>
      <c r="F428" s="32"/>
      <c r="G428" s="36"/>
      <c r="H428" s="32"/>
      <c r="I428" s="37"/>
      <c r="J428" s="32"/>
      <c r="K428" s="32"/>
      <c r="L428" s="32"/>
      <c r="M428" s="32"/>
      <c r="N428" s="33"/>
      <c r="O428" s="33"/>
      <c r="P428" s="33"/>
      <c r="Q428" s="13"/>
      <c r="R428" s="13"/>
      <c r="S428" s="13"/>
      <c r="T428" s="13"/>
      <c r="U428" s="13"/>
      <c r="V428" s="13"/>
      <c r="W428" s="33"/>
      <c r="X428" s="33"/>
      <c r="Y428" s="33"/>
      <c r="Z428" s="33"/>
      <c r="AA428" s="33"/>
      <c r="AB428" s="33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</row>
    <row r="429" spans="2:83" s="30" customFormat="1">
      <c r="B429" s="32"/>
      <c r="C429" s="32"/>
      <c r="D429" s="32"/>
      <c r="E429" s="32"/>
      <c r="F429" s="32"/>
      <c r="G429" s="36"/>
      <c r="H429" s="32"/>
      <c r="I429" s="37"/>
      <c r="J429" s="32"/>
      <c r="K429" s="32"/>
      <c r="L429" s="32"/>
      <c r="M429" s="32"/>
      <c r="N429" s="33"/>
      <c r="O429" s="33"/>
      <c r="P429" s="33"/>
      <c r="Q429" s="13"/>
      <c r="R429" s="13"/>
      <c r="S429" s="13"/>
      <c r="T429" s="13"/>
      <c r="U429" s="13"/>
      <c r="V429" s="13"/>
      <c r="W429" s="33"/>
      <c r="X429" s="33"/>
      <c r="Y429" s="33"/>
      <c r="Z429" s="33"/>
      <c r="AA429" s="33"/>
      <c r="AB429" s="33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</row>
    <row r="430" spans="2:83" s="30" customFormat="1">
      <c r="B430" s="32"/>
      <c r="C430" s="32"/>
      <c r="D430" s="32"/>
      <c r="E430" s="32"/>
      <c r="F430" s="32"/>
      <c r="G430" s="36"/>
      <c r="H430" s="32"/>
      <c r="I430" s="37"/>
      <c r="J430" s="32"/>
      <c r="K430" s="32"/>
      <c r="L430" s="32"/>
      <c r="M430" s="32"/>
      <c r="N430" s="33"/>
      <c r="O430" s="33"/>
      <c r="P430" s="33"/>
      <c r="Q430" s="13"/>
      <c r="R430" s="13"/>
      <c r="S430" s="13"/>
      <c r="T430" s="13"/>
      <c r="U430" s="13"/>
      <c r="V430" s="13"/>
      <c r="W430" s="33"/>
      <c r="X430" s="33"/>
      <c r="Y430" s="33"/>
      <c r="Z430" s="33"/>
      <c r="AA430" s="33"/>
      <c r="AB430" s="33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  <c r="CE430" s="32"/>
    </row>
    <row r="431" spans="2:83" s="30" customFormat="1">
      <c r="B431" s="32"/>
      <c r="C431" s="32"/>
      <c r="D431" s="32"/>
      <c r="E431" s="32"/>
      <c r="F431" s="32"/>
      <c r="G431" s="36"/>
      <c r="H431" s="32"/>
      <c r="I431" s="37"/>
      <c r="J431" s="32"/>
      <c r="K431" s="32"/>
      <c r="L431" s="32"/>
      <c r="M431" s="32"/>
      <c r="N431" s="33"/>
      <c r="O431" s="33"/>
      <c r="P431" s="33"/>
      <c r="Q431" s="13"/>
      <c r="R431" s="13"/>
      <c r="S431" s="13"/>
      <c r="T431" s="13"/>
      <c r="U431" s="13"/>
      <c r="V431" s="13"/>
      <c r="W431" s="33"/>
      <c r="X431" s="33"/>
      <c r="Y431" s="33"/>
      <c r="Z431" s="33"/>
      <c r="AA431" s="33"/>
      <c r="AB431" s="33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  <c r="CE431" s="32"/>
    </row>
    <row r="432" spans="2:83" s="30" customFormat="1">
      <c r="B432" s="32"/>
      <c r="C432" s="32"/>
      <c r="D432" s="32"/>
      <c r="E432" s="32"/>
      <c r="F432" s="32"/>
      <c r="G432" s="36"/>
      <c r="H432" s="32"/>
      <c r="I432" s="37"/>
      <c r="J432" s="32"/>
      <c r="K432" s="32"/>
      <c r="L432" s="32"/>
      <c r="M432" s="32"/>
      <c r="N432" s="33"/>
      <c r="O432" s="33"/>
      <c r="P432" s="33"/>
      <c r="Q432" s="13"/>
      <c r="R432" s="13"/>
      <c r="S432" s="13"/>
      <c r="T432" s="13"/>
      <c r="U432" s="13"/>
      <c r="V432" s="13"/>
      <c r="W432" s="33"/>
      <c r="X432" s="33"/>
      <c r="Y432" s="33"/>
      <c r="Z432" s="33"/>
      <c r="AA432" s="33"/>
      <c r="AB432" s="33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  <c r="CE432" s="32"/>
    </row>
    <row r="433" spans="2:83" s="30" customFormat="1">
      <c r="B433" s="32"/>
      <c r="C433" s="32"/>
      <c r="D433" s="32"/>
      <c r="E433" s="32"/>
      <c r="F433" s="32"/>
      <c r="G433" s="36"/>
      <c r="H433" s="32"/>
      <c r="I433" s="37"/>
      <c r="J433" s="32"/>
      <c r="K433" s="32"/>
      <c r="L433" s="32"/>
      <c r="M433" s="32"/>
      <c r="N433" s="33"/>
      <c r="O433" s="33"/>
      <c r="P433" s="33"/>
      <c r="Q433" s="13"/>
      <c r="R433" s="13"/>
      <c r="S433" s="13"/>
      <c r="T433" s="13"/>
      <c r="U433" s="13"/>
      <c r="V433" s="13"/>
      <c r="W433" s="33"/>
      <c r="X433" s="33"/>
      <c r="Y433" s="33"/>
      <c r="Z433" s="33"/>
      <c r="AA433" s="33"/>
      <c r="AB433" s="33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</row>
    <row r="434" spans="2:83" s="30" customFormat="1">
      <c r="B434" s="32"/>
      <c r="C434" s="32"/>
      <c r="D434" s="32"/>
      <c r="E434" s="32"/>
      <c r="F434" s="32"/>
      <c r="G434" s="36"/>
      <c r="H434" s="32"/>
      <c r="I434" s="37"/>
      <c r="J434" s="32"/>
      <c r="K434" s="32"/>
      <c r="L434" s="32"/>
      <c r="M434" s="32"/>
      <c r="N434" s="33"/>
      <c r="O434" s="33"/>
      <c r="P434" s="33"/>
      <c r="Q434" s="13"/>
      <c r="R434" s="13"/>
      <c r="S434" s="13"/>
      <c r="T434" s="13"/>
      <c r="U434" s="13"/>
      <c r="V434" s="13"/>
      <c r="W434" s="33"/>
      <c r="X434" s="33"/>
      <c r="Y434" s="33"/>
      <c r="Z434" s="33"/>
      <c r="AA434" s="33"/>
      <c r="AB434" s="33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  <c r="CE434" s="32"/>
    </row>
    <row r="435" spans="2:83" s="30" customFormat="1">
      <c r="B435" s="32"/>
      <c r="C435" s="32"/>
      <c r="D435" s="32"/>
      <c r="E435" s="32"/>
      <c r="F435" s="32"/>
      <c r="G435" s="36"/>
      <c r="H435" s="32"/>
      <c r="I435" s="37"/>
      <c r="J435" s="32"/>
      <c r="K435" s="32"/>
      <c r="L435" s="32"/>
      <c r="M435" s="32"/>
      <c r="N435" s="33"/>
      <c r="O435" s="33"/>
      <c r="P435" s="33"/>
      <c r="Q435" s="13"/>
      <c r="R435" s="13"/>
      <c r="S435" s="13"/>
      <c r="T435" s="13"/>
      <c r="U435" s="13"/>
      <c r="V435" s="13"/>
      <c r="W435" s="33"/>
      <c r="X435" s="33"/>
      <c r="Y435" s="33"/>
      <c r="Z435" s="33"/>
      <c r="AA435" s="33"/>
      <c r="AB435" s="33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  <c r="CE435" s="32"/>
    </row>
    <row r="436" spans="2:83" s="30" customFormat="1">
      <c r="B436" s="32"/>
      <c r="C436" s="32"/>
      <c r="D436" s="32"/>
      <c r="E436" s="32"/>
      <c r="F436" s="32"/>
      <c r="G436" s="36"/>
      <c r="H436" s="32"/>
      <c r="I436" s="37"/>
      <c r="J436" s="32"/>
      <c r="K436" s="32"/>
      <c r="L436" s="32"/>
      <c r="M436" s="32"/>
      <c r="N436" s="33"/>
      <c r="O436" s="33"/>
      <c r="P436" s="33"/>
      <c r="Q436" s="13"/>
      <c r="R436" s="13"/>
      <c r="S436" s="13"/>
      <c r="T436" s="13"/>
      <c r="U436" s="13"/>
      <c r="V436" s="13"/>
      <c r="W436" s="33"/>
      <c r="X436" s="33"/>
      <c r="Y436" s="33"/>
      <c r="Z436" s="33"/>
      <c r="AA436" s="33"/>
      <c r="AB436" s="33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  <c r="CE436" s="32"/>
    </row>
    <row r="437" spans="2:83" s="30" customFormat="1">
      <c r="B437" s="32"/>
      <c r="C437" s="32"/>
      <c r="D437" s="32"/>
      <c r="E437" s="32"/>
      <c r="F437" s="32"/>
      <c r="G437" s="36"/>
      <c r="H437" s="32"/>
      <c r="I437" s="37"/>
      <c r="J437" s="32"/>
      <c r="K437" s="32"/>
      <c r="L437" s="32"/>
      <c r="M437" s="32"/>
      <c r="N437" s="33"/>
      <c r="O437" s="33"/>
      <c r="P437" s="33"/>
      <c r="Q437" s="13"/>
      <c r="R437" s="13"/>
      <c r="S437" s="13"/>
      <c r="T437" s="13"/>
      <c r="U437" s="13"/>
      <c r="V437" s="13"/>
      <c r="W437" s="33"/>
      <c r="X437" s="33"/>
      <c r="Y437" s="33"/>
      <c r="Z437" s="33"/>
      <c r="AA437" s="33"/>
      <c r="AB437" s="33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</row>
    <row r="438" spans="2:83" s="30" customFormat="1">
      <c r="B438" s="32"/>
      <c r="C438" s="32"/>
      <c r="D438" s="32"/>
      <c r="E438" s="32"/>
      <c r="F438" s="32"/>
      <c r="G438" s="36"/>
      <c r="H438" s="32"/>
      <c r="I438" s="37"/>
      <c r="J438" s="32"/>
      <c r="K438" s="32"/>
      <c r="L438" s="32"/>
      <c r="M438" s="32"/>
      <c r="N438" s="33"/>
      <c r="O438" s="33"/>
      <c r="P438" s="33"/>
      <c r="Q438" s="13"/>
      <c r="R438" s="13"/>
      <c r="S438" s="13"/>
      <c r="T438" s="13"/>
      <c r="U438" s="13"/>
      <c r="V438" s="13"/>
      <c r="W438" s="33"/>
      <c r="X438" s="33"/>
      <c r="Y438" s="33"/>
      <c r="Z438" s="33"/>
      <c r="AA438" s="33"/>
      <c r="AB438" s="33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  <c r="CD438" s="32"/>
      <c r="CE438" s="32"/>
    </row>
    <row r="439" spans="2:83" s="30" customFormat="1">
      <c r="B439" s="32"/>
      <c r="C439" s="32"/>
      <c r="D439" s="32"/>
      <c r="E439" s="32"/>
      <c r="F439" s="32"/>
      <c r="G439" s="36"/>
      <c r="H439" s="32"/>
      <c r="I439" s="37"/>
      <c r="J439" s="32"/>
      <c r="K439" s="32"/>
      <c r="L439" s="32"/>
      <c r="M439" s="32"/>
      <c r="N439" s="33"/>
      <c r="O439" s="33"/>
      <c r="P439" s="33"/>
      <c r="Q439" s="13"/>
      <c r="R439" s="13"/>
      <c r="S439" s="13"/>
      <c r="T439" s="13"/>
      <c r="U439" s="13"/>
      <c r="V439" s="13"/>
      <c r="W439" s="33"/>
      <c r="X439" s="33"/>
      <c r="Y439" s="33"/>
      <c r="Z439" s="33"/>
      <c r="AA439" s="33"/>
      <c r="AB439" s="33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  <c r="CE439" s="32"/>
    </row>
    <row r="440" spans="2:83" s="30" customFormat="1">
      <c r="B440" s="32"/>
      <c r="C440" s="32"/>
      <c r="D440" s="32"/>
      <c r="E440" s="32"/>
      <c r="F440" s="32"/>
      <c r="G440" s="36"/>
      <c r="H440" s="32"/>
      <c r="I440" s="37"/>
      <c r="J440" s="32"/>
      <c r="K440" s="32"/>
      <c r="L440" s="32"/>
      <c r="M440" s="32"/>
      <c r="N440" s="33"/>
      <c r="O440" s="33"/>
      <c r="P440" s="33"/>
      <c r="Q440" s="13"/>
      <c r="R440" s="13"/>
      <c r="S440" s="13"/>
      <c r="T440" s="13"/>
      <c r="U440" s="13"/>
      <c r="V440" s="13"/>
      <c r="W440" s="33"/>
      <c r="X440" s="33"/>
      <c r="Y440" s="33"/>
      <c r="Z440" s="33"/>
      <c r="AA440" s="33"/>
      <c r="AB440" s="33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  <c r="CE440" s="32"/>
    </row>
    <row r="441" spans="2:83" s="30" customFormat="1">
      <c r="B441" s="32"/>
      <c r="C441" s="32"/>
      <c r="D441" s="32"/>
      <c r="E441" s="32"/>
      <c r="F441" s="32"/>
      <c r="G441" s="36"/>
      <c r="H441" s="32"/>
      <c r="I441" s="37"/>
      <c r="J441" s="32"/>
      <c r="K441" s="32"/>
      <c r="L441" s="32"/>
      <c r="M441" s="32"/>
      <c r="N441" s="33"/>
      <c r="O441" s="33"/>
      <c r="P441" s="33"/>
      <c r="Q441" s="13"/>
      <c r="R441" s="13"/>
      <c r="S441" s="13"/>
      <c r="T441" s="13"/>
      <c r="U441" s="13"/>
      <c r="V441" s="13"/>
      <c r="W441" s="33"/>
      <c r="X441" s="33"/>
      <c r="Y441" s="33"/>
      <c r="Z441" s="33"/>
      <c r="AA441" s="33"/>
      <c r="AB441" s="33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</row>
    <row r="442" spans="2:83" s="30" customFormat="1">
      <c r="B442" s="32"/>
      <c r="C442" s="32"/>
      <c r="D442" s="32"/>
      <c r="E442" s="32"/>
      <c r="F442" s="32"/>
      <c r="G442" s="36"/>
      <c r="H442" s="32"/>
      <c r="I442" s="37"/>
      <c r="J442" s="32"/>
      <c r="K442" s="32"/>
      <c r="L442" s="32"/>
      <c r="M442" s="32"/>
      <c r="N442" s="33"/>
      <c r="O442" s="33"/>
      <c r="P442" s="33"/>
      <c r="Q442" s="13"/>
      <c r="R442" s="13"/>
      <c r="S442" s="13"/>
      <c r="T442" s="13"/>
      <c r="U442" s="13"/>
      <c r="V442" s="13"/>
      <c r="W442" s="33"/>
      <c r="X442" s="33"/>
      <c r="Y442" s="33"/>
      <c r="Z442" s="33"/>
      <c r="AA442" s="33"/>
      <c r="AB442" s="33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  <c r="CE442" s="32"/>
    </row>
    <row r="443" spans="2:83" s="30" customFormat="1">
      <c r="B443" s="32"/>
      <c r="C443" s="32"/>
      <c r="D443" s="32"/>
      <c r="E443" s="32"/>
      <c r="F443" s="32"/>
      <c r="G443" s="36"/>
      <c r="H443" s="32"/>
      <c r="I443" s="37"/>
      <c r="J443" s="32"/>
      <c r="K443" s="32"/>
      <c r="L443" s="32"/>
      <c r="M443" s="32"/>
      <c r="N443" s="33"/>
      <c r="O443" s="33"/>
      <c r="P443" s="33"/>
      <c r="Q443" s="13"/>
      <c r="R443" s="13"/>
      <c r="S443" s="13"/>
      <c r="T443" s="13"/>
      <c r="U443" s="13"/>
      <c r="V443" s="13"/>
      <c r="W443" s="33"/>
      <c r="X443" s="33"/>
      <c r="Y443" s="33"/>
      <c r="Z443" s="33"/>
      <c r="AA443" s="33"/>
      <c r="AB443" s="33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</row>
    <row r="444" spans="2:83" s="30" customFormat="1">
      <c r="B444" s="32"/>
      <c r="C444" s="32"/>
      <c r="D444" s="32"/>
      <c r="E444" s="32"/>
      <c r="F444" s="32"/>
      <c r="G444" s="36"/>
      <c r="H444" s="32"/>
      <c r="I444" s="37"/>
      <c r="J444" s="32"/>
      <c r="K444" s="32"/>
      <c r="L444" s="32"/>
      <c r="M444" s="32"/>
      <c r="N444" s="33"/>
      <c r="O444" s="33"/>
      <c r="P444" s="33"/>
      <c r="Q444" s="13"/>
      <c r="R444" s="13"/>
      <c r="S444" s="13"/>
      <c r="T444" s="13"/>
      <c r="U444" s="13"/>
      <c r="V444" s="13"/>
      <c r="W444" s="33"/>
      <c r="X444" s="33"/>
      <c r="Y444" s="33"/>
      <c r="Z444" s="33"/>
      <c r="AA444" s="33"/>
      <c r="AB444" s="33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</row>
    <row r="445" spans="2:83" s="30" customFormat="1">
      <c r="B445" s="32"/>
      <c r="C445" s="32"/>
      <c r="D445" s="32"/>
      <c r="E445" s="32"/>
      <c r="F445" s="32"/>
      <c r="G445" s="36"/>
      <c r="H445" s="32"/>
      <c r="I445" s="37"/>
      <c r="J445" s="32"/>
      <c r="K445" s="32"/>
      <c r="L445" s="32"/>
      <c r="M445" s="32"/>
      <c r="N445" s="33"/>
      <c r="O445" s="33"/>
      <c r="P445" s="33"/>
      <c r="Q445" s="13"/>
      <c r="R445" s="13"/>
      <c r="S445" s="13"/>
      <c r="T445" s="13"/>
      <c r="U445" s="13"/>
      <c r="V445" s="13"/>
      <c r="W445" s="33"/>
      <c r="X445" s="33"/>
      <c r="Y445" s="33"/>
      <c r="Z445" s="33"/>
      <c r="AA445" s="33"/>
      <c r="AB445" s="33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  <c r="CE445" s="32"/>
    </row>
    <row r="446" spans="2:83" s="30" customFormat="1">
      <c r="B446" s="32"/>
      <c r="C446" s="32"/>
      <c r="D446" s="32"/>
      <c r="E446" s="32"/>
      <c r="F446" s="32"/>
      <c r="G446" s="36"/>
      <c r="H446" s="32"/>
      <c r="I446" s="37"/>
      <c r="J446" s="32"/>
      <c r="K446" s="32"/>
      <c r="L446" s="32"/>
      <c r="M446" s="32"/>
      <c r="N446" s="33"/>
      <c r="O446" s="33"/>
      <c r="P446" s="33"/>
      <c r="Q446" s="13"/>
      <c r="R446" s="13"/>
      <c r="S446" s="13"/>
      <c r="T446" s="13"/>
      <c r="U446" s="13"/>
      <c r="V446" s="13"/>
      <c r="W446" s="33"/>
      <c r="X446" s="33"/>
      <c r="Y446" s="33"/>
      <c r="Z446" s="33"/>
      <c r="AA446" s="33"/>
      <c r="AB446" s="33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  <c r="CD446" s="32"/>
      <c r="CE446" s="32"/>
    </row>
    <row r="447" spans="2:83" s="30" customFormat="1">
      <c r="B447" s="32"/>
      <c r="C447" s="32"/>
      <c r="D447" s="32"/>
      <c r="E447" s="32"/>
      <c r="F447" s="32"/>
      <c r="G447" s="36"/>
      <c r="H447" s="32"/>
      <c r="I447" s="37"/>
      <c r="J447" s="32"/>
      <c r="K447" s="32"/>
      <c r="L447" s="32"/>
      <c r="M447" s="32"/>
      <c r="N447" s="33"/>
      <c r="O447" s="33"/>
      <c r="P447" s="33"/>
      <c r="Q447" s="13"/>
      <c r="R447" s="13"/>
      <c r="S447" s="13"/>
      <c r="T447" s="13"/>
      <c r="U447" s="13"/>
      <c r="V447" s="13"/>
      <c r="W447" s="33"/>
      <c r="X447" s="33"/>
      <c r="Y447" s="33"/>
      <c r="Z447" s="33"/>
      <c r="AA447" s="33"/>
      <c r="AB447" s="33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  <c r="CD447" s="32"/>
      <c r="CE447" s="32"/>
    </row>
    <row r="448" spans="2:83" s="30" customFormat="1">
      <c r="B448" s="32"/>
      <c r="C448" s="32"/>
      <c r="D448" s="32"/>
      <c r="E448" s="32"/>
      <c r="F448" s="32"/>
      <c r="G448" s="36"/>
      <c r="H448" s="32"/>
      <c r="I448" s="37"/>
      <c r="J448" s="32"/>
      <c r="K448" s="32"/>
      <c r="L448" s="32"/>
      <c r="M448" s="32"/>
      <c r="N448" s="33"/>
      <c r="O448" s="33"/>
      <c r="P448" s="33"/>
      <c r="Q448" s="13"/>
      <c r="R448" s="13"/>
      <c r="S448" s="13"/>
      <c r="T448" s="13"/>
      <c r="U448" s="13"/>
      <c r="V448" s="13"/>
      <c r="W448" s="33"/>
      <c r="X448" s="33"/>
      <c r="Y448" s="33"/>
      <c r="Z448" s="33"/>
      <c r="AA448" s="33"/>
      <c r="AB448" s="33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  <c r="CD448" s="32"/>
      <c r="CE448" s="32"/>
    </row>
    <row r="449" spans="2:83" s="30" customFormat="1">
      <c r="B449" s="32"/>
      <c r="C449" s="32"/>
      <c r="D449" s="32"/>
      <c r="E449" s="32"/>
      <c r="F449" s="32"/>
      <c r="G449" s="36"/>
      <c r="H449" s="32"/>
      <c r="I449" s="37"/>
      <c r="J449" s="32"/>
      <c r="K449" s="32"/>
      <c r="L449" s="32"/>
      <c r="M449" s="32"/>
      <c r="N449" s="33"/>
      <c r="O449" s="33"/>
      <c r="P449" s="33"/>
      <c r="Q449" s="13"/>
      <c r="R449" s="13"/>
      <c r="S449" s="13"/>
      <c r="T449" s="13"/>
      <c r="U449" s="13"/>
      <c r="V449" s="13"/>
      <c r="W449" s="33"/>
      <c r="X449" s="33"/>
      <c r="Y449" s="33"/>
      <c r="Z449" s="33"/>
      <c r="AA449" s="33"/>
      <c r="AB449" s="33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  <c r="CD449" s="32"/>
      <c r="CE449" s="32"/>
    </row>
    <row r="450" spans="2:83" s="30" customFormat="1">
      <c r="B450" s="32"/>
      <c r="C450" s="32"/>
      <c r="D450" s="32"/>
      <c r="E450" s="32"/>
      <c r="F450" s="32"/>
      <c r="G450" s="36"/>
      <c r="H450" s="32"/>
      <c r="I450" s="37"/>
      <c r="J450" s="32"/>
      <c r="K450" s="32"/>
      <c r="L450" s="32"/>
      <c r="M450" s="32"/>
      <c r="N450" s="33"/>
      <c r="O450" s="33"/>
      <c r="P450" s="33"/>
      <c r="Q450" s="13"/>
      <c r="R450" s="13"/>
      <c r="S450" s="13"/>
      <c r="T450" s="13"/>
      <c r="U450" s="13"/>
      <c r="V450" s="13"/>
      <c r="W450" s="33"/>
      <c r="X450" s="33"/>
      <c r="Y450" s="33"/>
      <c r="Z450" s="33"/>
      <c r="AA450" s="33"/>
      <c r="AB450" s="33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  <c r="CE450" s="32"/>
    </row>
    <row r="451" spans="2:83" s="30" customFormat="1">
      <c r="B451" s="32"/>
      <c r="C451" s="32"/>
      <c r="D451" s="32"/>
      <c r="E451" s="32"/>
      <c r="F451" s="32"/>
      <c r="G451" s="36"/>
      <c r="H451" s="32"/>
      <c r="I451" s="37"/>
      <c r="J451" s="32"/>
      <c r="K451" s="32"/>
      <c r="L451" s="32"/>
      <c r="M451" s="32"/>
      <c r="N451" s="33"/>
      <c r="O451" s="33"/>
      <c r="P451" s="33"/>
      <c r="Q451" s="13"/>
      <c r="R451" s="13"/>
      <c r="S451" s="13"/>
      <c r="T451" s="13"/>
      <c r="U451" s="13"/>
      <c r="V451" s="13"/>
      <c r="W451" s="33"/>
      <c r="X451" s="33"/>
      <c r="Y451" s="33"/>
      <c r="Z451" s="33"/>
      <c r="AA451" s="33"/>
      <c r="AB451" s="33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  <c r="CE451" s="32"/>
    </row>
    <row r="452" spans="2:83" s="30" customFormat="1">
      <c r="B452" s="32"/>
      <c r="C452" s="32"/>
      <c r="D452" s="32"/>
      <c r="E452" s="32"/>
      <c r="F452" s="32"/>
      <c r="G452" s="36"/>
      <c r="H452" s="32"/>
      <c r="I452" s="37"/>
      <c r="J452" s="32"/>
      <c r="K452" s="32"/>
      <c r="L452" s="32"/>
      <c r="M452" s="32"/>
      <c r="N452" s="33"/>
      <c r="O452" s="33"/>
      <c r="P452" s="33"/>
      <c r="Q452" s="13"/>
      <c r="R452" s="13"/>
      <c r="S452" s="13"/>
      <c r="T452" s="13"/>
      <c r="U452" s="13"/>
      <c r="V452" s="13"/>
      <c r="W452" s="33"/>
      <c r="X452" s="33"/>
      <c r="Y452" s="33"/>
      <c r="Z452" s="33"/>
      <c r="AA452" s="33"/>
      <c r="AB452" s="33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  <c r="CE452" s="32"/>
    </row>
    <row r="453" spans="2:83" s="30" customFormat="1">
      <c r="B453" s="32"/>
      <c r="C453" s="32"/>
      <c r="D453" s="32"/>
      <c r="E453" s="32"/>
      <c r="F453" s="32"/>
      <c r="G453" s="36"/>
      <c r="H453" s="32"/>
      <c r="I453" s="37"/>
      <c r="J453" s="32"/>
      <c r="K453" s="32"/>
      <c r="L453" s="32"/>
      <c r="M453" s="32"/>
      <c r="N453" s="33"/>
      <c r="O453" s="33"/>
      <c r="P453" s="33"/>
      <c r="Q453" s="13"/>
      <c r="R453" s="13"/>
      <c r="S453" s="13"/>
      <c r="T453" s="13"/>
      <c r="U453" s="13"/>
      <c r="V453" s="13"/>
      <c r="W453" s="33"/>
      <c r="X453" s="33"/>
      <c r="Y453" s="33"/>
      <c r="Z453" s="33"/>
      <c r="AA453" s="33"/>
      <c r="AB453" s="33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  <c r="CE453" s="32"/>
    </row>
    <row r="454" spans="2:83" s="30" customFormat="1">
      <c r="B454" s="32"/>
      <c r="C454" s="32"/>
      <c r="D454" s="32"/>
      <c r="E454" s="32"/>
      <c r="F454" s="32"/>
      <c r="G454" s="36"/>
      <c r="H454" s="32"/>
      <c r="I454" s="37"/>
      <c r="J454" s="32"/>
      <c r="K454" s="32"/>
      <c r="L454" s="32"/>
      <c r="M454" s="32"/>
      <c r="N454" s="33"/>
      <c r="O454" s="33"/>
      <c r="P454" s="33"/>
      <c r="Q454" s="13"/>
      <c r="R454" s="13"/>
      <c r="S454" s="13"/>
      <c r="T454" s="13"/>
      <c r="U454" s="13"/>
      <c r="V454" s="13"/>
      <c r="W454" s="33"/>
      <c r="X454" s="33"/>
      <c r="Y454" s="33"/>
      <c r="Z454" s="33"/>
      <c r="AA454" s="33"/>
      <c r="AB454" s="33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</row>
    <row r="455" spans="2:83" s="30" customFormat="1">
      <c r="B455" s="32"/>
      <c r="C455" s="32"/>
      <c r="D455" s="32"/>
      <c r="E455" s="32"/>
      <c r="F455" s="32"/>
      <c r="G455" s="36"/>
      <c r="H455" s="32"/>
      <c r="I455" s="37"/>
      <c r="J455" s="32"/>
      <c r="K455" s="32"/>
      <c r="L455" s="32"/>
      <c r="M455" s="32"/>
      <c r="N455" s="33"/>
      <c r="O455" s="33"/>
      <c r="P455" s="33"/>
      <c r="Q455" s="13"/>
      <c r="R455" s="13"/>
      <c r="S455" s="13"/>
      <c r="T455" s="13"/>
      <c r="U455" s="13"/>
      <c r="V455" s="13"/>
      <c r="W455" s="33"/>
      <c r="X455" s="33"/>
      <c r="Y455" s="33"/>
      <c r="Z455" s="33"/>
      <c r="AA455" s="33"/>
      <c r="AB455" s="33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</row>
    <row r="456" spans="2:83" s="30" customFormat="1">
      <c r="B456" s="32"/>
      <c r="C456" s="32"/>
      <c r="D456" s="32"/>
      <c r="E456" s="32"/>
      <c r="F456" s="32"/>
      <c r="G456" s="36"/>
      <c r="H456" s="32"/>
      <c r="I456" s="37"/>
      <c r="J456" s="32"/>
      <c r="K456" s="32"/>
      <c r="L456" s="32"/>
      <c r="M456" s="32"/>
      <c r="N456" s="33"/>
      <c r="O456" s="33"/>
      <c r="P456" s="33"/>
      <c r="Q456" s="13"/>
      <c r="R456" s="13"/>
      <c r="S456" s="13"/>
      <c r="T456" s="13"/>
      <c r="U456" s="13"/>
      <c r="V456" s="13"/>
      <c r="W456" s="33"/>
      <c r="X456" s="33"/>
      <c r="Y456" s="33"/>
      <c r="Z456" s="33"/>
      <c r="AA456" s="33"/>
      <c r="AB456" s="33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  <c r="CE456" s="32"/>
    </row>
    <row r="457" spans="2:83" s="30" customFormat="1">
      <c r="B457" s="32"/>
      <c r="C457" s="32"/>
      <c r="D457" s="32"/>
      <c r="E457" s="32"/>
      <c r="F457" s="32"/>
      <c r="G457" s="36"/>
      <c r="H457" s="32"/>
      <c r="I457" s="37"/>
      <c r="J457" s="32"/>
      <c r="K457" s="32"/>
      <c r="L457" s="32"/>
      <c r="M457" s="32"/>
      <c r="N457" s="33"/>
      <c r="O457" s="33"/>
      <c r="P457" s="33"/>
      <c r="Q457" s="13"/>
      <c r="R457" s="13"/>
      <c r="S457" s="13"/>
      <c r="T457" s="13"/>
      <c r="U457" s="13"/>
      <c r="V457" s="13"/>
      <c r="W457" s="33"/>
      <c r="X457" s="33"/>
      <c r="Y457" s="33"/>
      <c r="Z457" s="33"/>
      <c r="AA457" s="33"/>
      <c r="AB457" s="33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</row>
    <row r="458" spans="2:83" s="30" customFormat="1">
      <c r="B458" s="32"/>
      <c r="C458" s="32"/>
      <c r="D458" s="32"/>
      <c r="E458" s="32"/>
      <c r="F458" s="32"/>
      <c r="G458" s="36"/>
      <c r="H458" s="32"/>
      <c r="I458" s="37"/>
      <c r="J458" s="32"/>
      <c r="K458" s="32"/>
      <c r="L458" s="32"/>
      <c r="M458" s="32"/>
      <c r="N458" s="33"/>
      <c r="O458" s="33"/>
      <c r="P458" s="33"/>
      <c r="Q458" s="13"/>
      <c r="R458" s="13"/>
      <c r="S458" s="13"/>
      <c r="T458" s="13"/>
      <c r="U458" s="13"/>
      <c r="V458" s="13"/>
      <c r="W458" s="33"/>
      <c r="X458" s="33"/>
      <c r="Y458" s="33"/>
      <c r="Z458" s="33"/>
      <c r="AA458" s="33"/>
      <c r="AB458" s="33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</row>
    <row r="459" spans="2:83" s="30" customFormat="1">
      <c r="B459" s="32"/>
      <c r="C459" s="32"/>
      <c r="D459" s="32"/>
      <c r="E459" s="32"/>
      <c r="F459" s="32"/>
      <c r="G459" s="36"/>
      <c r="H459" s="32"/>
      <c r="I459" s="37"/>
      <c r="J459" s="32"/>
      <c r="K459" s="32"/>
      <c r="L459" s="32"/>
      <c r="M459" s="32"/>
      <c r="N459" s="33"/>
      <c r="O459" s="33"/>
      <c r="P459" s="33"/>
      <c r="Q459" s="13"/>
      <c r="R459" s="13"/>
      <c r="S459" s="13"/>
      <c r="T459" s="13"/>
      <c r="U459" s="13"/>
      <c r="V459" s="13"/>
      <c r="W459" s="33"/>
      <c r="X459" s="33"/>
      <c r="Y459" s="33"/>
      <c r="Z459" s="33"/>
      <c r="AA459" s="33"/>
      <c r="AB459" s="33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  <c r="CE459" s="32"/>
    </row>
    <row r="460" spans="2:83" s="30" customFormat="1">
      <c r="B460" s="32"/>
      <c r="C460" s="32"/>
      <c r="D460" s="32"/>
      <c r="E460" s="32"/>
      <c r="F460" s="32"/>
      <c r="G460" s="36"/>
      <c r="H460" s="32"/>
      <c r="I460" s="37"/>
      <c r="J460" s="32"/>
      <c r="K460" s="32"/>
      <c r="L460" s="32"/>
      <c r="M460" s="32"/>
      <c r="N460" s="33"/>
      <c r="O460" s="33"/>
      <c r="P460" s="33"/>
      <c r="Q460" s="13"/>
      <c r="R460" s="13"/>
      <c r="S460" s="13"/>
      <c r="T460" s="13"/>
      <c r="U460" s="13"/>
      <c r="V460" s="13"/>
      <c r="W460" s="33"/>
      <c r="X460" s="33"/>
      <c r="Y460" s="33"/>
      <c r="Z460" s="33"/>
      <c r="AA460" s="33"/>
      <c r="AB460" s="33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</row>
    <row r="461" spans="2:83" s="30" customFormat="1">
      <c r="B461" s="32"/>
      <c r="C461" s="32"/>
      <c r="D461" s="32"/>
      <c r="E461" s="32"/>
      <c r="F461" s="32"/>
      <c r="G461" s="36"/>
      <c r="H461" s="32"/>
      <c r="I461" s="37"/>
      <c r="J461" s="32"/>
      <c r="K461" s="32"/>
      <c r="L461" s="32"/>
      <c r="M461" s="32"/>
      <c r="N461" s="33"/>
      <c r="O461" s="33"/>
      <c r="P461" s="33"/>
      <c r="Q461" s="13"/>
      <c r="R461" s="13"/>
      <c r="S461" s="13"/>
      <c r="T461" s="13"/>
      <c r="U461" s="13"/>
      <c r="V461" s="13"/>
      <c r="W461" s="33"/>
      <c r="X461" s="33"/>
      <c r="Y461" s="33"/>
      <c r="Z461" s="33"/>
      <c r="AA461" s="33"/>
      <c r="AB461" s="33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</row>
    <row r="462" spans="2:83" s="30" customFormat="1">
      <c r="B462" s="32"/>
      <c r="C462" s="32"/>
      <c r="D462" s="32"/>
      <c r="E462" s="32"/>
      <c r="F462" s="32"/>
      <c r="G462" s="36"/>
      <c r="H462" s="32"/>
      <c r="I462" s="37"/>
      <c r="J462" s="32"/>
      <c r="K462" s="32"/>
      <c r="L462" s="32"/>
      <c r="M462" s="32"/>
      <c r="N462" s="33"/>
      <c r="O462" s="33"/>
      <c r="P462" s="33"/>
      <c r="Q462" s="13"/>
      <c r="R462" s="13"/>
      <c r="S462" s="13"/>
      <c r="T462" s="13"/>
      <c r="U462" s="13"/>
      <c r="V462" s="13"/>
      <c r="W462" s="33"/>
      <c r="X462" s="33"/>
      <c r="Y462" s="33"/>
      <c r="Z462" s="33"/>
      <c r="AA462" s="33"/>
      <c r="AB462" s="33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  <c r="CE462" s="32"/>
    </row>
    <row r="463" spans="2:83" s="30" customFormat="1">
      <c r="B463" s="32"/>
      <c r="C463" s="32"/>
      <c r="D463" s="32"/>
      <c r="E463" s="32"/>
      <c r="F463" s="32"/>
      <c r="G463" s="36"/>
      <c r="H463" s="32"/>
      <c r="I463" s="37"/>
      <c r="J463" s="32"/>
      <c r="K463" s="32"/>
      <c r="L463" s="32"/>
      <c r="M463" s="32"/>
      <c r="N463" s="33"/>
      <c r="O463" s="33"/>
      <c r="P463" s="33"/>
      <c r="Q463" s="13"/>
      <c r="R463" s="13"/>
      <c r="S463" s="13"/>
      <c r="T463" s="13"/>
      <c r="U463" s="13"/>
      <c r="V463" s="13"/>
      <c r="W463" s="33"/>
      <c r="X463" s="33"/>
      <c r="Y463" s="33"/>
      <c r="Z463" s="33"/>
      <c r="AA463" s="33"/>
      <c r="AB463" s="33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  <c r="CE463" s="32"/>
    </row>
    <row r="464" spans="2:83" s="30" customFormat="1">
      <c r="B464" s="32"/>
      <c r="C464" s="32"/>
      <c r="D464" s="32"/>
      <c r="E464" s="32"/>
      <c r="F464" s="32"/>
      <c r="G464" s="36"/>
      <c r="H464" s="32"/>
      <c r="I464" s="37"/>
      <c r="J464" s="32"/>
      <c r="K464" s="32"/>
      <c r="L464" s="32"/>
      <c r="M464" s="32"/>
      <c r="N464" s="33"/>
      <c r="O464" s="33"/>
      <c r="P464" s="33"/>
      <c r="Q464" s="13"/>
      <c r="R464" s="13"/>
      <c r="S464" s="13"/>
      <c r="T464" s="13"/>
      <c r="U464" s="13"/>
      <c r="V464" s="13"/>
      <c r="W464" s="33"/>
      <c r="X464" s="33"/>
      <c r="Y464" s="33"/>
      <c r="Z464" s="33"/>
      <c r="AA464" s="33"/>
      <c r="AB464" s="33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  <c r="CE464" s="32"/>
    </row>
    <row r="465" spans="2:83" s="30" customFormat="1">
      <c r="B465" s="32"/>
      <c r="C465" s="32"/>
      <c r="D465" s="32"/>
      <c r="E465" s="32"/>
      <c r="F465" s="32"/>
      <c r="G465" s="36"/>
      <c r="H465" s="32"/>
      <c r="I465" s="37"/>
      <c r="J465" s="32"/>
      <c r="K465" s="32"/>
      <c r="L465" s="32"/>
      <c r="M465" s="32"/>
      <c r="N465" s="33"/>
      <c r="O465" s="33"/>
      <c r="P465" s="33"/>
      <c r="Q465" s="13"/>
      <c r="R465" s="13"/>
      <c r="S465" s="13"/>
      <c r="T465" s="13"/>
      <c r="U465" s="13"/>
      <c r="V465" s="13"/>
      <c r="W465" s="33"/>
      <c r="X465" s="33"/>
      <c r="Y465" s="33"/>
      <c r="Z465" s="33"/>
      <c r="AA465" s="33"/>
      <c r="AB465" s="33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  <c r="CE465" s="32"/>
    </row>
    <row r="466" spans="2:83" s="30" customFormat="1">
      <c r="B466" s="32"/>
      <c r="C466" s="32"/>
      <c r="D466" s="32"/>
      <c r="E466" s="32"/>
      <c r="F466" s="32"/>
      <c r="G466" s="36"/>
      <c r="H466" s="32"/>
      <c r="I466" s="37"/>
      <c r="J466" s="32"/>
      <c r="K466" s="32"/>
      <c r="L466" s="32"/>
      <c r="M466" s="32"/>
      <c r="N466" s="33"/>
      <c r="O466" s="33"/>
      <c r="P466" s="33"/>
      <c r="Q466" s="13"/>
      <c r="R466" s="13"/>
      <c r="S466" s="13"/>
      <c r="T466" s="13"/>
      <c r="U466" s="13"/>
      <c r="V466" s="13"/>
      <c r="W466" s="33"/>
      <c r="X466" s="33"/>
      <c r="Y466" s="33"/>
      <c r="Z466" s="33"/>
      <c r="AA466" s="33"/>
      <c r="AB466" s="33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  <c r="CE466" s="32"/>
    </row>
    <row r="467" spans="2:83" s="30" customFormat="1">
      <c r="B467" s="32"/>
      <c r="C467" s="32"/>
      <c r="D467" s="32"/>
      <c r="E467" s="32"/>
      <c r="F467" s="32"/>
      <c r="G467" s="36"/>
      <c r="H467" s="32"/>
      <c r="I467" s="37"/>
      <c r="J467" s="32"/>
      <c r="K467" s="32"/>
      <c r="L467" s="32"/>
      <c r="M467" s="32"/>
      <c r="N467" s="33"/>
      <c r="O467" s="33"/>
      <c r="P467" s="33"/>
      <c r="Q467" s="13"/>
      <c r="R467" s="13"/>
      <c r="S467" s="13"/>
      <c r="T467" s="13"/>
      <c r="U467" s="13"/>
      <c r="V467" s="13"/>
      <c r="W467" s="33"/>
      <c r="X467" s="33"/>
      <c r="Y467" s="33"/>
      <c r="Z467" s="33"/>
      <c r="AA467" s="33"/>
      <c r="AB467" s="33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  <c r="CE467" s="32"/>
    </row>
    <row r="468" spans="2:83" s="30" customFormat="1">
      <c r="B468" s="32"/>
      <c r="C468" s="32"/>
      <c r="D468" s="32"/>
      <c r="E468" s="32"/>
      <c r="F468" s="32"/>
      <c r="G468" s="36"/>
      <c r="H468" s="32"/>
      <c r="I468" s="37"/>
      <c r="J468" s="32"/>
      <c r="K468" s="32"/>
      <c r="L468" s="32"/>
      <c r="M468" s="32"/>
      <c r="N468" s="33"/>
      <c r="O468" s="33"/>
      <c r="P468" s="33"/>
      <c r="Q468" s="13"/>
      <c r="R468" s="13"/>
      <c r="S468" s="13"/>
      <c r="T468" s="13"/>
      <c r="U468" s="13"/>
      <c r="V468" s="13"/>
      <c r="W468" s="33"/>
      <c r="X468" s="33"/>
      <c r="Y468" s="33"/>
      <c r="Z468" s="33"/>
      <c r="AA468" s="33"/>
      <c r="AB468" s="33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  <c r="CE468" s="32"/>
    </row>
    <row r="469" spans="2:83" s="30" customFormat="1">
      <c r="B469" s="32"/>
      <c r="C469" s="32"/>
      <c r="D469" s="32"/>
      <c r="E469" s="32"/>
      <c r="F469" s="32"/>
      <c r="G469" s="36"/>
      <c r="H469" s="32"/>
      <c r="I469" s="37"/>
      <c r="J469" s="32"/>
      <c r="K469" s="32"/>
      <c r="L469" s="32"/>
      <c r="M469" s="32"/>
      <c r="N469" s="33"/>
      <c r="O469" s="33"/>
      <c r="P469" s="33"/>
      <c r="Q469" s="13"/>
      <c r="R469" s="13"/>
      <c r="S469" s="13"/>
      <c r="T469" s="13"/>
      <c r="U469" s="13"/>
      <c r="V469" s="13"/>
      <c r="W469" s="33"/>
      <c r="X469" s="33"/>
      <c r="Y469" s="33"/>
      <c r="Z469" s="33"/>
      <c r="AA469" s="33"/>
      <c r="AB469" s="33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  <c r="CE469" s="32"/>
    </row>
    <row r="470" spans="2:83" s="30" customFormat="1">
      <c r="B470" s="32"/>
      <c r="C470" s="32"/>
      <c r="D470" s="32"/>
      <c r="E470" s="32"/>
      <c r="F470" s="32"/>
      <c r="G470" s="36"/>
      <c r="H470" s="32"/>
      <c r="I470" s="37"/>
      <c r="J470" s="32"/>
      <c r="K470" s="32"/>
      <c r="L470" s="32"/>
      <c r="M470" s="32"/>
      <c r="N470" s="33"/>
      <c r="O470" s="33"/>
      <c r="P470" s="33"/>
      <c r="Q470" s="13"/>
      <c r="R470" s="13"/>
      <c r="S470" s="13"/>
      <c r="T470" s="13"/>
      <c r="U470" s="13"/>
      <c r="V470" s="13"/>
      <c r="W470" s="33"/>
      <c r="X470" s="33"/>
      <c r="Y470" s="33"/>
      <c r="Z470" s="33"/>
      <c r="AA470" s="33"/>
      <c r="AB470" s="33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  <c r="CE470" s="32"/>
    </row>
    <row r="471" spans="2:83" s="30" customFormat="1">
      <c r="B471" s="32"/>
      <c r="C471" s="32"/>
      <c r="D471" s="32"/>
      <c r="E471" s="32"/>
      <c r="F471" s="32"/>
      <c r="G471" s="36"/>
      <c r="H471" s="32"/>
      <c r="I471" s="37"/>
      <c r="J471" s="32"/>
      <c r="K471" s="32"/>
      <c r="L471" s="32"/>
      <c r="M471" s="32"/>
      <c r="N471" s="33"/>
      <c r="O471" s="33"/>
      <c r="P471" s="33"/>
      <c r="Q471" s="13"/>
      <c r="R471" s="13"/>
      <c r="S471" s="13"/>
      <c r="T471" s="13"/>
      <c r="U471" s="13"/>
      <c r="V471" s="13"/>
      <c r="W471" s="33"/>
      <c r="X471" s="33"/>
      <c r="Y471" s="33"/>
      <c r="Z471" s="33"/>
      <c r="AA471" s="33"/>
      <c r="AB471" s="33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  <c r="CE471" s="32"/>
    </row>
    <row r="472" spans="2:83" s="30" customFormat="1">
      <c r="B472" s="32"/>
      <c r="C472" s="32"/>
      <c r="D472" s="32"/>
      <c r="E472" s="32"/>
      <c r="F472" s="32"/>
      <c r="G472" s="36"/>
      <c r="H472" s="32"/>
      <c r="I472" s="37"/>
      <c r="J472" s="32"/>
      <c r="K472" s="32"/>
      <c r="L472" s="32"/>
      <c r="M472" s="32"/>
      <c r="N472" s="33"/>
      <c r="O472" s="33"/>
      <c r="P472" s="33"/>
      <c r="Q472" s="13"/>
      <c r="R472" s="13"/>
      <c r="S472" s="13"/>
      <c r="T472" s="13"/>
      <c r="U472" s="13"/>
      <c r="V472" s="13"/>
      <c r="W472" s="33"/>
      <c r="X472" s="33"/>
      <c r="Y472" s="33"/>
      <c r="Z472" s="33"/>
      <c r="AA472" s="33"/>
      <c r="AB472" s="33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  <c r="CE472" s="32"/>
    </row>
    <row r="473" spans="2:83" s="30" customFormat="1">
      <c r="B473" s="32"/>
      <c r="C473" s="32"/>
      <c r="D473" s="32"/>
      <c r="E473" s="32"/>
      <c r="F473" s="32"/>
      <c r="G473" s="36"/>
      <c r="H473" s="32"/>
      <c r="I473" s="37"/>
      <c r="J473" s="32"/>
      <c r="K473" s="32"/>
      <c r="L473" s="32"/>
      <c r="M473" s="32"/>
      <c r="N473" s="33"/>
      <c r="O473" s="33"/>
      <c r="P473" s="33"/>
      <c r="Q473" s="13"/>
      <c r="R473" s="13"/>
      <c r="S473" s="13"/>
      <c r="T473" s="13"/>
      <c r="U473" s="13"/>
      <c r="V473" s="13"/>
      <c r="W473" s="33"/>
      <c r="X473" s="33"/>
      <c r="Y473" s="33"/>
      <c r="Z473" s="33"/>
      <c r="AA473" s="33"/>
      <c r="AB473" s="33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  <c r="CE473" s="32"/>
    </row>
    <row r="474" spans="2:83" s="30" customFormat="1">
      <c r="B474" s="32"/>
      <c r="C474" s="32"/>
      <c r="D474" s="32"/>
      <c r="E474" s="32"/>
      <c r="F474" s="32"/>
      <c r="G474" s="36"/>
      <c r="H474" s="32"/>
      <c r="I474" s="37"/>
      <c r="J474" s="32"/>
      <c r="K474" s="32"/>
      <c r="L474" s="32"/>
      <c r="M474" s="32"/>
      <c r="N474" s="33"/>
      <c r="O474" s="33"/>
      <c r="P474" s="33"/>
      <c r="Q474" s="13"/>
      <c r="R474" s="13"/>
      <c r="S474" s="13"/>
      <c r="T474" s="13"/>
      <c r="U474" s="13"/>
      <c r="V474" s="13"/>
      <c r="W474" s="33"/>
      <c r="X474" s="33"/>
      <c r="Y474" s="33"/>
      <c r="Z474" s="33"/>
      <c r="AA474" s="33"/>
      <c r="AB474" s="33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  <c r="CE474" s="32"/>
    </row>
    <row r="475" spans="2:83" s="30" customFormat="1">
      <c r="B475" s="32"/>
      <c r="C475" s="32"/>
      <c r="D475" s="32"/>
      <c r="E475" s="32"/>
      <c r="F475" s="32"/>
      <c r="G475" s="36"/>
      <c r="H475" s="32"/>
      <c r="I475" s="37"/>
      <c r="J475" s="32"/>
      <c r="K475" s="32"/>
      <c r="L475" s="32"/>
      <c r="M475" s="32"/>
      <c r="N475" s="33"/>
      <c r="O475" s="33"/>
      <c r="P475" s="33"/>
      <c r="Q475" s="13"/>
      <c r="R475" s="13"/>
      <c r="S475" s="13"/>
      <c r="T475" s="13"/>
      <c r="U475" s="13"/>
      <c r="V475" s="13"/>
      <c r="W475" s="33"/>
      <c r="X475" s="33"/>
      <c r="Y475" s="33"/>
      <c r="Z475" s="33"/>
      <c r="AA475" s="33"/>
      <c r="AB475" s="33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  <c r="CE475" s="32"/>
    </row>
    <row r="476" spans="2:83" s="30" customFormat="1">
      <c r="B476" s="32"/>
      <c r="C476" s="32"/>
      <c r="D476" s="32"/>
      <c r="E476" s="32"/>
      <c r="F476" s="32"/>
      <c r="G476" s="36"/>
      <c r="H476" s="32"/>
      <c r="I476" s="37"/>
      <c r="J476" s="32"/>
      <c r="K476" s="32"/>
      <c r="L476" s="32"/>
      <c r="M476" s="32"/>
      <c r="N476" s="33"/>
      <c r="O476" s="33"/>
      <c r="P476" s="33"/>
      <c r="Q476" s="13"/>
      <c r="R476" s="13"/>
      <c r="S476" s="13"/>
      <c r="T476" s="13"/>
      <c r="U476" s="13"/>
      <c r="V476" s="13"/>
      <c r="W476" s="33"/>
      <c r="X476" s="33"/>
      <c r="Y476" s="33"/>
      <c r="Z476" s="33"/>
      <c r="AA476" s="33"/>
      <c r="AB476" s="33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  <c r="CE476" s="32"/>
    </row>
    <row r="477" spans="2:83" s="30" customFormat="1">
      <c r="B477" s="32"/>
      <c r="C477" s="32"/>
      <c r="D477" s="32"/>
      <c r="E477" s="32"/>
      <c r="F477" s="32"/>
      <c r="G477" s="36"/>
      <c r="H477" s="32"/>
      <c r="I477" s="37"/>
      <c r="J477" s="32"/>
      <c r="K477" s="32"/>
      <c r="L477" s="32"/>
      <c r="M477" s="32"/>
      <c r="N477" s="33"/>
      <c r="O477" s="33"/>
      <c r="P477" s="33"/>
      <c r="Q477" s="13"/>
      <c r="R477" s="13"/>
      <c r="S477" s="13"/>
      <c r="T477" s="13"/>
      <c r="U477" s="13"/>
      <c r="V477" s="13"/>
      <c r="W477" s="33"/>
      <c r="X477" s="33"/>
      <c r="Y477" s="33"/>
      <c r="Z477" s="33"/>
      <c r="AA477" s="33"/>
      <c r="AB477" s="33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  <c r="CE477" s="32"/>
    </row>
    <row r="478" spans="2:83" s="30" customFormat="1">
      <c r="B478" s="32"/>
      <c r="C478" s="32"/>
      <c r="D478" s="32"/>
      <c r="E478" s="32"/>
      <c r="F478" s="32"/>
      <c r="G478" s="36"/>
      <c r="H478" s="32"/>
      <c r="I478" s="37"/>
      <c r="J478" s="32"/>
      <c r="K478" s="32"/>
      <c r="L478" s="32"/>
      <c r="M478" s="32"/>
      <c r="N478" s="33"/>
      <c r="O478" s="33"/>
      <c r="P478" s="33"/>
      <c r="Q478" s="13"/>
      <c r="R478" s="13"/>
      <c r="S478" s="13"/>
      <c r="T478" s="13"/>
      <c r="U478" s="13"/>
      <c r="V478" s="13"/>
      <c r="W478" s="33"/>
      <c r="X478" s="33"/>
      <c r="Y478" s="33"/>
      <c r="Z478" s="33"/>
      <c r="AA478" s="33"/>
      <c r="AB478" s="33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  <c r="CE478" s="32"/>
    </row>
    <row r="479" spans="2:83" s="30" customFormat="1">
      <c r="B479" s="32"/>
      <c r="C479" s="32"/>
      <c r="D479" s="32"/>
      <c r="E479" s="32"/>
      <c r="F479" s="32"/>
      <c r="G479" s="36"/>
      <c r="H479" s="32"/>
      <c r="I479" s="37"/>
      <c r="J479" s="32"/>
      <c r="K479" s="32"/>
      <c r="L479" s="32"/>
      <c r="M479" s="32"/>
      <c r="N479" s="33"/>
      <c r="O479" s="33"/>
      <c r="P479" s="33"/>
      <c r="Q479" s="13"/>
      <c r="R479" s="13"/>
      <c r="S479" s="13"/>
      <c r="T479" s="13"/>
      <c r="U479" s="13"/>
      <c r="V479" s="13"/>
      <c r="W479" s="33"/>
      <c r="X479" s="33"/>
      <c r="Y479" s="33"/>
      <c r="Z479" s="33"/>
      <c r="AA479" s="33"/>
      <c r="AB479" s="33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  <c r="CE479" s="32"/>
    </row>
    <row r="480" spans="2:83" s="30" customFormat="1">
      <c r="B480" s="32"/>
      <c r="C480" s="32"/>
      <c r="D480" s="32"/>
      <c r="E480" s="32"/>
      <c r="F480" s="32"/>
      <c r="G480" s="36"/>
      <c r="H480" s="32"/>
      <c r="I480" s="37"/>
      <c r="J480" s="32"/>
      <c r="K480" s="32"/>
      <c r="L480" s="32"/>
      <c r="M480" s="32"/>
      <c r="N480" s="33"/>
      <c r="O480" s="33"/>
      <c r="P480" s="33"/>
      <c r="Q480" s="13"/>
      <c r="R480" s="13"/>
      <c r="S480" s="13"/>
      <c r="T480" s="13"/>
      <c r="U480" s="13"/>
      <c r="V480" s="13"/>
      <c r="W480" s="33"/>
      <c r="X480" s="33"/>
      <c r="Y480" s="33"/>
      <c r="Z480" s="33"/>
      <c r="AA480" s="33"/>
      <c r="AB480" s="33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  <c r="CE480" s="32"/>
    </row>
    <row r="481" spans="2:83" s="30" customFormat="1">
      <c r="B481" s="32"/>
      <c r="C481" s="32"/>
      <c r="D481" s="32"/>
      <c r="E481" s="32"/>
      <c r="F481" s="32"/>
      <c r="G481" s="36"/>
      <c r="H481" s="32"/>
      <c r="I481" s="37"/>
      <c r="J481" s="32"/>
      <c r="K481" s="32"/>
      <c r="L481" s="32"/>
      <c r="M481" s="32"/>
      <c r="N481" s="33"/>
      <c r="O481" s="33"/>
      <c r="P481" s="33"/>
      <c r="Q481" s="13"/>
      <c r="R481" s="13"/>
      <c r="S481" s="13"/>
      <c r="T481" s="13"/>
      <c r="U481" s="13"/>
      <c r="V481" s="13"/>
      <c r="W481" s="33"/>
      <c r="X481" s="33"/>
      <c r="Y481" s="33"/>
      <c r="Z481" s="33"/>
      <c r="AA481" s="33"/>
      <c r="AB481" s="33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  <c r="CE481" s="32"/>
    </row>
    <row r="482" spans="2:83" s="30" customFormat="1">
      <c r="B482" s="32"/>
      <c r="C482" s="32"/>
      <c r="D482" s="32"/>
      <c r="E482" s="32"/>
      <c r="F482" s="32"/>
      <c r="G482" s="36"/>
      <c r="H482" s="32"/>
      <c r="I482" s="37"/>
      <c r="J482" s="32"/>
      <c r="K482" s="32"/>
      <c r="L482" s="32"/>
      <c r="M482" s="32"/>
      <c r="N482" s="33"/>
      <c r="O482" s="33"/>
      <c r="P482" s="33"/>
      <c r="Q482" s="13"/>
      <c r="R482" s="13"/>
      <c r="S482" s="13"/>
      <c r="T482" s="13"/>
      <c r="U482" s="13"/>
      <c r="V482" s="13"/>
      <c r="W482" s="33"/>
      <c r="X482" s="33"/>
      <c r="Y482" s="33"/>
      <c r="Z482" s="33"/>
      <c r="AA482" s="33"/>
      <c r="AB482" s="33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  <c r="CE482" s="32"/>
    </row>
    <row r="483" spans="2:83" s="30" customFormat="1">
      <c r="B483" s="32"/>
      <c r="C483" s="32"/>
      <c r="D483" s="32"/>
      <c r="E483" s="32"/>
      <c r="F483" s="32"/>
      <c r="G483" s="36"/>
      <c r="H483" s="32"/>
      <c r="I483" s="37"/>
      <c r="J483" s="32"/>
      <c r="K483" s="32"/>
      <c r="L483" s="32"/>
      <c r="M483" s="32"/>
      <c r="N483" s="33"/>
      <c r="O483" s="33"/>
      <c r="P483" s="33"/>
      <c r="Q483" s="13"/>
      <c r="R483" s="13"/>
      <c r="S483" s="13"/>
      <c r="T483" s="13"/>
      <c r="U483" s="13"/>
      <c r="V483" s="13"/>
      <c r="W483" s="33"/>
      <c r="X483" s="33"/>
      <c r="Y483" s="33"/>
      <c r="Z483" s="33"/>
      <c r="AA483" s="33"/>
      <c r="AB483" s="33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  <c r="CE483" s="32"/>
    </row>
    <row r="484" spans="2:83" s="30" customFormat="1">
      <c r="B484" s="32"/>
      <c r="C484" s="32"/>
      <c r="D484" s="32"/>
      <c r="E484" s="32"/>
      <c r="F484" s="32"/>
      <c r="G484" s="36"/>
      <c r="H484" s="32"/>
      <c r="I484" s="37"/>
      <c r="J484" s="32"/>
      <c r="K484" s="32"/>
      <c r="L484" s="32"/>
      <c r="M484" s="32"/>
      <c r="N484" s="33"/>
      <c r="O484" s="33"/>
      <c r="P484" s="33"/>
      <c r="Q484" s="13"/>
      <c r="R484" s="13"/>
      <c r="S484" s="13"/>
      <c r="T484" s="13"/>
      <c r="U484" s="13"/>
      <c r="V484" s="13"/>
      <c r="W484" s="33"/>
      <c r="X484" s="33"/>
      <c r="Y484" s="33"/>
      <c r="Z484" s="33"/>
      <c r="AA484" s="33"/>
      <c r="AB484" s="33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  <c r="CE484" s="32"/>
    </row>
    <row r="485" spans="2:83" s="30" customFormat="1">
      <c r="B485" s="32"/>
      <c r="C485" s="32"/>
      <c r="D485" s="32"/>
      <c r="E485" s="32"/>
      <c r="F485" s="32"/>
      <c r="G485" s="36"/>
      <c r="H485" s="32"/>
      <c r="I485" s="37"/>
      <c r="J485" s="32"/>
      <c r="K485" s="32"/>
      <c r="L485" s="32"/>
      <c r="M485" s="32"/>
      <c r="N485" s="33"/>
      <c r="O485" s="33"/>
      <c r="P485" s="33"/>
      <c r="Q485" s="13"/>
      <c r="R485" s="13"/>
      <c r="S485" s="13"/>
      <c r="T485" s="13"/>
      <c r="U485" s="13"/>
      <c r="V485" s="13"/>
      <c r="W485" s="33"/>
      <c r="X485" s="33"/>
      <c r="Y485" s="33"/>
      <c r="Z485" s="33"/>
      <c r="AA485" s="33"/>
      <c r="AB485" s="33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  <c r="CE485" s="32"/>
    </row>
    <row r="486" spans="2:83" s="30" customFormat="1">
      <c r="B486" s="32"/>
      <c r="C486" s="32"/>
      <c r="D486" s="32"/>
      <c r="E486" s="32"/>
      <c r="F486" s="32"/>
      <c r="G486" s="36"/>
      <c r="H486" s="32"/>
      <c r="I486" s="37"/>
      <c r="J486" s="32"/>
      <c r="K486" s="32"/>
      <c r="L486" s="32"/>
      <c r="M486" s="32"/>
      <c r="N486" s="33"/>
      <c r="O486" s="33"/>
      <c r="P486" s="33"/>
      <c r="Q486" s="13"/>
      <c r="R486" s="13"/>
      <c r="S486" s="13"/>
      <c r="T486" s="13"/>
      <c r="U486" s="13"/>
      <c r="V486" s="13"/>
      <c r="W486" s="33"/>
      <c r="X486" s="33"/>
      <c r="Y486" s="33"/>
      <c r="Z486" s="33"/>
      <c r="AA486" s="33"/>
      <c r="AB486" s="33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  <c r="CE486" s="32"/>
    </row>
    <row r="487" spans="2:83" s="30" customFormat="1">
      <c r="B487" s="32"/>
      <c r="C487" s="32"/>
      <c r="D487" s="32"/>
      <c r="E487" s="32"/>
      <c r="F487" s="32"/>
      <c r="G487" s="36"/>
      <c r="H487" s="32"/>
      <c r="I487" s="37"/>
      <c r="J487" s="32"/>
      <c r="K487" s="32"/>
      <c r="L487" s="32"/>
      <c r="M487" s="32"/>
      <c r="N487" s="33"/>
      <c r="O487" s="33"/>
      <c r="P487" s="33"/>
      <c r="Q487" s="13"/>
      <c r="R487" s="13"/>
      <c r="S487" s="13"/>
      <c r="T487" s="13"/>
      <c r="U487" s="13"/>
      <c r="V487" s="13"/>
      <c r="W487" s="33"/>
      <c r="X487" s="33"/>
      <c r="Y487" s="33"/>
      <c r="Z487" s="33"/>
      <c r="AA487" s="33"/>
      <c r="AB487" s="33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  <c r="CE487" s="32"/>
    </row>
    <row r="488" spans="2:83" s="30" customFormat="1">
      <c r="B488" s="32"/>
      <c r="C488" s="32"/>
      <c r="D488" s="32"/>
      <c r="E488" s="32"/>
      <c r="F488" s="32"/>
      <c r="G488" s="36"/>
      <c r="H488" s="32"/>
      <c r="I488" s="37"/>
      <c r="J488" s="32"/>
      <c r="K488" s="32"/>
      <c r="L488" s="32"/>
      <c r="M488" s="32"/>
      <c r="N488" s="33"/>
      <c r="O488" s="33"/>
      <c r="P488" s="33"/>
      <c r="Q488" s="13"/>
      <c r="R488" s="13"/>
      <c r="S488" s="13"/>
      <c r="T488" s="13"/>
      <c r="U488" s="13"/>
      <c r="V488" s="13"/>
      <c r="W488" s="33"/>
      <c r="X488" s="33"/>
      <c r="Y488" s="33"/>
      <c r="Z488" s="33"/>
      <c r="AA488" s="33"/>
      <c r="AB488" s="33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  <c r="CE488" s="32"/>
    </row>
    <row r="489" spans="2:83" s="30" customFormat="1">
      <c r="B489" s="32"/>
      <c r="C489" s="32"/>
      <c r="D489" s="32"/>
      <c r="E489" s="32"/>
      <c r="F489" s="32"/>
      <c r="G489" s="36"/>
      <c r="H489" s="32"/>
      <c r="I489" s="37"/>
      <c r="J489" s="32"/>
      <c r="K489" s="32"/>
      <c r="L489" s="32"/>
      <c r="M489" s="32"/>
      <c r="N489" s="33"/>
      <c r="O489" s="33"/>
      <c r="P489" s="33"/>
      <c r="Q489" s="13"/>
      <c r="R489" s="13"/>
      <c r="S489" s="13"/>
      <c r="T489" s="13"/>
      <c r="U489" s="13"/>
      <c r="V489" s="13"/>
      <c r="W489" s="33"/>
      <c r="X489" s="33"/>
      <c r="Y489" s="33"/>
      <c r="Z489" s="33"/>
      <c r="AA489" s="33"/>
      <c r="AB489" s="33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  <c r="CE489" s="32"/>
    </row>
    <row r="490" spans="2:83" s="30" customFormat="1">
      <c r="B490" s="32"/>
      <c r="C490" s="32"/>
      <c r="D490" s="32"/>
      <c r="E490" s="32"/>
      <c r="F490" s="32"/>
      <c r="G490" s="36"/>
      <c r="H490" s="32"/>
      <c r="I490" s="37"/>
      <c r="J490" s="32"/>
      <c r="K490" s="32"/>
      <c r="L490" s="32"/>
      <c r="M490" s="32"/>
      <c r="N490" s="33"/>
      <c r="O490" s="33"/>
      <c r="P490" s="33"/>
      <c r="Q490" s="13"/>
      <c r="R490" s="13"/>
      <c r="S490" s="13"/>
      <c r="T490" s="13"/>
      <c r="U490" s="13"/>
      <c r="V490" s="13"/>
      <c r="W490" s="33"/>
      <c r="X490" s="33"/>
      <c r="Y490" s="33"/>
      <c r="Z490" s="33"/>
      <c r="AA490" s="33"/>
      <c r="AB490" s="33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</row>
    <row r="491" spans="2:83" s="30" customFormat="1">
      <c r="B491" s="32"/>
      <c r="C491" s="32"/>
      <c r="D491" s="32"/>
      <c r="E491" s="32"/>
      <c r="F491" s="32"/>
      <c r="G491" s="36"/>
      <c r="H491" s="32"/>
      <c r="I491" s="37"/>
      <c r="J491" s="32"/>
      <c r="K491" s="32"/>
      <c r="L491" s="32"/>
      <c r="M491" s="32"/>
      <c r="N491" s="33"/>
      <c r="O491" s="33"/>
      <c r="P491" s="33"/>
      <c r="Q491" s="13"/>
      <c r="R491" s="13"/>
      <c r="S491" s="13"/>
      <c r="T491" s="13"/>
      <c r="U491" s="13"/>
      <c r="V491" s="13"/>
      <c r="W491" s="33"/>
      <c r="X491" s="33"/>
      <c r="Y491" s="33"/>
      <c r="Z491" s="33"/>
      <c r="AA491" s="33"/>
      <c r="AB491" s="33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</row>
    <row r="492" spans="2:83" s="30" customFormat="1">
      <c r="B492" s="32"/>
      <c r="C492" s="32"/>
      <c r="D492" s="32"/>
      <c r="E492" s="32"/>
      <c r="F492" s="32"/>
      <c r="G492" s="36"/>
      <c r="H492" s="32"/>
      <c r="I492" s="37"/>
      <c r="J492" s="32"/>
      <c r="K492" s="32"/>
      <c r="L492" s="32"/>
      <c r="M492" s="32"/>
      <c r="N492" s="33"/>
      <c r="O492" s="33"/>
      <c r="P492" s="33"/>
      <c r="Q492" s="13"/>
      <c r="R492" s="13"/>
      <c r="S492" s="13"/>
      <c r="T492" s="13"/>
      <c r="U492" s="13"/>
      <c r="V492" s="13"/>
      <c r="W492" s="33"/>
      <c r="X492" s="33"/>
      <c r="Y492" s="33"/>
      <c r="Z492" s="33"/>
      <c r="AA492" s="33"/>
      <c r="AB492" s="33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</row>
    <row r="493" spans="2:83" s="30" customFormat="1">
      <c r="B493" s="32"/>
      <c r="C493" s="32"/>
      <c r="D493" s="32"/>
      <c r="E493" s="32"/>
      <c r="F493" s="32"/>
      <c r="G493" s="36"/>
      <c r="H493" s="32"/>
      <c r="I493" s="37"/>
      <c r="J493" s="32"/>
      <c r="K493" s="32"/>
      <c r="L493" s="32"/>
      <c r="M493" s="32"/>
      <c r="N493" s="33"/>
      <c r="O493" s="33"/>
      <c r="P493" s="33"/>
      <c r="Q493" s="13"/>
      <c r="R493" s="13"/>
      <c r="S493" s="13"/>
      <c r="T493" s="13"/>
      <c r="U493" s="13"/>
      <c r="V493" s="13"/>
      <c r="W493" s="33"/>
      <c r="X493" s="33"/>
      <c r="Y493" s="33"/>
      <c r="Z493" s="33"/>
      <c r="AA493" s="33"/>
      <c r="AB493" s="33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</row>
    <row r="494" spans="2:83" s="30" customFormat="1">
      <c r="B494" s="32"/>
      <c r="C494" s="32"/>
      <c r="D494" s="32"/>
      <c r="E494" s="32"/>
      <c r="F494" s="32"/>
      <c r="G494" s="36"/>
      <c r="H494" s="32"/>
      <c r="I494" s="37"/>
      <c r="J494" s="32"/>
      <c r="K494" s="32"/>
      <c r="L494" s="32"/>
      <c r="M494" s="32"/>
      <c r="N494" s="33"/>
      <c r="O494" s="33"/>
      <c r="P494" s="33"/>
      <c r="Q494" s="13"/>
      <c r="R494" s="13"/>
      <c r="S494" s="13"/>
      <c r="T494" s="13"/>
      <c r="U494" s="13"/>
      <c r="V494" s="13"/>
      <c r="W494" s="33"/>
      <c r="X494" s="33"/>
      <c r="Y494" s="33"/>
      <c r="Z494" s="33"/>
      <c r="AA494" s="33"/>
      <c r="AB494" s="33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</row>
    <row r="495" spans="2:83" s="30" customFormat="1">
      <c r="B495" s="32"/>
      <c r="C495" s="32"/>
      <c r="D495" s="32"/>
      <c r="E495" s="32"/>
      <c r="F495" s="32"/>
      <c r="G495" s="36"/>
      <c r="H495" s="32"/>
      <c r="I495" s="37"/>
      <c r="J495" s="32"/>
      <c r="K495" s="32"/>
      <c r="L495" s="32"/>
      <c r="M495" s="32"/>
      <c r="N495" s="33"/>
      <c r="O495" s="33"/>
      <c r="P495" s="33"/>
      <c r="Q495" s="13"/>
      <c r="R495" s="13"/>
      <c r="S495" s="13"/>
      <c r="T495" s="13"/>
      <c r="U495" s="13"/>
      <c r="V495" s="13"/>
      <c r="W495" s="33"/>
      <c r="X495" s="33"/>
      <c r="Y495" s="33"/>
      <c r="Z495" s="33"/>
      <c r="AA495" s="33"/>
      <c r="AB495" s="33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</row>
    <row r="496" spans="2:83" s="30" customFormat="1">
      <c r="B496" s="32"/>
      <c r="C496" s="32"/>
      <c r="D496" s="32"/>
      <c r="E496" s="32"/>
      <c r="F496" s="32"/>
      <c r="G496" s="36"/>
      <c r="H496" s="32"/>
      <c r="I496" s="37"/>
      <c r="J496" s="32"/>
      <c r="K496" s="32"/>
      <c r="L496" s="32"/>
      <c r="M496" s="32"/>
      <c r="N496" s="33"/>
      <c r="O496" s="33"/>
      <c r="P496" s="33"/>
      <c r="Q496" s="13"/>
      <c r="R496" s="13"/>
      <c r="S496" s="13"/>
      <c r="T496" s="13"/>
      <c r="U496" s="13"/>
      <c r="V496" s="13"/>
      <c r="W496" s="33"/>
      <c r="X496" s="33"/>
      <c r="Y496" s="33"/>
      <c r="Z496" s="33"/>
      <c r="AA496" s="33"/>
      <c r="AB496" s="33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</row>
    <row r="497" spans="2:83" s="30" customFormat="1">
      <c r="B497" s="32"/>
      <c r="C497" s="32"/>
      <c r="D497" s="32"/>
      <c r="E497" s="32"/>
      <c r="F497" s="32"/>
      <c r="G497" s="36"/>
      <c r="H497" s="32"/>
      <c r="I497" s="37"/>
      <c r="J497" s="32"/>
      <c r="K497" s="32"/>
      <c r="L497" s="32"/>
      <c r="M497" s="32"/>
      <c r="N497" s="33"/>
      <c r="O497" s="33"/>
      <c r="P497" s="33"/>
      <c r="Q497" s="13"/>
      <c r="R497" s="13"/>
      <c r="S497" s="13"/>
      <c r="T497" s="13"/>
      <c r="U497" s="13"/>
      <c r="V497" s="13"/>
      <c r="W497" s="33"/>
      <c r="X497" s="33"/>
      <c r="Y497" s="33"/>
      <c r="Z497" s="33"/>
      <c r="AA497" s="33"/>
      <c r="AB497" s="33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</row>
    <row r="498" spans="2:83" s="30" customFormat="1">
      <c r="B498" s="32"/>
      <c r="C498" s="32"/>
      <c r="D498" s="32"/>
      <c r="E498" s="32"/>
      <c r="F498" s="32"/>
      <c r="G498" s="36"/>
      <c r="H498" s="32"/>
      <c r="I498" s="37"/>
      <c r="J498" s="32"/>
      <c r="K498" s="32"/>
      <c r="L498" s="32"/>
      <c r="M498" s="32"/>
      <c r="N498" s="33"/>
      <c r="O498" s="33"/>
      <c r="P498" s="33"/>
      <c r="Q498" s="13"/>
      <c r="R498" s="13"/>
      <c r="S498" s="13"/>
      <c r="T498" s="13"/>
      <c r="U498" s="13"/>
      <c r="V498" s="13"/>
      <c r="W498" s="33"/>
      <c r="X498" s="33"/>
      <c r="Y498" s="33"/>
      <c r="Z498" s="33"/>
      <c r="AA498" s="33"/>
      <c r="AB498" s="33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</row>
    <row r="499" spans="2:83" s="30" customFormat="1">
      <c r="B499" s="32"/>
      <c r="C499" s="32"/>
      <c r="D499" s="32"/>
      <c r="E499" s="32"/>
      <c r="F499" s="32"/>
      <c r="G499" s="36"/>
      <c r="H499" s="32"/>
      <c r="I499" s="37"/>
      <c r="J499" s="32"/>
      <c r="K499" s="32"/>
      <c r="L499" s="32"/>
      <c r="M499" s="32"/>
      <c r="N499" s="33"/>
      <c r="O499" s="33"/>
      <c r="P499" s="33"/>
      <c r="Q499" s="13"/>
      <c r="R499" s="13"/>
      <c r="S499" s="13"/>
      <c r="T499" s="13"/>
      <c r="U499" s="13"/>
      <c r="V499" s="13"/>
      <c r="W499" s="33"/>
      <c r="X499" s="33"/>
      <c r="Y499" s="33"/>
      <c r="Z499" s="33"/>
      <c r="AA499" s="33"/>
      <c r="AB499" s="33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</row>
    <row r="500" spans="2:83" s="30" customFormat="1">
      <c r="B500" s="32"/>
      <c r="C500" s="32"/>
      <c r="D500" s="32"/>
      <c r="E500" s="32"/>
      <c r="F500" s="32"/>
      <c r="G500" s="36"/>
      <c r="H500" s="32"/>
      <c r="I500" s="37"/>
      <c r="J500" s="32"/>
      <c r="K500" s="32"/>
      <c r="L500" s="32"/>
      <c r="M500" s="32"/>
      <c r="N500" s="33"/>
      <c r="O500" s="33"/>
      <c r="P500" s="33"/>
      <c r="Q500" s="13"/>
      <c r="R500" s="13"/>
      <c r="S500" s="13"/>
      <c r="T500" s="13"/>
      <c r="U500" s="13"/>
      <c r="V500" s="13"/>
      <c r="W500" s="33"/>
      <c r="X500" s="33"/>
      <c r="Y500" s="33"/>
      <c r="Z500" s="33"/>
      <c r="AA500" s="33"/>
      <c r="AB500" s="33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</row>
    <row r="501" spans="2:83" s="30" customFormat="1">
      <c r="B501" s="32"/>
      <c r="C501" s="32"/>
      <c r="D501" s="32"/>
      <c r="E501" s="32"/>
      <c r="F501" s="32"/>
      <c r="G501" s="36"/>
      <c r="H501" s="32"/>
      <c r="I501" s="37"/>
      <c r="J501" s="32"/>
      <c r="K501" s="32"/>
      <c r="L501" s="32"/>
      <c r="M501" s="32"/>
      <c r="N501" s="33"/>
      <c r="O501" s="33"/>
      <c r="P501" s="33"/>
      <c r="Q501" s="13"/>
      <c r="R501" s="13"/>
      <c r="S501" s="13"/>
      <c r="T501" s="13"/>
      <c r="U501" s="13"/>
      <c r="V501" s="13"/>
      <c r="W501" s="33"/>
      <c r="X501" s="33"/>
      <c r="Y501" s="33"/>
      <c r="Z501" s="33"/>
      <c r="AA501" s="33"/>
      <c r="AB501" s="33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  <c r="CE501" s="32"/>
    </row>
    <row r="502" spans="2:83" s="30" customFormat="1">
      <c r="B502" s="32"/>
      <c r="C502" s="32"/>
      <c r="D502" s="32"/>
      <c r="E502" s="32"/>
      <c r="F502" s="32"/>
      <c r="G502" s="36"/>
      <c r="H502" s="32"/>
      <c r="I502" s="37"/>
      <c r="J502" s="32"/>
      <c r="K502" s="32"/>
      <c r="L502" s="32"/>
      <c r="M502" s="32"/>
      <c r="N502" s="33"/>
      <c r="O502" s="33"/>
      <c r="P502" s="33"/>
      <c r="Q502" s="13"/>
      <c r="R502" s="13"/>
      <c r="S502" s="13"/>
      <c r="T502" s="13"/>
      <c r="U502" s="13"/>
      <c r="V502" s="13"/>
      <c r="W502" s="33"/>
      <c r="X502" s="33"/>
      <c r="Y502" s="33"/>
      <c r="Z502" s="33"/>
      <c r="AA502" s="33"/>
      <c r="AB502" s="33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  <c r="CE502" s="32"/>
    </row>
    <row r="503" spans="2:83" s="30" customFormat="1">
      <c r="B503" s="32"/>
      <c r="C503" s="32"/>
      <c r="D503" s="32"/>
      <c r="E503" s="32"/>
      <c r="F503" s="32"/>
      <c r="G503" s="36"/>
      <c r="H503" s="32"/>
      <c r="I503" s="37"/>
      <c r="J503" s="32"/>
      <c r="K503" s="32"/>
      <c r="L503" s="32"/>
      <c r="M503" s="32"/>
      <c r="N503" s="33"/>
      <c r="O503" s="33"/>
      <c r="P503" s="33"/>
      <c r="Q503" s="13"/>
      <c r="R503" s="13"/>
      <c r="S503" s="13"/>
      <c r="T503" s="13"/>
      <c r="U503" s="13"/>
      <c r="V503" s="13"/>
      <c r="W503" s="33"/>
      <c r="X503" s="33"/>
      <c r="Y503" s="33"/>
      <c r="Z503" s="33"/>
      <c r="AA503" s="33"/>
      <c r="AB503" s="33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  <c r="CE503" s="32"/>
    </row>
    <row r="504" spans="2:83" s="30" customFormat="1">
      <c r="B504" s="32"/>
      <c r="C504" s="32"/>
      <c r="D504" s="32"/>
      <c r="E504" s="32"/>
      <c r="F504" s="32"/>
      <c r="G504" s="36"/>
      <c r="H504" s="32"/>
      <c r="I504" s="37"/>
      <c r="J504" s="32"/>
      <c r="K504" s="32"/>
      <c r="L504" s="32"/>
      <c r="M504" s="32"/>
      <c r="N504" s="33"/>
      <c r="O504" s="33"/>
      <c r="P504" s="33"/>
      <c r="Q504" s="13"/>
      <c r="R504" s="13"/>
      <c r="S504" s="13"/>
      <c r="T504" s="13"/>
      <c r="U504" s="13"/>
      <c r="V504" s="13"/>
      <c r="W504" s="33"/>
      <c r="X504" s="33"/>
      <c r="Y504" s="33"/>
      <c r="Z504" s="33"/>
      <c r="AA504" s="33"/>
      <c r="AB504" s="33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  <c r="CE504" s="32"/>
    </row>
    <row r="505" spans="2:83" s="30" customFormat="1">
      <c r="B505" s="32"/>
      <c r="C505" s="32"/>
      <c r="D505" s="32"/>
      <c r="E505" s="32"/>
      <c r="F505" s="32"/>
      <c r="G505" s="36"/>
      <c r="H505" s="32"/>
      <c r="I505" s="37"/>
      <c r="J505" s="32"/>
      <c r="K505" s="32"/>
      <c r="L505" s="32"/>
      <c r="M505" s="32"/>
      <c r="N505" s="33"/>
      <c r="O505" s="33"/>
      <c r="P505" s="33"/>
      <c r="Q505" s="13"/>
      <c r="R505" s="13"/>
      <c r="S505" s="13"/>
      <c r="T505" s="13"/>
      <c r="U505" s="13"/>
      <c r="V505" s="13"/>
      <c r="W505" s="33"/>
      <c r="X505" s="33"/>
      <c r="Y505" s="33"/>
      <c r="Z505" s="33"/>
      <c r="AA505" s="33"/>
      <c r="AB505" s="33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  <c r="CE505" s="32"/>
    </row>
    <row r="506" spans="2:83" s="30" customFormat="1">
      <c r="B506" s="32"/>
      <c r="C506" s="32"/>
      <c r="D506" s="32"/>
      <c r="E506" s="32"/>
      <c r="F506" s="32"/>
      <c r="G506" s="36"/>
      <c r="H506" s="32"/>
      <c r="I506" s="37"/>
      <c r="J506" s="32"/>
      <c r="K506" s="32"/>
      <c r="L506" s="32"/>
      <c r="M506" s="32"/>
      <c r="N506" s="33"/>
      <c r="O506" s="33"/>
      <c r="P506" s="33"/>
      <c r="Q506" s="13"/>
      <c r="R506" s="13"/>
      <c r="S506" s="13"/>
      <c r="T506" s="13"/>
      <c r="U506" s="13"/>
      <c r="V506" s="13"/>
      <c r="W506" s="33"/>
      <c r="X506" s="33"/>
      <c r="Y506" s="33"/>
      <c r="Z506" s="33"/>
      <c r="AA506" s="33"/>
      <c r="AB506" s="33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  <c r="CE506" s="32"/>
    </row>
    <row r="507" spans="2:83" s="30" customFormat="1">
      <c r="B507" s="32"/>
      <c r="C507" s="32"/>
      <c r="D507" s="32"/>
      <c r="E507" s="32"/>
      <c r="F507" s="32"/>
      <c r="G507" s="36"/>
      <c r="H507" s="32"/>
      <c r="I507" s="37"/>
      <c r="J507" s="32"/>
      <c r="K507" s="32"/>
      <c r="L507" s="32"/>
      <c r="M507" s="32"/>
      <c r="N507" s="33"/>
      <c r="O507" s="33"/>
      <c r="P507" s="33"/>
      <c r="Q507" s="13"/>
      <c r="R507" s="13"/>
      <c r="S507" s="13"/>
      <c r="T507" s="13"/>
      <c r="U507" s="13"/>
      <c r="V507" s="13"/>
      <c r="W507" s="33"/>
      <c r="X507" s="33"/>
      <c r="Y507" s="33"/>
      <c r="Z507" s="33"/>
      <c r="AA507" s="33"/>
      <c r="AB507" s="33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  <c r="CE507" s="32"/>
    </row>
    <row r="508" spans="2:83" s="30" customFormat="1">
      <c r="B508" s="32"/>
      <c r="C508" s="32"/>
      <c r="D508" s="32"/>
      <c r="E508" s="32"/>
      <c r="F508" s="32"/>
      <c r="G508" s="36"/>
      <c r="H508" s="32"/>
      <c r="I508" s="37"/>
      <c r="J508" s="32"/>
      <c r="K508" s="32"/>
      <c r="L508" s="32"/>
      <c r="M508" s="32"/>
      <c r="N508" s="33"/>
      <c r="O508" s="33"/>
      <c r="P508" s="33"/>
      <c r="Q508" s="13"/>
      <c r="R508" s="13"/>
      <c r="S508" s="13"/>
      <c r="T508" s="13"/>
      <c r="U508" s="13"/>
      <c r="V508" s="13"/>
      <c r="W508" s="33"/>
      <c r="X508" s="33"/>
      <c r="Y508" s="33"/>
      <c r="Z508" s="33"/>
      <c r="AA508" s="33"/>
      <c r="AB508" s="33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  <c r="CE508" s="32"/>
    </row>
    <row r="509" spans="2:83" s="30" customFormat="1">
      <c r="B509" s="32"/>
      <c r="C509" s="32"/>
      <c r="D509" s="32"/>
      <c r="E509" s="32"/>
      <c r="F509" s="32"/>
      <c r="G509" s="36"/>
      <c r="H509" s="32"/>
      <c r="I509" s="37"/>
      <c r="J509" s="32"/>
      <c r="K509" s="32"/>
      <c r="L509" s="32"/>
      <c r="M509" s="32"/>
      <c r="N509" s="33"/>
      <c r="O509" s="33"/>
      <c r="P509" s="33"/>
      <c r="Q509" s="13"/>
      <c r="R509" s="13"/>
      <c r="S509" s="13"/>
      <c r="T509" s="13"/>
      <c r="U509" s="13"/>
      <c r="V509" s="13"/>
      <c r="W509" s="33"/>
      <c r="X509" s="33"/>
      <c r="Y509" s="33"/>
      <c r="Z509" s="33"/>
      <c r="AA509" s="33"/>
      <c r="AB509" s="33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  <c r="CE509" s="32"/>
    </row>
    <row r="510" spans="2:83" s="30" customFormat="1">
      <c r="B510" s="32"/>
      <c r="C510" s="32"/>
      <c r="D510" s="32"/>
      <c r="E510" s="32"/>
      <c r="F510" s="32"/>
      <c r="G510" s="36"/>
      <c r="H510" s="32"/>
      <c r="I510" s="37"/>
      <c r="J510" s="32"/>
      <c r="K510" s="32"/>
      <c r="L510" s="32"/>
      <c r="M510" s="32"/>
      <c r="N510" s="33"/>
      <c r="O510" s="33"/>
      <c r="P510" s="33"/>
      <c r="Q510" s="13"/>
      <c r="R510" s="13"/>
      <c r="S510" s="13"/>
      <c r="T510" s="13"/>
      <c r="U510" s="13"/>
      <c r="V510" s="13"/>
      <c r="W510" s="33"/>
      <c r="X510" s="33"/>
      <c r="Y510" s="33"/>
      <c r="Z510" s="33"/>
      <c r="AA510" s="33"/>
      <c r="AB510" s="33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</row>
    <row r="511" spans="2:83" s="30" customFormat="1">
      <c r="B511" s="32"/>
      <c r="C511" s="32"/>
      <c r="D511" s="32"/>
      <c r="E511" s="32"/>
      <c r="F511" s="32"/>
      <c r="G511" s="36"/>
      <c r="H511" s="32"/>
      <c r="I511" s="37"/>
      <c r="J511" s="32"/>
      <c r="K511" s="32"/>
      <c r="L511" s="32"/>
      <c r="M511" s="32"/>
      <c r="N511" s="33"/>
      <c r="O511" s="33"/>
      <c r="P511" s="33"/>
      <c r="Q511" s="13"/>
      <c r="R511" s="13"/>
      <c r="S511" s="13"/>
      <c r="T511" s="13"/>
      <c r="U511" s="13"/>
      <c r="V511" s="13"/>
      <c r="W511" s="33"/>
      <c r="X511" s="33"/>
      <c r="Y511" s="33"/>
      <c r="Z511" s="33"/>
      <c r="AA511" s="33"/>
      <c r="AB511" s="33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  <c r="CE511" s="32"/>
    </row>
    <row r="512" spans="2:83" s="30" customFormat="1">
      <c r="B512" s="32"/>
      <c r="C512" s="32"/>
      <c r="D512" s="32"/>
      <c r="E512" s="32"/>
      <c r="F512" s="32"/>
      <c r="G512" s="36"/>
      <c r="H512" s="32"/>
      <c r="I512" s="37"/>
      <c r="J512" s="32"/>
      <c r="K512" s="32"/>
      <c r="L512" s="32"/>
      <c r="M512" s="32"/>
      <c r="N512" s="33"/>
      <c r="O512" s="33"/>
      <c r="P512" s="33"/>
      <c r="Q512" s="13"/>
      <c r="R512" s="13"/>
      <c r="S512" s="13"/>
      <c r="T512" s="13"/>
      <c r="U512" s="13"/>
      <c r="V512" s="13"/>
      <c r="W512" s="33"/>
      <c r="X512" s="33"/>
      <c r="Y512" s="33"/>
      <c r="Z512" s="33"/>
      <c r="AA512" s="33"/>
      <c r="AB512" s="33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  <c r="CE512" s="32"/>
    </row>
    <row r="513" spans="2:83" s="30" customFormat="1">
      <c r="B513" s="32"/>
      <c r="C513" s="32"/>
      <c r="D513" s="32"/>
      <c r="E513" s="32"/>
      <c r="F513" s="32"/>
      <c r="G513" s="36"/>
      <c r="H513" s="32"/>
      <c r="I513" s="37"/>
      <c r="J513" s="32"/>
      <c r="K513" s="32"/>
      <c r="L513" s="32"/>
      <c r="M513" s="32"/>
      <c r="N513" s="33"/>
      <c r="O513" s="33"/>
      <c r="P513" s="33"/>
      <c r="Q513" s="13"/>
      <c r="R513" s="13"/>
      <c r="S513" s="13"/>
      <c r="T513" s="13"/>
      <c r="U513" s="13"/>
      <c r="V513" s="13"/>
      <c r="W513" s="33"/>
      <c r="X513" s="33"/>
      <c r="Y513" s="33"/>
      <c r="Z513" s="33"/>
      <c r="AA513" s="33"/>
      <c r="AB513" s="33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  <c r="CE513" s="32"/>
    </row>
    <row r="514" spans="2:83" s="30" customFormat="1">
      <c r="B514" s="32"/>
      <c r="C514" s="32"/>
      <c r="D514" s="32"/>
      <c r="E514" s="32"/>
      <c r="F514" s="32"/>
      <c r="G514" s="36"/>
      <c r="H514" s="32"/>
      <c r="I514" s="37"/>
      <c r="J514" s="32"/>
      <c r="K514" s="32"/>
      <c r="L514" s="32"/>
      <c r="M514" s="32"/>
      <c r="N514" s="33"/>
      <c r="O514" s="33"/>
      <c r="P514" s="33"/>
      <c r="Q514" s="13"/>
      <c r="R514" s="13"/>
      <c r="S514" s="13"/>
      <c r="T514" s="13"/>
      <c r="U514" s="13"/>
      <c r="V514" s="13"/>
      <c r="W514" s="33"/>
      <c r="X514" s="33"/>
      <c r="Y514" s="33"/>
      <c r="Z514" s="33"/>
      <c r="AA514" s="33"/>
      <c r="AB514" s="33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  <c r="CE514" s="32"/>
    </row>
    <row r="515" spans="2:83" s="30" customFormat="1">
      <c r="B515" s="32"/>
      <c r="C515" s="32"/>
      <c r="D515" s="32"/>
      <c r="E515" s="32"/>
      <c r="F515" s="32"/>
      <c r="G515" s="36"/>
      <c r="H515" s="32"/>
      <c r="I515" s="37"/>
      <c r="J515" s="32"/>
      <c r="K515" s="32"/>
      <c r="L515" s="32"/>
      <c r="M515" s="32"/>
      <c r="N515" s="33"/>
      <c r="O515" s="33"/>
      <c r="P515" s="33"/>
      <c r="Q515" s="13"/>
      <c r="R515" s="13"/>
      <c r="S515" s="13"/>
      <c r="T515" s="13"/>
      <c r="U515" s="13"/>
      <c r="V515" s="13"/>
      <c r="W515" s="33"/>
      <c r="X515" s="33"/>
      <c r="Y515" s="33"/>
      <c r="Z515" s="33"/>
      <c r="AA515" s="33"/>
      <c r="AB515" s="33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  <c r="CE515" s="32"/>
    </row>
    <row r="516" spans="2:83" s="30" customFormat="1">
      <c r="B516" s="32"/>
      <c r="C516" s="32"/>
      <c r="D516" s="32"/>
      <c r="E516" s="32"/>
      <c r="F516" s="32"/>
      <c r="G516" s="36"/>
      <c r="H516" s="32"/>
      <c r="I516" s="37"/>
      <c r="J516" s="32"/>
      <c r="K516" s="32"/>
      <c r="L516" s="32"/>
      <c r="M516" s="32"/>
      <c r="N516" s="33"/>
      <c r="O516" s="33"/>
      <c r="P516" s="33"/>
      <c r="Q516" s="13"/>
      <c r="R516" s="13"/>
      <c r="S516" s="13"/>
      <c r="T516" s="13"/>
      <c r="U516" s="13"/>
      <c r="V516" s="13"/>
      <c r="W516" s="33"/>
      <c r="X516" s="33"/>
      <c r="Y516" s="33"/>
      <c r="Z516" s="33"/>
      <c r="AA516" s="33"/>
      <c r="AB516" s="33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</row>
    <row r="517" spans="2:83" s="30" customFormat="1">
      <c r="B517" s="32"/>
      <c r="C517" s="32"/>
      <c r="D517" s="32"/>
      <c r="E517" s="32"/>
      <c r="F517" s="32"/>
      <c r="G517" s="36"/>
      <c r="H517" s="32"/>
      <c r="I517" s="37"/>
      <c r="J517" s="32"/>
      <c r="K517" s="32"/>
      <c r="L517" s="32"/>
      <c r="M517" s="32"/>
      <c r="N517" s="33"/>
      <c r="O517" s="33"/>
      <c r="P517" s="33"/>
      <c r="Q517" s="13"/>
      <c r="R517" s="13"/>
      <c r="S517" s="13"/>
      <c r="T517" s="13"/>
      <c r="U517" s="13"/>
      <c r="V517" s="13"/>
      <c r="W517" s="33"/>
      <c r="X517" s="33"/>
      <c r="Y517" s="33"/>
      <c r="Z517" s="33"/>
      <c r="AA517" s="33"/>
      <c r="AB517" s="33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  <c r="CD517" s="32"/>
      <c r="CE517" s="32"/>
    </row>
    <row r="518" spans="2:83" s="30" customFormat="1">
      <c r="B518" s="32"/>
      <c r="C518" s="32"/>
      <c r="D518" s="32"/>
      <c r="E518" s="32"/>
      <c r="F518" s="32"/>
      <c r="G518" s="36"/>
      <c r="H518" s="32"/>
      <c r="I518" s="37"/>
      <c r="J518" s="32"/>
      <c r="K518" s="32"/>
      <c r="L518" s="32"/>
      <c r="M518" s="32"/>
      <c r="N518" s="33"/>
      <c r="O518" s="33"/>
      <c r="P518" s="33"/>
      <c r="Q518" s="13"/>
      <c r="R518" s="13"/>
      <c r="S518" s="13"/>
      <c r="T518" s="13"/>
      <c r="U518" s="13"/>
      <c r="V518" s="13"/>
      <c r="W518" s="33"/>
      <c r="X518" s="33"/>
      <c r="Y518" s="33"/>
      <c r="Z518" s="33"/>
      <c r="AA518" s="33"/>
      <c r="AB518" s="33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  <c r="CD518" s="32"/>
      <c r="CE518" s="32"/>
    </row>
    <row r="519" spans="2:83" s="30" customFormat="1">
      <c r="B519" s="32"/>
      <c r="C519" s="32"/>
      <c r="D519" s="32"/>
      <c r="E519" s="32"/>
      <c r="F519" s="32"/>
      <c r="G519" s="36"/>
      <c r="H519" s="32"/>
      <c r="I519" s="37"/>
      <c r="J519" s="32"/>
      <c r="K519" s="32"/>
      <c r="L519" s="32"/>
      <c r="M519" s="32"/>
      <c r="N519" s="33"/>
      <c r="O519" s="33"/>
      <c r="P519" s="33"/>
      <c r="Q519" s="13"/>
      <c r="R519" s="13"/>
      <c r="S519" s="13"/>
      <c r="T519" s="13"/>
      <c r="U519" s="13"/>
      <c r="V519" s="13"/>
      <c r="W519" s="33"/>
      <c r="X519" s="33"/>
      <c r="Y519" s="33"/>
      <c r="Z519" s="33"/>
      <c r="AA519" s="33"/>
      <c r="AB519" s="33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  <c r="CD519" s="32"/>
      <c r="CE519" s="32"/>
    </row>
    <row r="520" spans="2:83" s="30" customFormat="1">
      <c r="B520" s="32"/>
      <c r="C520" s="32"/>
      <c r="D520" s="32"/>
      <c r="E520" s="32"/>
      <c r="F520" s="32"/>
      <c r="G520" s="36"/>
      <c r="H520" s="32"/>
      <c r="I520" s="37"/>
      <c r="J520" s="32"/>
      <c r="K520" s="32"/>
      <c r="L520" s="32"/>
      <c r="M520" s="32"/>
      <c r="N520" s="33"/>
      <c r="O520" s="33"/>
      <c r="P520" s="33"/>
      <c r="Q520" s="13"/>
      <c r="R520" s="13"/>
      <c r="S520" s="13"/>
      <c r="T520" s="13"/>
      <c r="U520" s="13"/>
      <c r="V520" s="13"/>
      <c r="W520" s="33"/>
      <c r="X520" s="33"/>
      <c r="Y520" s="33"/>
      <c r="Z520" s="33"/>
      <c r="AA520" s="33"/>
      <c r="AB520" s="33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  <c r="CC520" s="32"/>
      <c r="CD520" s="32"/>
      <c r="CE520" s="32"/>
    </row>
    <row r="521" spans="2:83" s="30" customFormat="1">
      <c r="B521" s="32"/>
      <c r="C521" s="32"/>
      <c r="D521" s="32"/>
      <c r="E521" s="32"/>
      <c r="F521" s="32"/>
      <c r="G521" s="36"/>
      <c r="H521" s="32"/>
      <c r="I521" s="37"/>
      <c r="J521" s="32"/>
      <c r="K521" s="32"/>
      <c r="L521" s="32"/>
      <c r="M521" s="32"/>
      <c r="N521" s="33"/>
      <c r="O521" s="33"/>
      <c r="P521" s="33"/>
      <c r="Q521" s="13"/>
      <c r="R521" s="13"/>
      <c r="S521" s="13"/>
      <c r="T521" s="13"/>
      <c r="U521" s="13"/>
      <c r="V521" s="13"/>
      <c r="W521" s="33"/>
      <c r="X521" s="33"/>
      <c r="Y521" s="33"/>
      <c r="Z521" s="33"/>
      <c r="AA521" s="33"/>
      <c r="AB521" s="33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  <c r="CD521" s="32"/>
      <c r="CE521" s="32"/>
    </row>
    <row r="522" spans="2:83" s="30" customFormat="1">
      <c r="B522" s="32"/>
      <c r="C522" s="32"/>
      <c r="D522" s="32"/>
      <c r="E522" s="32"/>
      <c r="F522" s="32"/>
      <c r="G522" s="36"/>
      <c r="H522" s="32"/>
      <c r="I522" s="37"/>
      <c r="J522" s="32"/>
      <c r="K522" s="32"/>
      <c r="L522" s="32"/>
      <c r="M522" s="32"/>
      <c r="N522" s="33"/>
      <c r="O522" s="33"/>
      <c r="P522" s="33"/>
      <c r="Q522" s="13"/>
      <c r="R522" s="13"/>
      <c r="S522" s="13"/>
      <c r="T522" s="13"/>
      <c r="U522" s="13"/>
      <c r="V522" s="13"/>
      <c r="W522" s="33"/>
      <c r="X522" s="33"/>
      <c r="Y522" s="33"/>
      <c r="Z522" s="33"/>
      <c r="AA522" s="33"/>
      <c r="AB522" s="33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  <c r="CC522" s="32"/>
      <c r="CD522" s="32"/>
      <c r="CE522" s="32"/>
    </row>
    <row r="523" spans="2:83" s="30" customFormat="1">
      <c r="B523" s="32"/>
      <c r="C523" s="32"/>
      <c r="D523" s="32"/>
      <c r="E523" s="32"/>
      <c r="F523" s="32"/>
      <c r="G523" s="36"/>
      <c r="H523" s="32"/>
      <c r="I523" s="37"/>
      <c r="J523" s="32"/>
      <c r="K523" s="32"/>
      <c r="L523" s="32"/>
      <c r="M523" s="32"/>
      <c r="N523" s="33"/>
      <c r="O523" s="33"/>
      <c r="P523" s="33"/>
      <c r="Q523" s="13"/>
      <c r="R523" s="13"/>
      <c r="S523" s="13"/>
      <c r="T523" s="13"/>
      <c r="U523" s="13"/>
      <c r="V523" s="13"/>
      <c r="W523" s="33"/>
      <c r="X523" s="33"/>
      <c r="Y523" s="33"/>
      <c r="Z523" s="33"/>
      <c r="AA523" s="33"/>
      <c r="AB523" s="33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  <c r="CC523" s="32"/>
      <c r="CD523" s="32"/>
      <c r="CE523" s="32"/>
    </row>
    <row r="524" spans="2:83" s="30" customFormat="1">
      <c r="B524" s="32"/>
      <c r="C524" s="32"/>
      <c r="D524" s="32"/>
      <c r="E524" s="32"/>
      <c r="F524" s="32"/>
      <c r="G524" s="36"/>
      <c r="H524" s="32"/>
      <c r="I524" s="37"/>
      <c r="J524" s="32"/>
      <c r="K524" s="32"/>
      <c r="L524" s="32"/>
      <c r="M524" s="32"/>
      <c r="N524" s="33"/>
      <c r="O524" s="33"/>
      <c r="P524" s="33"/>
      <c r="Q524" s="13"/>
      <c r="R524" s="13"/>
      <c r="S524" s="13"/>
      <c r="T524" s="13"/>
      <c r="U524" s="13"/>
      <c r="V524" s="13"/>
      <c r="W524" s="33"/>
      <c r="X524" s="33"/>
      <c r="Y524" s="33"/>
      <c r="Z524" s="33"/>
      <c r="AA524" s="33"/>
      <c r="AB524" s="33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  <c r="CC524" s="32"/>
      <c r="CD524" s="32"/>
      <c r="CE524" s="32"/>
    </row>
    <row r="525" spans="2:83" s="30" customFormat="1">
      <c r="B525" s="32"/>
      <c r="C525" s="32"/>
      <c r="D525" s="32"/>
      <c r="E525" s="32"/>
      <c r="F525" s="32"/>
      <c r="G525" s="36"/>
      <c r="H525" s="32"/>
      <c r="I525" s="37"/>
      <c r="J525" s="32"/>
      <c r="K525" s="32"/>
      <c r="L525" s="32"/>
      <c r="M525" s="32"/>
      <c r="N525" s="33"/>
      <c r="O525" s="33"/>
      <c r="P525" s="33"/>
      <c r="Q525" s="13"/>
      <c r="R525" s="13"/>
      <c r="S525" s="13"/>
      <c r="T525" s="13"/>
      <c r="U525" s="13"/>
      <c r="V525" s="13"/>
      <c r="W525" s="33"/>
      <c r="X525" s="33"/>
      <c r="Y525" s="33"/>
      <c r="Z525" s="33"/>
      <c r="AA525" s="33"/>
      <c r="AB525" s="33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  <c r="CC525" s="32"/>
      <c r="CD525" s="32"/>
      <c r="CE525" s="32"/>
    </row>
    <row r="526" spans="2:83" s="30" customFormat="1">
      <c r="B526" s="32"/>
      <c r="C526" s="32"/>
      <c r="D526" s="32"/>
      <c r="E526" s="32"/>
      <c r="F526" s="32"/>
      <c r="G526" s="36"/>
      <c r="H526" s="32"/>
      <c r="I526" s="37"/>
      <c r="J526" s="32"/>
      <c r="K526" s="32"/>
      <c r="L526" s="32"/>
      <c r="M526" s="32"/>
      <c r="N526" s="33"/>
      <c r="O526" s="33"/>
      <c r="P526" s="33"/>
      <c r="Q526" s="13"/>
      <c r="R526" s="13"/>
      <c r="S526" s="13"/>
      <c r="T526" s="13"/>
      <c r="U526" s="13"/>
      <c r="V526" s="13"/>
      <c r="W526" s="33"/>
      <c r="X526" s="33"/>
      <c r="Y526" s="33"/>
      <c r="Z526" s="33"/>
      <c r="AA526" s="33"/>
      <c r="AB526" s="33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  <c r="CD526" s="32"/>
      <c r="CE526" s="32"/>
    </row>
    <row r="527" spans="2:83" s="30" customFormat="1">
      <c r="B527" s="32"/>
      <c r="C527" s="32"/>
      <c r="D527" s="32"/>
      <c r="E527" s="32"/>
      <c r="F527" s="32"/>
      <c r="G527" s="36"/>
      <c r="H527" s="32"/>
      <c r="I527" s="37"/>
      <c r="J527" s="32"/>
      <c r="K527" s="32"/>
      <c r="L527" s="32"/>
      <c r="M527" s="32"/>
      <c r="N527" s="33"/>
      <c r="O527" s="33"/>
      <c r="P527" s="33"/>
      <c r="Q527" s="13"/>
      <c r="R527" s="13"/>
      <c r="S527" s="13"/>
      <c r="T527" s="13"/>
      <c r="U527" s="13"/>
      <c r="V527" s="13"/>
      <c r="W527" s="33"/>
      <c r="X527" s="33"/>
      <c r="Y527" s="33"/>
      <c r="Z527" s="33"/>
      <c r="AA527" s="33"/>
      <c r="AB527" s="33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  <c r="CC527" s="32"/>
      <c r="CD527" s="32"/>
      <c r="CE527" s="32"/>
    </row>
    <row r="528" spans="2:83" s="30" customFormat="1">
      <c r="B528" s="32"/>
      <c r="C528" s="32"/>
      <c r="D528" s="32"/>
      <c r="E528" s="32"/>
      <c r="F528" s="32"/>
      <c r="G528" s="36"/>
      <c r="H528" s="32"/>
      <c r="I528" s="37"/>
      <c r="J528" s="32"/>
      <c r="K528" s="32"/>
      <c r="L528" s="32"/>
      <c r="M528" s="32"/>
      <c r="N528" s="33"/>
      <c r="O528" s="33"/>
      <c r="P528" s="33"/>
      <c r="Q528" s="13"/>
      <c r="R528" s="13"/>
      <c r="S528" s="13"/>
      <c r="T528" s="13"/>
      <c r="U528" s="13"/>
      <c r="V528" s="13"/>
      <c r="W528" s="33"/>
      <c r="X528" s="33"/>
      <c r="Y528" s="33"/>
      <c r="Z528" s="33"/>
      <c r="AA528" s="33"/>
      <c r="AB528" s="33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  <c r="CC528" s="32"/>
      <c r="CD528" s="32"/>
      <c r="CE528" s="32"/>
    </row>
    <row r="529" spans="2:83" s="30" customFormat="1">
      <c r="B529" s="32"/>
      <c r="C529" s="32"/>
      <c r="D529" s="32"/>
      <c r="E529" s="32"/>
      <c r="F529" s="32"/>
      <c r="G529" s="36"/>
      <c r="H529" s="32"/>
      <c r="I529" s="37"/>
      <c r="J529" s="32"/>
      <c r="K529" s="32"/>
      <c r="L529" s="32"/>
      <c r="M529" s="32"/>
      <c r="N529" s="33"/>
      <c r="O529" s="33"/>
      <c r="P529" s="33"/>
      <c r="Q529" s="13"/>
      <c r="R529" s="13"/>
      <c r="S529" s="13"/>
      <c r="T529" s="13"/>
      <c r="U529" s="13"/>
      <c r="V529" s="13"/>
      <c r="W529" s="33"/>
      <c r="X529" s="33"/>
      <c r="Y529" s="33"/>
      <c r="Z529" s="33"/>
      <c r="AA529" s="33"/>
      <c r="AB529" s="33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  <c r="CC529" s="32"/>
      <c r="CD529" s="32"/>
      <c r="CE529" s="32"/>
    </row>
    <row r="530" spans="2:83" s="30" customFormat="1">
      <c r="B530" s="32"/>
      <c r="C530" s="32"/>
      <c r="D530" s="32"/>
      <c r="E530" s="32"/>
      <c r="F530" s="32"/>
      <c r="G530" s="36"/>
      <c r="H530" s="32"/>
      <c r="I530" s="37"/>
      <c r="J530" s="32"/>
      <c r="K530" s="32"/>
      <c r="L530" s="32"/>
      <c r="M530" s="32"/>
      <c r="N530" s="33"/>
      <c r="O530" s="33"/>
      <c r="P530" s="33"/>
      <c r="Q530" s="13"/>
      <c r="R530" s="13"/>
      <c r="S530" s="13"/>
      <c r="T530" s="13"/>
      <c r="U530" s="13"/>
      <c r="V530" s="13"/>
      <c r="W530" s="33"/>
      <c r="X530" s="33"/>
      <c r="Y530" s="33"/>
      <c r="Z530" s="33"/>
      <c r="AA530" s="33"/>
      <c r="AB530" s="33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  <c r="CC530" s="32"/>
      <c r="CD530" s="32"/>
      <c r="CE530" s="32"/>
    </row>
    <row r="531" spans="2:83" s="30" customFormat="1">
      <c r="B531" s="32"/>
      <c r="C531" s="32"/>
      <c r="D531" s="32"/>
      <c r="E531" s="32"/>
      <c r="F531" s="32"/>
      <c r="G531" s="36"/>
      <c r="H531" s="32"/>
      <c r="I531" s="37"/>
      <c r="J531" s="32"/>
      <c r="K531" s="32"/>
      <c r="L531" s="32"/>
      <c r="M531" s="32"/>
      <c r="N531" s="33"/>
      <c r="O531" s="33"/>
      <c r="P531" s="33"/>
      <c r="Q531" s="13"/>
      <c r="R531" s="13"/>
      <c r="S531" s="13"/>
      <c r="T531" s="13"/>
      <c r="U531" s="13"/>
      <c r="V531" s="13"/>
      <c r="W531" s="33"/>
      <c r="X531" s="33"/>
      <c r="Y531" s="33"/>
      <c r="Z531" s="33"/>
      <c r="AA531" s="33"/>
      <c r="AB531" s="33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  <c r="CC531" s="32"/>
      <c r="CD531" s="32"/>
      <c r="CE531" s="32"/>
    </row>
    <row r="532" spans="2:83" s="30" customFormat="1">
      <c r="B532" s="32"/>
      <c r="C532" s="32"/>
      <c r="D532" s="32"/>
      <c r="E532" s="32"/>
      <c r="F532" s="32"/>
      <c r="G532" s="36"/>
      <c r="H532" s="32"/>
      <c r="I532" s="37"/>
      <c r="J532" s="32"/>
      <c r="K532" s="32"/>
      <c r="L532" s="32"/>
      <c r="M532" s="32"/>
      <c r="N532" s="33"/>
      <c r="O532" s="33"/>
      <c r="P532" s="33"/>
      <c r="Q532" s="13"/>
      <c r="R532" s="13"/>
      <c r="S532" s="13"/>
      <c r="T532" s="13"/>
      <c r="U532" s="13"/>
      <c r="V532" s="13"/>
      <c r="W532" s="33"/>
      <c r="X532" s="33"/>
      <c r="Y532" s="33"/>
      <c r="Z532" s="33"/>
      <c r="AA532" s="33"/>
      <c r="AB532" s="33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  <c r="CC532" s="32"/>
      <c r="CD532" s="32"/>
      <c r="CE532" s="32"/>
    </row>
    <row r="533" spans="2:83" s="30" customFormat="1">
      <c r="B533" s="32"/>
      <c r="C533" s="32"/>
      <c r="D533" s="32"/>
      <c r="E533" s="32"/>
      <c r="F533" s="32"/>
      <c r="G533" s="36"/>
      <c r="H533" s="32"/>
      <c r="I533" s="37"/>
      <c r="J533" s="32"/>
      <c r="K533" s="32"/>
      <c r="L533" s="32"/>
      <c r="M533" s="32"/>
      <c r="N533" s="33"/>
      <c r="O533" s="33"/>
      <c r="P533" s="33"/>
      <c r="Q533" s="13"/>
      <c r="R533" s="13"/>
      <c r="S533" s="13"/>
      <c r="T533" s="13"/>
      <c r="U533" s="13"/>
      <c r="V533" s="13"/>
      <c r="W533" s="33"/>
      <c r="X533" s="33"/>
      <c r="Y533" s="33"/>
      <c r="Z533" s="33"/>
      <c r="AA533" s="33"/>
      <c r="AB533" s="33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  <c r="CC533" s="32"/>
      <c r="CD533" s="32"/>
      <c r="CE533" s="32"/>
    </row>
    <row r="534" spans="2:83" s="30" customFormat="1">
      <c r="B534" s="32"/>
      <c r="C534" s="32"/>
      <c r="D534" s="32"/>
      <c r="E534" s="32"/>
      <c r="F534" s="32"/>
      <c r="G534" s="36"/>
      <c r="H534" s="32"/>
      <c r="I534" s="37"/>
      <c r="J534" s="32"/>
      <c r="K534" s="32"/>
      <c r="L534" s="32"/>
      <c r="M534" s="32"/>
      <c r="N534" s="33"/>
      <c r="O534" s="33"/>
      <c r="P534" s="33"/>
      <c r="Q534" s="13"/>
      <c r="R534" s="13"/>
      <c r="S534" s="13"/>
      <c r="T534" s="13"/>
      <c r="U534" s="13"/>
      <c r="V534" s="13"/>
      <c r="W534" s="33"/>
      <c r="X534" s="33"/>
      <c r="Y534" s="33"/>
      <c r="Z534" s="33"/>
      <c r="AA534" s="33"/>
      <c r="AB534" s="33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  <c r="CC534" s="32"/>
      <c r="CD534" s="32"/>
      <c r="CE534" s="32"/>
    </row>
    <row r="535" spans="2:83" s="30" customFormat="1">
      <c r="B535" s="32"/>
      <c r="C535" s="32"/>
      <c r="D535" s="32"/>
      <c r="E535" s="32"/>
      <c r="F535" s="32"/>
      <c r="G535" s="36"/>
      <c r="H535" s="32"/>
      <c r="I535" s="37"/>
      <c r="J535" s="32"/>
      <c r="K535" s="32"/>
      <c r="L535" s="32"/>
      <c r="M535" s="32"/>
      <c r="N535" s="33"/>
      <c r="O535" s="33"/>
      <c r="P535" s="33"/>
      <c r="Q535" s="13"/>
      <c r="R535" s="13"/>
      <c r="S535" s="13"/>
      <c r="T535" s="13"/>
      <c r="U535" s="13"/>
      <c r="V535" s="13"/>
      <c r="W535" s="33"/>
      <c r="X535" s="33"/>
      <c r="Y535" s="33"/>
      <c r="Z535" s="33"/>
      <c r="AA535" s="33"/>
      <c r="AB535" s="33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  <c r="CC535" s="32"/>
      <c r="CD535" s="32"/>
      <c r="CE535" s="32"/>
    </row>
    <row r="536" spans="2:83" s="30" customFormat="1">
      <c r="B536" s="32"/>
      <c r="C536" s="32"/>
      <c r="D536" s="32"/>
      <c r="E536" s="32"/>
      <c r="F536" s="32"/>
      <c r="G536" s="36"/>
      <c r="H536" s="32"/>
      <c r="I536" s="37"/>
      <c r="J536" s="32"/>
      <c r="K536" s="32"/>
      <c r="L536" s="32"/>
      <c r="M536" s="32"/>
      <c r="N536" s="33"/>
      <c r="O536" s="33"/>
      <c r="P536" s="33"/>
      <c r="Q536" s="13"/>
      <c r="R536" s="13"/>
      <c r="S536" s="13"/>
      <c r="T536" s="13"/>
      <c r="U536" s="13"/>
      <c r="V536" s="13"/>
      <c r="W536" s="33"/>
      <c r="X536" s="33"/>
      <c r="Y536" s="33"/>
      <c r="Z536" s="33"/>
      <c r="AA536" s="33"/>
      <c r="AB536" s="33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  <c r="CC536" s="32"/>
      <c r="CD536" s="32"/>
      <c r="CE536" s="32"/>
    </row>
    <row r="537" spans="2:83" s="30" customFormat="1">
      <c r="B537" s="32"/>
      <c r="C537" s="32"/>
      <c r="D537" s="32"/>
      <c r="E537" s="32"/>
      <c r="F537" s="32"/>
      <c r="G537" s="36"/>
      <c r="H537" s="32"/>
      <c r="I537" s="37"/>
      <c r="J537" s="32"/>
      <c r="K537" s="32"/>
      <c r="L537" s="32"/>
      <c r="M537" s="32"/>
      <c r="N537" s="33"/>
      <c r="O537" s="33"/>
      <c r="P537" s="33"/>
      <c r="Q537" s="13"/>
      <c r="R537" s="13"/>
      <c r="S537" s="13"/>
      <c r="T537" s="13"/>
      <c r="U537" s="13"/>
      <c r="V537" s="13"/>
      <c r="W537" s="33"/>
      <c r="X537" s="33"/>
      <c r="Y537" s="33"/>
      <c r="Z537" s="33"/>
      <c r="AA537" s="33"/>
      <c r="AB537" s="33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  <c r="CC537" s="32"/>
      <c r="CD537" s="32"/>
      <c r="CE537" s="32"/>
    </row>
    <row r="538" spans="2:83" s="30" customFormat="1">
      <c r="B538" s="32"/>
      <c r="C538" s="32"/>
      <c r="D538" s="32"/>
      <c r="E538" s="32"/>
      <c r="F538" s="32"/>
      <c r="G538" s="36"/>
      <c r="H538" s="32"/>
      <c r="I538" s="37"/>
      <c r="J538" s="32"/>
      <c r="K538" s="32"/>
      <c r="L538" s="32"/>
      <c r="M538" s="32"/>
      <c r="N538" s="33"/>
      <c r="O538" s="33"/>
      <c r="P538" s="33"/>
      <c r="Q538" s="13"/>
      <c r="R538" s="13"/>
      <c r="S538" s="13"/>
      <c r="T538" s="13"/>
      <c r="U538" s="13"/>
      <c r="V538" s="13"/>
      <c r="W538" s="33"/>
      <c r="X538" s="33"/>
      <c r="Y538" s="33"/>
      <c r="Z538" s="33"/>
      <c r="AA538" s="33"/>
      <c r="AB538" s="33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  <c r="CC538" s="32"/>
      <c r="CD538" s="32"/>
      <c r="CE538" s="32"/>
    </row>
    <row r="539" spans="2:83" s="30" customFormat="1">
      <c r="B539" s="32"/>
      <c r="C539" s="32"/>
      <c r="D539" s="32"/>
      <c r="E539" s="32"/>
      <c r="F539" s="32"/>
      <c r="G539" s="36"/>
      <c r="H539" s="32"/>
      <c r="I539" s="37"/>
      <c r="J539" s="32"/>
      <c r="K539" s="32"/>
      <c r="L539" s="32"/>
      <c r="M539" s="32"/>
      <c r="N539" s="33"/>
      <c r="O539" s="33"/>
      <c r="P539" s="33"/>
      <c r="Q539" s="13"/>
      <c r="R539" s="13"/>
      <c r="S539" s="13"/>
      <c r="T539" s="13"/>
      <c r="U539" s="13"/>
      <c r="V539" s="13"/>
      <c r="W539" s="33"/>
      <c r="X539" s="33"/>
      <c r="Y539" s="33"/>
      <c r="Z539" s="33"/>
      <c r="AA539" s="33"/>
      <c r="AB539" s="33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  <c r="CC539" s="32"/>
      <c r="CD539" s="32"/>
      <c r="CE539" s="32"/>
    </row>
    <row r="540" spans="2:83" s="30" customFormat="1">
      <c r="B540" s="32"/>
      <c r="C540" s="32"/>
      <c r="D540" s="32"/>
      <c r="E540" s="32"/>
      <c r="F540" s="32"/>
      <c r="G540" s="36"/>
      <c r="H540" s="32"/>
      <c r="I540" s="37"/>
      <c r="J540" s="32"/>
      <c r="K540" s="32"/>
      <c r="L540" s="32"/>
      <c r="M540" s="32"/>
      <c r="N540" s="33"/>
      <c r="O540" s="33"/>
      <c r="P540" s="33"/>
      <c r="Q540" s="13"/>
      <c r="R540" s="13"/>
      <c r="S540" s="13"/>
      <c r="T540" s="13"/>
      <c r="U540" s="13"/>
      <c r="V540" s="13"/>
      <c r="W540" s="33"/>
      <c r="X540" s="33"/>
      <c r="Y540" s="33"/>
      <c r="Z540" s="33"/>
      <c r="AA540" s="33"/>
      <c r="AB540" s="33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  <c r="CC540" s="32"/>
      <c r="CD540" s="32"/>
      <c r="CE540" s="32"/>
    </row>
    <row r="541" spans="2:83" s="30" customFormat="1">
      <c r="B541" s="32"/>
      <c r="C541" s="32"/>
      <c r="D541" s="32"/>
      <c r="E541" s="32"/>
      <c r="F541" s="32"/>
      <c r="G541" s="36"/>
      <c r="H541" s="32"/>
      <c r="I541" s="37"/>
      <c r="J541" s="32"/>
      <c r="K541" s="32"/>
      <c r="L541" s="32"/>
      <c r="M541" s="32"/>
      <c r="N541" s="33"/>
      <c r="O541" s="33"/>
      <c r="P541" s="33"/>
      <c r="Q541" s="13"/>
      <c r="R541" s="13"/>
      <c r="S541" s="13"/>
      <c r="T541" s="13"/>
      <c r="U541" s="13"/>
      <c r="V541" s="13"/>
      <c r="W541" s="33"/>
      <c r="X541" s="33"/>
      <c r="Y541" s="33"/>
      <c r="Z541" s="33"/>
      <c r="AA541" s="33"/>
      <c r="AB541" s="33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  <c r="CC541" s="32"/>
      <c r="CD541" s="32"/>
      <c r="CE541" s="32"/>
    </row>
    <row r="542" spans="2:83" s="30" customFormat="1">
      <c r="B542" s="32"/>
      <c r="C542" s="32"/>
      <c r="D542" s="32"/>
      <c r="E542" s="32"/>
      <c r="F542" s="32"/>
      <c r="G542" s="36"/>
      <c r="H542" s="32"/>
      <c r="I542" s="37"/>
      <c r="J542" s="32"/>
      <c r="K542" s="32"/>
      <c r="L542" s="32"/>
      <c r="M542" s="32"/>
      <c r="N542" s="33"/>
      <c r="O542" s="33"/>
      <c r="P542" s="33"/>
      <c r="Q542" s="13"/>
      <c r="R542" s="13"/>
      <c r="S542" s="13"/>
      <c r="T542" s="13"/>
      <c r="U542" s="13"/>
      <c r="V542" s="13"/>
      <c r="W542" s="33"/>
      <c r="X542" s="33"/>
      <c r="Y542" s="33"/>
      <c r="Z542" s="33"/>
      <c r="AA542" s="33"/>
      <c r="AB542" s="33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  <c r="CC542" s="32"/>
      <c r="CD542" s="32"/>
      <c r="CE542" s="32"/>
    </row>
    <row r="543" spans="2:83" s="30" customFormat="1">
      <c r="B543" s="32"/>
      <c r="C543" s="32"/>
      <c r="D543" s="32"/>
      <c r="E543" s="32"/>
      <c r="F543" s="32"/>
      <c r="G543" s="36"/>
      <c r="H543" s="32"/>
      <c r="I543" s="37"/>
      <c r="J543" s="32"/>
      <c r="K543" s="32"/>
      <c r="L543" s="32"/>
      <c r="M543" s="32"/>
      <c r="N543" s="33"/>
      <c r="O543" s="33"/>
      <c r="P543" s="33"/>
      <c r="Q543" s="13"/>
      <c r="R543" s="13"/>
      <c r="S543" s="13"/>
      <c r="T543" s="13"/>
      <c r="U543" s="13"/>
      <c r="V543" s="13"/>
      <c r="W543" s="33"/>
      <c r="X543" s="33"/>
      <c r="Y543" s="33"/>
      <c r="Z543" s="33"/>
      <c r="AA543" s="33"/>
      <c r="AB543" s="33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2"/>
      <c r="CD543" s="32"/>
      <c r="CE543" s="32"/>
    </row>
    <row r="544" spans="2:83" s="30" customFormat="1">
      <c r="B544" s="32"/>
      <c r="C544" s="32"/>
      <c r="D544" s="32"/>
      <c r="E544" s="32"/>
      <c r="F544" s="32"/>
      <c r="G544" s="36"/>
      <c r="H544" s="32"/>
      <c r="I544" s="37"/>
      <c r="J544" s="32"/>
      <c r="K544" s="32"/>
      <c r="L544" s="32"/>
      <c r="M544" s="32"/>
      <c r="N544" s="33"/>
      <c r="O544" s="33"/>
      <c r="P544" s="33"/>
      <c r="Q544" s="13"/>
      <c r="R544" s="13"/>
      <c r="S544" s="13"/>
      <c r="T544" s="13"/>
      <c r="U544" s="13"/>
      <c r="V544" s="13"/>
      <c r="W544" s="33"/>
      <c r="X544" s="33"/>
      <c r="Y544" s="33"/>
      <c r="Z544" s="33"/>
      <c r="AA544" s="33"/>
      <c r="AB544" s="33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  <c r="CD544" s="32"/>
      <c r="CE544" s="32"/>
    </row>
    <row r="545" spans="2:83" s="30" customFormat="1">
      <c r="B545" s="32"/>
      <c r="C545" s="32"/>
      <c r="D545" s="32"/>
      <c r="E545" s="32"/>
      <c r="F545" s="32"/>
      <c r="G545" s="36"/>
      <c r="H545" s="32"/>
      <c r="I545" s="37"/>
      <c r="J545" s="32"/>
      <c r="K545" s="32"/>
      <c r="L545" s="32"/>
      <c r="M545" s="32"/>
      <c r="N545" s="33"/>
      <c r="O545" s="33"/>
      <c r="P545" s="33"/>
      <c r="Q545" s="13"/>
      <c r="R545" s="13"/>
      <c r="S545" s="13"/>
      <c r="T545" s="13"/>
      <c r="U545" s="13"/>
      <c r="V545" s="13"/>
      <c r="W545" s="33"/>
      <c r="X545" s="33"/>
      <c r="Y545" s="33"/>
      <c r="Z545" s="33"/>
      <c r="AA545" s="33"/>
      <c r="AB545" s="33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  <c r="CC545" s="32"/>
      <c r="CD545" s="32"/>
      <c r="CE545" s="32"/>
    </row>
    <row r="546" spans="2:83" s="30" customFormat="1">
      <c r="B546" s="32"/>
      <c r="C546" s="32"/>
      <c r="D546" s="32"/>
      <c r="E546" s="32"/>
      <c r="F546" s="32"/>
      <c r="G546" s="36"/>
      <c r="H546" s="32"/>
      <c r="I546" s="37"/>
      <c r="J546" s="32"/>
      <c r="K546" s="32"/>
      <c r="L546" s="32"/>
      <c r="M546" s="32"/>
      <c r="N546" s="33"/>
      <c r="O546" s="33"/>
      <c r="P546" s="33"/>
      <c r="Q546" s="13"/>
      <c r="R546" s="13"/>
      <c r="S546" s="13"/>
      <c r="T546" s="13"/>
      <c r="U546" s="13"/>
      <c r="V546" s="13"/>
      <c r="W546" s="33"/>
      <c r="X546" s="33"/>
      <c r="Y546" s="33"/>
      <c r="Z546" s="33"/>
      <c r="AA546" s="33"/>
      <c r="AB546" s="33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  <c r="CC546" s="32"/>
      <c r="CD546" s="32"/>
      <c r="CE546" s="32"/>
    </row>
    <row r="547" spans="2:83" s="30" customFormat="1">
      <c r="B547" s="32"/>
      <c r="C547" s="32"/>
      <c r="D547" s="32"/>
      <c r="E547" s="32"/>
      <c r="F547" s="32"/>
      <c r="G547" s="36"/>
      <c r="H547" s="32"/>
      <c r="I547" s="37"/>
      <c r="J547" s="32"/>
      <c r="K547" s="32"/>
      <c r="L547" s="32"/>
      <c r="M547" s="32"/>
      <c r="N547" s="33"/>
      <c r="O547" s="33"/>
      <c r="P547" s="33"/>
      <c r="Q547" s="13"/>
      <c r="R547" s="13"/>
      <c r="S547" s="13"/>
      <c r="T547" s="13"/>
      <c r="U547" s="13"/>
      <c r="V547" s="13"/>
      <c r="W547" s="33"/>
      <c r="X547" s="33"/>
      <c r="Y547" s="33"/>
      <c r="Z547" s="33"/>
      <c r="AA547" s="33"/>
      <c r="AB547" s="33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  <c r="CC547" s="32"/>
      <c r="CD547" s="32"/>
      <c r="CE547" s="32"/>
    </row>
    <row r="548" spans="2:83" s="30" customFormat="1">
      <c r="B548" s="32"/>
      <c r="C548" s="32"/>
      <c r="D548" s="32"/>
      <c r="E548" s="32"/>
      <c r="F548" s="32"/>
      <c r="G548" s="36"/>
      <c r="H548" s="32"/>
      <c r="I548" s="37"/>
      <c r="J548" s="32"/>
      <c r="K548" s="32"/>
      <c r="L548" s="32"/>
      <c r="M548" s="32"/>
      <c r="N548" s="33"/>
      <c r="O548" s="33"/>
      <c r="P548" s="33"/>
      <c r="Q548" s="13"/>
      <c r="R548" s="13"/>
      <c r="S548" s="13"/>
      <c r="T548" s="13"/>
      <c r="U548" s="13"/>
      <c r="V548" s="13"/>
      <c r="W548" s="33"/>
      <c r="X548" s="33"/>
      <c r="Y548" s="33"/>
      <c r="Z548" s="33"/>
      <c r="AA548" s="33"/>
      <c r="AB548" s="33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  <c r="CC548" s="32"/>
      <c r="CD548" s="32"/>
      <c r="CE548" s="32"/>
    </row>
    <row r="549" spans="2:83" s="30" customFormat="1">
      <c r="B549" s="32"/>
      <c r="C549" s="32"/>
      <c r="D549" s="32"/>
      <c r="E549" s="32"/>
      <c r="F549" s="32"/>
      <c r="G549" s="36"/>
      <c r="H549" s="32"/>
      <c r="I549" s="37"/>
      <c r="J549" s="32"/>
      <c r="K549" s="32"/>
      <c r="L549" s="32"/>
      <c r="M549" s="32"/>
      <c r="N549" s="33"/>
      <c r="O549" s="33"/>
      <c r="P549" s="33"/>
      <c r="Q549" s="13"/>
      <c r="R549" s="13"/>
      <c r="S549" s="13"/>
      <c r="T549" s="13"/>
      <c r="U549" s="13"/>
      <c r="V549" s="13"/>
      <c r="W549" s="33"/>
      <c r="X549" s="33"/>
      <c r="Y549" s="33"/>
      <c r="Z549" s="33"/>
      <c r="AA549" s="33"/>
      <c r="AB549" s="33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  <c r="CC549" s="32"/>
      <c r="CD549" s="32"/>
      <c r="CE549" s="32"/>
    </row>
    <row r="550" spans="2:83" s="30" customFormat="1">
      <c r="B550" s="32"/>
      <c r="C550" s="32"/>
      <c r="D550" s="32"/>
      <c r="E550" s="32"/>
      <c r="F550" s="32"/>
      <c r="G550" s="36"/>
      <c r="H550" s="32"/>
      <c r="I550" s="37"/>
      <c r="J550" s="32"/>
      <c r="K550" s="32"/>
      <c r="L550" s="32"/>
      <c r="M550" s="32"/>
      <c r="N550" s="33"/>
      <c r="O550" s="33"/>
      <c r="P550" s="33"/>
      <c r="Q550" s="13"/>
      <c r="R550" s="13"/>
      <c r="S550" s="13"/>
      <c r="T550" s="13"/>
      <c r="U550" s="13"/>
      <c r="V550" s="13"/>
      <c r="W550" s="33"/>
      <c r="X550" s="33"/>
      <c r="Y550" s="33"/>
      <c r="Z550" s="33"/>
      <c r="AA550" s="33"/>
      <c r="AB550" s="33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  <c r="CC550" s="32"/>
      <c r="CD550" s="32"/>
      <c r="CE550" s="32"/>
    </row>
    <row r="551" spans="2:83" s="30" customFormat="1">
      <c r="B551" s="32"/>
      <c r="C551" s="32"/>
      <c r="D551" s="32"/>
      <c r="E551" s="32"/>
      <c r="F551" s="32"/>
      <c r="G551" s="36"/>
      <c r="H551" s="32"/>
      <c r="I551" s="37"/>
      <c r="J551" s="32"/>
      <c r="K551" s="32"/>
      <c r="L551" s="32"/>
      <c r="M551" s="32"/>
      <c r="N551" s="33"/>
      <c r="O551" s="33"/>
      <c r="P551" s="33"/>
      <c r="Q551" s="13"/>
      <c r="R551" s="13"/>
      <c r="S551" s="13"/>
      <c r="T551" s="13"/>
      <c r="U551" s="13"/>
      <c r="V551" s="13"/>
      <c r="W551" s="33"/>
      <c r="X551" s="33"/>
      <c r="Y551" s="33"/>
      <c r="Z551" s="33"/>
      <c r="AA551" s="33"/>
      <c r="AB551" s="33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  <c r="CD551" s="32"/>
      <c r="CE551" s="32"/>
    </row>
    <row r="552" spans="2:83" s="30" customFormat="1">
      <c r="B552" s="32"/>
      <c r="C552" s="32"/>
      <c r="D552" s="32"/>
      <c r="E552" s="32"/>
      <c r="F552" s="32"/>
      <c r="G552" s="36"/>
      <c r="H552" s="32"/>
      <c r="I552" s="37"/>
      <c r="J552" s="32"/>
      <c r="K552" s="32"/>
      <c r="L552" s="32"/>
      <c r="M552" s="32"/>
      <c r="N552" s="33"/>
      <c r="O552" s="33"/>
      <c r="P552" s="33"/>
      <c r="Q552" s="13"/>
      <c r="R552" s="13"/>
      <c r="S552" s="13"/>
      <c r="T552" s="13"/>
      <c r="U552" s="13"/>
      <c r="V552" s="13"/>
      <c r="W552" s="33"/>
      <c r="X552" s="33"/>
      <c r="Y552" s="33"/>
      <c r="Z552" s="33"/>
      <c r="AA552" s="33"/>
      <c r="AB552" s="33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  <c r="CC552" s="32"/>
      <c r="CD552" s="32"/>
      <c r="CE552" s="32"/>
    </row>
    <row r="553" spans="2:83" s="30" customFormat="1">
      <c r="B553" s="32"/>
      <c r="C553" s="32"/>
      <c r="D553" s="32"/>
      <c r="E553" s="32"/>
      <c r="F553" s="32"/>
      <c r="G553" s="36"/>
      <c r="H553" s="32"/>
      <c r="I553" s="37"/>
      <c r="J553" s="32"/>
      <c r="K553" s="32"/>
      <c r="L553" s="32"/>
      <c r="M553" s="32"/>
      <c r="N553" s="33"/>
      <c r="O553" s="33"/>
      <c r="P553" s="33"/>
      <c r="Q553" s="13"/>
      <c r="R553" s="13"/>
      <c r="S553" s="13"/>
      <c r="T553" s="13"/>
      <c r="U553" s="13"/>
      <c r="V553" s="13"/>
      <c r="W553" s="33"/>
      <c r="X553" s="33"/>
      <c r="Y553" s="33"/>
      <c r="Z553" s="33"/>
      <c r="AA553" s="33"/>
      <c r="AB553" s="33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  <c r="CC553" s="32"/>
      <c r="CD553" s="32"/>
      <c r="CE553" s="32"/>
    </row>
    <row r="554" spans="2:83" s="30" customFormat="1">
      <c r="B554" s="32"/>
      <c r="C554" s="32"/>
      <c r="D554" s="32"/>
      <c r="E554" s="32"/>
      <c r="F554" s="32"/>
      <c r="G554" s="36"/>
      <c r="H554" s="32"/>
      <c r="I554" s="37"/>
      <c r="J554" s="32"/>
      <c r="K554" s="32"/>
      <c r="L554" s="32"/>
      <c r="M554" s="32"/>
      <c r="N554" s="33"/>
      <c r="O554" s="33"/>
      <c r="P554" s="33"/>
      <c r="Q554" s="13"/>
      <c r="R554" s="13"/>
      <c r="S554" s="13"/>
      <c r="T554" s="13"/>
      <c r="U554" s="13"/>
      <c r="V554" s="13"/>
      <c r="W554" s="33"/>
      <c r="X554" s="33"/>
      <c r="Y554" s="33"/>
      <c r="Z554" s="33"/>
      <c r="AA554" s="33"/>
      <c r="AB554" s="33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  <c r="CC554" s="32"/>
      <c r="CD554" s="32"/>
      <c r="CE554" s="32"/>
    </row>
    <row r="555" spans="2:83" s="30" customFormat="1">
      <c r="B555" s="32"/>
      <c r="C555" s="32"/>
      <c r="D555" s="32"/>
      <c r="E555" s="32"/>
      <c r="F555" s="32"/>
      <c r="G555" s="36"/>
      <c r="H555" s="32"/>
      <c r="I555" s="37"/>
      <c r="J555" s="32"/>
      <c r="K555" s="32"/>
      <c r="L555" s="32"/>
      <c r="M555" s="32"/>
      <c r="N555" s="33"/>
      <c r="O555" s="33"/>
      <c r="P555" s="33"/>
      <c r="Q555" s="13"/>
      <c r="R555" s="13"/>
      <c r="S555" s="13"/>
      <c r="T555" s="13"/>
      <c r="U555" s="13"/>
      <c r="V555" s="13"/>
      <c r="W555" s="33"/>
      <c r="X555" s="33"/>
      <c r="Y555" s="33"/>
      <c r="Z555" s="33"/>
      <c r="AA555" s="33"/>
      <c r="AB555" s="33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  <c r="CA555" s="32"/>
      <c r="CB555" s="32"/>
      <c r="CC555" s="32"/>
      <c r="CD555" s="32"/>
      <c r="CE555" s="32"/>
    </row>
    <row r="556" spans="2:83" s="30" customFormat="1">
      <c r="B556" s="32"/>
      <c r="C556" s="32"/>
      <c r="D556" s="32"/>
      <c r="E556" s="32"/>
      <c r="F556" s="32"/>
      <c r="G556" s="36"/>
      <c r="H556" s="32"/>
      <c r="I556" s="37"/>
      <c r="J556" s="32"/>
      <c r="K556" s="32"/>
      <c r="L556" s="32"/>
      <c r="M556" s="32"/>
      <c r="N556" s="33"/>
      <c r="O556" s="33"/>
      <c r="P556" s="33"/>
      <c r="Q556" s="13"/>
      <c r="R556" s="13"/>
      <c r="S556" s="13"/>
      <c r="T556" s="13"/>
      <c r="U556" s="13"/>
      <c r="V556" s="13"/>
      <c r="W556" s="33"/>
      <c r="X556" s="33"/>
      <c r="Y556" s="33"/>
      <c r="Z556" s="33"/>
      <c r="AA556" s="33"/>
      <c r="AB556" s="33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  <c r="CA556" s="32"/>
      <c r="CB556" s="32"/>
      <c r="CC556" s="32"/>
      <c r="CD556" s="32"/>
      <c r="CE556" s="32"/>
    </row>
    <row r="557" spans="2:83" s="30" customFormat="1">
      <c r="B557" s="32"/>
      <c r="C557" s="32"/>
      <c r="D557" s="32"/>
      <c r="E557" s="32"/>
      <c r="F557" s="32"/>
      <c r="G557" s="36"/>
      <c r="H557" s="32"/>
      <c r="I557" s="37"/>
      <c r="J557" s="32"/>
      <c r="K557" s="32"/>
      <c r="L557" s="32"/>
      <c r="M557" s="32"/>
      <c r="N557" s="33"/>
      <c r="O557" s="33"/>
      <c r="P557" s="33"/>
      <c r="Q557" s="13"/>
      <c r="R557" s="13"/>
      <c r="S557" s="13"/>
      <c r="T557" s="13"/>
      <c r="U557" s="13"/>
      <c r="V557" s="13"/>
      <c r="W557" s="33"/>
      <c r="X557" s="33"/>
      <c r="Y557" s="33"/>
      <c r="Z557" s="33"/>
      <c r="AA557" s="33"/>
      <c r="AB557" s="33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  <c r="CA557" s="32"/>
      <c r="CB557" s="32"/>
      <c r="CC557" s="32"/>
      <c r="CD557" s="32"/>
      <c r="CE557" s="32"/>
    </row>
    <row r="558" spans="2:83" s="30" customFormat="1">
      <c r="B558" s="32"/>
      <c r="C558" s="32"/>
      <c r="D558" s="32"/>
      <c r="E558" s="32"/>
      <c r="F558" s="32"/>
      <c r="G558" s="36"/>
      <c r="H558" s="32"/>
      <c r="I558" s="37"/>
      <c r="J558" s="32"/>
      <c r="K558" s="32"/>
      <c r="L558" s="32"/>
      <c r="M558" s="32"/>
      <c r="N558" s="33"/>
      <c r="O558" s="33"/>
      <c r="P558" s="33"/>
      <c r="Q558" s="13"/>
      <c r="R558" s="13"/>
      <c r="S558" s="13"/>
      <c r="T558" s="13"/>
      <c r="U558" s="13"/>
      <c r="V558" s="13"/>
      <c r="W558" s="33"/>
      <c r="X558" s="33"/>
      <c r="Y558" s="33"/>
      <c r="Z558" s="33"/>
      <c r="AA558" s="33"/>
      <c r="AB558" s="33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  <c r="CC558" s="32"/>
      <c r="CD558" s="32"/>
      <c r="CE558" s="32"/>
    </row>
    <row r="559" spans="2:83" s="30" customFormat="1">
      <c r="B559" s="32"/>
      <c r="C559" s="32"/>
      <c r="D559" s="32"/>
      <c r="E559" s="32"/>
      <c r="F559" s="32"/>
      <c r="G559" s="36"/>
      <c r="H559" s="32"/>
      <c r="I559" s="37"/>
      <c r="J559" s="32"/>
      <c r="K559" s="32"/>
      <c r="L559" s="32"/>
      <c r="M559" s="32"/>
      <c r="N559" s="33"/>
      <c r="O559" s="33"/>
      <c r="P559" s="33"/>
      <c r="Q559" s="13"/>
      <c r="R559" s="13"/>
      <c r="S559" s="13"/>
      <c r="T559" s="13"/>
      <c r="U559" s="13"/>
      <c r="V559" s="13"/>
      <c r="W559" s="33"/>
      <c r="X559" s="33"/>
      <c r="Y559" s="33"/>
      <c r="Z559" s="33"/>
      <c r="AA559" s="33"/>
      <c r="AB559" s="33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  <c r="CA559" s="32"/>
      <c r="CB559" s="32"/>
      <c r="CC559" s="32"/>
      <c r="CD559" s="32"/>
      <c r="CE559" s="32"/>
    </row>
    <row r="560" spans="2:83" s="30" customFormat="1">
      <c r="B560" s="32"/>
      <c r="C560" s="32"/>
      <c r="D560" s="32"/>
      <c r="E560" s="32"/>
      <c r="F560" s="32"/>
      <c r="G560" s="36"/>
      <c r="H560" s="32"/>
      <c r="I560" s="37"/>
      <c r="J560" s="32"/>
      <c r="K560" s="32"/>
      <c r="L560" s="32"/>
      <c r="M560" s="32"/>
      <c r="N560" s="33"/>
      <c r="O560" s="33"/>
      <c r="P560" s="33"/>
      <c r="Q560" s="13"/>
      <c r="R560" s="13"/>
      <c r="S560" s="13"/>
      <c r="T560" s="13"/>
      <c r="U560" s="13"/>
      <c r="V560" s="13"/>
      <c r="W560" s="33"/>
      <c r="X560" s="33"/>
      <c r="Y560" s="33"/>
      <c r="Z560" s="33"/>
      <c r="AA560" s="33"/>
      <c r="AB560" s="33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  <c r="CA560" s="32"/>
      <c r="CB560" s="32"/>
      <c r="CC560" s="32"/>
      <c r="CD560" s="32"/>
      <c r="CE560" s="32"/>
    </row>
    <row r="561" spans="2:83" s="30" customFormat="1">
      <c r="B561" s="32"/>
      <c r="C561" s="32"/>
      <c r="D561" s="32"/>
      <c r="E561" s="32"/>
      <c r="F561" s="32"/>
      <c r="G561" s="36"/>
      <c r="H561" s="32"/>
      <c r="I561" s="37"/>
      <c r="J561" s="32"/>
      <c r="K561" s="32"/>
      <c r="L561" s="32"/>
      <c r="M561" s="32"/>
      <c r="N561" s="33"/>
      <c r="O561" s="33"/>
      <c r="P561" s="33"/>
      <c r="Q561" s="13"/>
      <c r="R561" s="13"/>
      <c r="S561" s="13"/>
      <c r="T561" s="13"/>
      <c r="U561" s="13"/>
      <c r="V561" s="13"/>
      <c r="W561" s="33"/>
      <c r="X561" s="33"/>
      <c r="Y561" s="33"/>
      <c r="Z561" s="33"/>
      <c r="AA561" s="33"/>
      <c r="AB561" s="33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  <c r="CA561" s="32"/>
      <c r="CB561" s="32"/>
      <c r="CC561" s="32"/>
      <c r="CD561" s="32"/>
      <c r="CE561" s="32"/>
    </row>
    <row r="562" spans="2:83" s="30" customFormat="1">
      <c r="B562" s="32"/>
      <c r="C562" s="32"/>
      <c r="D562" s="32"/>
      <c r="E562" s="32"/>
      <c r="F562" s="32"/>
      <c r="G562" s="36"/>
      <c r="H562" s="32"/>
      <c r="I562" s="37"/>
      <c r="J562" s="32"/>
      <c r="K562" s="32"/>
      <c r="L562" s="32"/>
      <c r="M562" s="32"/>
      <c r="N562" s="33"/>
      <c r="O562" s="33"/>
      <c r="P562" s="33"/>
      <c r="Q562" s="13"/>
      <c r="R562" s="13"/>
      <c r="S562" s="13"/>
      <c r="T562" s="13"/>
      <c r="U562" s="13"/>
      <c r="V562" s="13"/>
      <c r="W562" s="33"/>
      <c r="X562" s="33"/>
      <c r="Y562" s="33"/>
      <c r="Z562" s="33"/>
      <c r="AA562" s="33"/>
      <c r="AB562" s="33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  <c r="CA562" s="32"/>
      <c r="CB562" s="32"/>
      <c r="CC562" s="32"/>
      <c r="CD562" s="32"/>
      <c r="CE562" s="32"/>
    </row>
    <row r="563" spans="2:83" s="30" customFormat="1">
      <c r="B563" s="32"/>
      <c r="C563" s="32"/>
      <c r="D563" s="32"/>
      <c r="E563" s="32"/>
      <c r="F563" s="32"/>
      <c r="G563" s="36"/>
      <c r="H563" s="32"/>
      <c r="I563" s="37"/>
      <c r="J563" s="32"/>
      <c r="K563" s="32"/>
      <c r="L563" s="32"/>
      <c r="M563" s="32"/>
      <c r="N563" s="33"/>
      <c r="O563" s="33"/>
      <c r="P563" s="33"/>
      <c r="Q563" s="13"/>
      <c r="R563" s="13"/>
      <c r="S563" s="13"/>
      <c r="T563" s="13"/>
      <c r="U563" s="13"/>
      <c r="V563" s="13"/>
      <c r="W563" s="33"/>
      <c r="X563" s="33"/>
      <c r="Y563" s="33"/>
      <c r="Z563" s="33"/>
      <c r="AA563" s="33"/>
      <c r="AB563" s="33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  <c r="CA563" s="32"/>
      <c r="CB563" s="32"/>
      <c r="CC563" s="32"/>
      <c r="CD563" s="32"/>
      <c r="CE563" s="32"/>
    </row>
    <row r="564" spans="2:83" s="30" customFormat="1">
      <c r="B564" s="32"/>
      <c r="C564" s="32"/>
      <c r="D564" s="32"/>
      <c r="E564" s="32"/>
      <c r="F564" s="32"/>
      <c r="G564" s="36"/>
      <c r="H564" s="32"/>
      <c r="I564" s="37"/>
      <c r="J564" s="32"/>
      <c r="K564" s="32"/>
      <c r="L564" s="32"/>
      <c r="M564" s="32"/>
      <c r="N564" s="33"/>
      <c r="O564" s="33"/>
      <c r="P564" s="33"/>
      <c r="Q564" s="13"/>
      <c r="R564" s="13"/>
      <c r="S564" s="13"/>
      <c r="T564" s="13"/>
      <c r="U564" s="13"/>
      <c r="V564" s="13"/>
      <c r="W564" s="33"/>
      <c r="X564" s="33"/>
      <c r="Y564" s="33"/>
      <c r="Z564" s="33"/>
      <c r="AA564" s="33"/>
      <c r="AB564" s="33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  <c r="CA564" s="32"/>
      <c r="CB564" s="32"/>
      <c r="CC564" s="32"/>
      <c r="CD564" s="32"/>
      <c r="CE564" s="32"/>
    </row>
    <row r="565" spans="2:83" s="30" customFormat="1">
      <c r="B565" s="32"/>
      <c r="C565" s="32"/>
      <c r="D565" s="32"/>
      <c r="E565" s="32"/>
      <c r="F565" s="32"/>
      <c r="G565" s="36"/>
      <c r="H565" s="32"/>
      <c r="I565" s="37"/>
      <c r="J565" s="32"/>
      <c r="K565" s="32"/>
      <c r="L565" s="32"/>
      <c r="M565" s="32"/>
      <c r="N565" s="33"/>
      <c r="O565" s="33"/>
      <c r="P565" s="33"/>
      <c r="Q565" s="13"/>
      <c r="R565" s="13"/>
      <c r="S565" s="13"/>
      <c r="T565" s="13"/>
      <c r="U565" s="13"/>
      <c r="V565" s="13"/>
      <c r="W565" s="33"/>
      <c r="X565" s="33"/>
      <c r="Y565" s="33"/>
      <c r="Z565" s="33"/>
      <c r="AA565" s="33"/>
      <c r="AB565" s="33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  <c r="CA565" s="32"/>
      <c r="CB565" s="32"/>
      <c r="CC565" s="32"/>
      <c r="CD565" s="32"/>
      <c r="CE565" s="32"/>
    </row>
    <row r="566" spans="2:83" s="30" customFormat="1">
      <c r="B566" s="32"/>
      <c r="C566" s="32"/>
      <c r="D566" s="32"/>
      <c r="E566" s="32"/>
      <c r="F566" s="32"/>
      <c r="G566" s="36"/>
      <c r="H566" s="32"/>
      <c r="I566" s="37"/>
      <c r="J566" s="32"/>
      <c r="K566" s="32"/>
      <c r="L566" s="32"/>
      <c r="M566" s="32"/>
      <c r="N566" s="33"/>
      <c r="O566" s="33"/>
      <c r="P566" s="33"/>
      <c r="Q566" s="13"/>
      <c r="R566" s="13"/>
      <c r="S566" s="13"/>
      <c r="T566" s="13"/>
      <c r="U566" s="13"/>
      <c r="V566" s="13"/>
      <c r="W566" s="33"/>
      <c r="X566" s="33"/>
      <c r="Y566" s="33"/>
      <c r="Z566" s="33"/>
      <c r="AA566" s="33"/>
      <c r="AB566" s="33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  <c r="CA566" s="32"/>
      <c r="CB566" s="32"/>
      <c r="CC566" s="32"/>
      <c r="CD566" s="32"/>
      <c r="CE566" s="32"/>
    </row>
    <row r="567" spans="2:83" s="30" customFormat="1">
      <c r="B567" s="32"/>
      <c r="C567" s="32"/>
      <c r="D567" s="32"/>
      <c r="E567" s="32"/>
      <c r="F567" s="32"/>
      <c r="G567" s="36"/>
      <c r="H567" s="32"/>
      <c r="I567" s="37"/>
      <c r="J567" s="32"/>
      <c r="K567" s="32"/>
      <c r="L567" s="32"/>
      <c r="M567" s="32"/>
      <c r="N567" s="33"/>
      <c r="O567" s="33"/>
      <c r="P567" s="33"/>
      <c r="Q567" s="13"/>
      <c r="R567" s="13"/>
      <c r="S567" s="13"/>
      <c r="T567" s="13"/>
      <c r="U567" s="13"/>
      <c r="V567" s="13"/>
      <c r="W567" s="33"/>
      <c r="X567" s="33"/>
      <c r="Y567" s="33"/>
      <c r="Z567" s="33"/>
      <c r="AA567" s="33"/>
      <c r="AB567" s="33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  <c r="CA567" s="32"/>
      <c r="CB567" s="32"/>
      <c r="CC567" s="32"/>
      <c r="CD567" s="32"/>
      <c r="CE567" s="32"/>
    </row>
    <row r="568" spans="2:83" s="30" customFormat="1">
      <c r="B568" s="32"/>
      <c r="C568" s="32"/>
      <c r="D568" s="32"/>
      <c r="E568" s="32"/>
      <c r="F568" s="32"/>
      <c r="G568" s="36"/>
      <c r="H568" s="32"/>
      <c r="I568" s="37"/>
      <c r="J568" s="32"/>
      <c r="K568" s="32"/>
      <c r="L568" s="32"/>
      <c r="M568" s="32"/>
      <c r="N568" s="33"/>
      <c r="O568" s="33"/>
      <c r="P568" s="33"/>
      <c r="Q568" s="13"/>
      <c r="R568" s="13"/>
      <c r="S568" s="13"/>
      <c r="T568" s="13"/>
      <c r="U568" s="13"/>
      <c r="V568" s="13"/>
      <c r="W568" s="33"/>
      <c r="X568" s="33"/>
      <c r="Y568" s="33"/>
      <c r="Z568" s="33"/>
      <c r="AA568" s="33"/>
      <c r="AB568" s="33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  <c r="CD568" s="32"/>
      <c r="CE568" s="32"/>
    </row>
    <row r="569" spans="2:83" s="30" customFormat="1">
      <c r="B569" s="32"/>
      <c r="C569" s="32"/>
      <c r="D569" s="32"/>
      <c r="E569" s="32"/>
      <c r="F569" s="32"/>
      <c r="G569" s="36"/>
      <c r="H569" s="32"/>
      <c r="I569" s="37"/>
      <c r="J569" s="32"/>
      <c r="K569" s="32"/>
      <c r="L569" s="32"/>
      <c r="M569" s="32"/>
      <c r="N569" s="33"/>
      <c r="O569" s="33"/>
      <c r="P569" s="33"/>
      <c r="Q569" s="13"/>
      <c r="R569" s="13"/>
      <c r="S569" s="13"/>
      <c r="T569" s="13"/>
      <c r="U569" s="13"/>
      <c r="V569" s="13"/>
      <c r="W569" s="33"/>
      <c r="X569" s="33"/>
      <c r="Y569" s="33"/>
      <c r="Z569" s="33"/>
      <c r="AA569" s="33"/>
      <c r="AB569" s="33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  <c r="CA569" s="32"/>
      <c r="CB569" s="32"/>
      <c r="CC569" s="32"/>
      <c r="CD569" s="32"/>
      <c r="CE569" s="32"/>
    </row>
    <row r="570" spans="2:83" s="30" customFormat="1">
      <c r="B570" s="32"/>
      <c r="C570" s="32"/>
      <c r="D570" s="32"/>
      <c r="E570" s="32"/>
      <c r="F570" s="32"/>
      <c r="G570" s="36"/>
      <c r="H570" s="32"/>
      <c r="I570" s="37"/>
      <c r="J570" s="32"/>
      <c r="K570" s="32"/>
      <c r="L570" s="32"/>
      <c r="M570" s="32"/>
      <c r="N570" s="33"/>
      <c r="O570" s="33"/>
      <c r="P570" s="33"/>
      <c r="Q570" s="13"/>
      <c r="R570" s="13"/>
      <c r="S570" s="13"/>
      <c r="T570" s="13"/>
      <c r="U570" s="13"/>
      <c r="V570" s="13"/>
      <c r="W570" s="33"/>
      <c r="X570" s="33"/>
      <c r="Y570" s="33"/>
      <c r="Z570" s="33"/>
      <c r="AA570" s="33"/>
      <c r="AB570" s="33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  <c r="CA570" s="32"/>
      <c r="CB570" s="32"/>
      <c r="CC570" s="32"/>
      <c r="CD570" s="32"/>
      <c r="CE570" s="32"/>
    </row>
    <row r="571" spans="2:83" s="30" customFormat="1">
      <c r="B571" s="32"/>
      <c r="C571" s="32"/>
      <c r="D571" s="32"/>
      <c r="E571" s="32"/>
      <c r="F571" s="32"/>
      <c r="G571" s="36"/>
      <c r="H571" s="32"/>
      <c r="I571" s="37"/>
      <c r="J571" s="32"/>
      <c r="K571" s="32"/>
      <c r="L571" s="32"/>
      <c r="M571" s="32"/>
      <c r="N571" s="33"/>
      <c r="O571" s="33"/>
      <c r="P571" s="33"/>
      <c r="Q571" s="13"/>
      <c r="R571" s="13"/>
      <c r="S571" s="13"/>
      <c r="T571" s="13"/>
      <c r="U571" s="13"/>
      <c r="V571" s="13"/>
      <c r="W571" s="33"/>
      <c r="X571" s="33"/>
      <c r="Y571" s="33"/>
      <c r="Z571" s="33"/>
      <c r="AA571" s="33"/>
      <c r="AB571" s="33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  <c r="CA571" s="32"/>
      <c r="CB571" s="32"/>
      <c r="CC571" s="32"/>
      <c r="CD571" s="32"/>
      <c r="CE571" s="32"/>
    </row>
    <row r="572" spans="2:83" s="30" customFormat="1">
      <c r="B572" s="32"/>
      <c r="C572" s="32"/>
      <c r="D572" s="32"/>
      <c r="E572" s="32"/>
      <c r="F572" s="32"/>
      <c r="G572" s="36"/>
      <c r="H572" s="32"/>
      <c r="I572" s="37"/>
      <c r="J572" s="32"/>
      <c r="K572" s="32"/>
      <c r="L572" s="32"/>
      <c r="M572" s="32"/>
      <c r="N572" s="33"/>
      <c r="O572" s="33"/>
      <c r="P572" s="33"/>
      <c r="Q572" s="13"/>
      <c r="R572" s="13"/>
      <c r="S572" s="13"/>
      <c r="T572" s="13"/>
      <c r="U572" s="13"/>
      <c r="V572" s="13"/>
      <c r="W572" s="33"/>
      <c r="X572" s="33"/>
      <c r="Y572" s="33"/>
      <c r="Z572" s="33"/>
      <c r="AA572" s="33"/>
      <c r="AB572" s="33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  <c r="CA572" s="32"/>
      <c r="CB572" s="32"/>
      <c r="CC572" s="32"/>
      <c r="CD572" s="32"/>
      <c r="CE572" s="32"/>
    </row>
    <row r="573" spans="2:83" s="30" customFormat="1">
      <c r="B573" s="32"/>
      <c r="C573" s="32"/>
      <c r="D573" s="32"/>
      <c r="E573" s="32"/>
      <c r="F573" s="32"/>
      <c r="G573" s="36"/>
      <c r="H573" s="32"/>
      <c r="I573" s="37"/>
      <c r="J573" s="32"/>
      <c r="K573" s="32"/>
      <c r="L573" s="32"/>
      <c r="M573" s="32"/>
      <c r="N573" s="33"/>
      <c r="O573" s="33"/>
      <c r="P573" s="33"/>
      <c r="Q573" s="13"/>
      <c r="R573" s="13"/>
      <c r="S573" s="13"/>
      <c r="T573" s="13"/>
      <c r="U573" s="13"/>
      <c r="V573" s="13"/>
      <c r="W573" s="33"/>
      <c r="X573" s="33"/>
      <c r="Y573" s="33"/>
      <c r="Z573" s="33"/>
      <c r="AA573" s="33"/>
      <c r="AB573" s="33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  <c r="CA573" s="32"/>
      <c r="CB573" s="32"/>
      <c r="CC573" s="32"/>
      <c r="CD573" s="32"/>
      <c r="CE573" s="32"/>
    </row>
    <row r="574" spans="2:83" s="30" customFormat="1">
      <c r="B574" s="32"/>
      <c r="C574" s="32"/>
      <c r="D574" s="32"/>
      <c r="E574" s="32"/>
      <c r="F574" s="32"/>
      <c r="G574" s="36"/>
      <c r="H574" s="32"/>
      <c r="I574" s="37"/>
      <c r="J574" s="32"/>
      <c r="K574" s="32"/>
      <c r="L574" s="32"/>
      <c r="M574" s="32"/>
      <c r="N574" s="33"/>
      <c r="O574" s="33"/>
      <c r="P574" s="33"/>
      <c r="Q574" s="13"/>
      <c r="R574" s="13"/>
      <c r="S574" s="13"/>
      <c r="T574" s="13"/>
      <c r="U574" s="13"/>
      <c r="V574" s="13"/>
      <c r="W574" s="33"/>
      <c r="X574" s="33"/>
      <c r="Y574" s="33"/>
      <c r="Z574" s="33"/>
      <c r="AA574" s="33"/>
      <c r="AB574" s="33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  <c r="CA574" s="32"/>
      <c r="CB574" s="32"/>
      <c r="CC574" s="32"/>
      <c r="CD574" s="32"/>
      <c r="CE574" s="32"/>
    </row>
    <row r="575" spans="2:83" s="30" customFormat="1">
      <c r="B575" s="32"/>
      <c r="C575" s="32"/>
      <c r="D575" s="32"/>
      <c r="E575" s="32"/>
      <c r="F575" s="32"/>
      <c r="G575" s="36"/>
      <c r="H575" s="32"/>
      <c r="I575" s="37"/>
      <c r="J575" s="32"/>
      <c r="K575" s="32"/>
      <c r="L575" s="32"/>
      <c r="M575" s="32"/>
      <c r="N575" s="33"/>
      <c r="O575" s="33"/>
      <c r="P575" s="33"/>
      <c r="Q575" s="13"/>
      <c r="R575" s="13"/>
      <c r="S575" s="13"/>
      <c r="T575" s="13"/>
      <c r="U575" s="13"/>
      <c r="V575" s="13"/>
      <c r="W575" s="33"/>
      <c r="X575" s="33"/>
      <c r="Y575" s="33"/>
      <c r="Z575" s="33"/>
      <c r="AA575" s="33"/>
      <c r="AB575" s="33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  <c r="CA575" s="32"/>
      <c r="CB575" s="32"/>
      <c r="CC575" s="32"/>
      <c r="CD575" s="32"/>
      <c r="CE575" s="32"/>
    </row>
    <row r="576" spans="2:83" s="30" customFormat="1">
      <c r="B576" s="32"/>
      <c r="C576" s="32"/>
      <c r="D576" s="32"/>
      <c r="E576" s="32"/>
      <c r="F576" s="32"/>
      <c r="G576" s="36"/>
      <c r="H576" s="32"/>
      <c r="I576" s="37"/>
      <c r="J576" s="32"/>
      <c r="K576" s="32"/>
      <c r="L576" s="32"/>
      <c r="M576" s="32"/>
      <c r="N576" s="33"/>
      <c r="O576" s="33"/>
      <c r="P576" s="33"/>
      <c r="Q576" s="13"/>
      <c r="R576" s="13"/>
      <c r="S576" s="13"/>
      <c r="T576" s="13"/>
      <c r="U576" s="13"/>
      <c r="V576" s="13"/>
      <c r="W576" s="33"/>
      <c r="X576" s="33"/>
      <c r="Y576" s="33"/>
      <c r="Z576" s="33"/>
      <c r="AA576" s="33"/>
      <c r="AB576" s="33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  <c r="CA576" s="32"/>
      <c r="CB576" s="32"/>
      <c r="CC576" s="32"/>
      <c r="CD576" s="32"/>
      <c r="CE576" s="32"/>
    </row>
    <row r="577" spans="2:83" s="30" customFormat="1">
      <c r="B577" s="32"/>
      <c r="C577" s="32"/>
      <c r="D577" s="32"/>
      <c r="E577" s="32"/>
      <c r="F577" s="32"/>
      <c r="G577" s="36"/>
      <c r="H577" s="32"/>
      <c r="I577" s="37"/>
      <c r="J577" s="32"/>
      <c r="K577" s="32"/>
      <c r="L577" s="32"/>
      <c r="M577" s="32"/>
      <c r="N577" s="33"/>
      <c r="O577" s="33"/>
      <c r="P577" s="33"/>
      <c r="Q577" s="13"/>
      <c r="R577" s="13"/>
      <c r="S577" s="13"/>
      <c r="T577" s="13"/>
      <c r="U577" s="13"/>
      <c r="V577" s="13"/>
      <c r="W577" s="33"/>
      <c r="X577" s="33"/>
      <c r="Y577" s="33"/>
      <c r="Z577" s="33"/>
      <c r="AA577" s="33"/>
      <c r="AB577" s="33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  <c r="CA577" s="32"/>
      <c r="CB577" s="32"/>
      <c r="CC577" s="32"/>
      <c r="CD577" s="32"/>
      <c r="CE577" s="32"/>
    </row>
    <row r="578" spans="2:83" s="30" customFormat="1">
      <c r="B578" s="32"/>
      <c r="C578" s="32"/>
      <c r="D578" s="32"/>
      <c r="E578" s="32"/>
      <c r="F578" s="32"/>
      <c r="G578" s="36"/>
      <c r="H578" s="32"/>
      <c r="I578" s="37"/>
      <c r="J578" s="32"/>
      <c r="K578" s="32"/>
      <c r="L578" s="32"/>
      <c r="M578" s="32"/>
      <c r="N578" s="33"/>
      <c r="O578" s="33"/>
      <c r="P578" s="33"/>
      <c r="Q578" s="13"/>
      <c r="R578" s="13"/>
      <c r="S578" s="13"/>
      <c r="T578" s="13"/>
      <c r="U578" s="13"/>
      <c r="V578" s="13"/>
      <c r="W578" s="33"/>
      <c r="X578" s="33"/>
      <c r="Y578" s="33"/>
      <c r="Z578" s="33"/>
      <c r="AA578" s="33"/>
      <c r="AB578" s="33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  <c r="CA578" s="32"/>
      <c r="CB578" s="32"/>
      <c r="CC578" s="32"/>
      <c r="CD578" s="32"/>
      <c r="CE578" s="32"/>
    </row>
    <row r="579" spans="2:83" s="30" customFormat="1">
      <c r="B579" s="32"/>
      <c r="C579" s="32"/>
      <c r="D579" s="32"/>
      <c r="E579" s="32"/>
      <c r="F579" s="32"/>
      <c r="G579" s="36"/>
      <c r="H579" s="32"/>
      <c r="I579" s="37"/>
      <c r="J579" s="32"/>
      <c r="K579" s="32"/>
      <c r="L579" s="32"/>
      <c r="M579" s="32"/>
      <c r="N579" s="33"/>
      <c r="O579" s="33"/>
      <c r="P579" s="33"/>
      <c r="Q579" s="13"/>
      <c r="R579" s="13"/>
      <c r="S579" s="13"/>
      <c r="T579" s="13"/>
      <c r="U579" s="13"/>
      <c r="V579" s="13"/>
      <c r="W579" s="33"/>
      <c r="X579" s="33"/>
      <c r="Y579" s="33"/>
      <c r="Z579" s="33"/>
      <c r="AA579" s="33"/>
      <c r="AB579" s="33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  <c r="CA579" s="32"/>
      <c r="CB579" s="32"/>
      <c r="CC579" s="32"/>
      <c r="CD579" s="32"/>
      <c r="CE579" s="32"/>
    </row>
    <row r="580" spans="2:83" s="30" customFormat="1">
      <c r="B580" s="32"/>
      <c r="C580" s="32"/>
      <c r="D580" s="32"/>
      <c r="E580" s="32"/>
      <c r="F580" s="32"/>
      <c r="G580" s="36"/>
      <c r="H580" s="32"/>
      <c r="I580" s="37"/>
      <c r="J580" s="32"/>
      <c r="K580" s="32"/>
      <c r="L580" s="32"/>
      <c r="M580" s="32"/>
      <c r="N580" s="33"/>
      <c r="O580" s="33"/>
      <c r="P580" s="33"/>
      <c r="Q580" s="13"/>
      <c r="R580" s="13"/>
      <c r="S580" s="13"/>
      <c r="T580" s="13"/>
      <c r="U580" s="13"/>
      <c r="V580" s="13"/>
      <c r="W580" s="33"/>
      <c r="X580" s="33"/>
      <c r="Y580" s="33"/>
      <c r="Z580" s="33"/>
      <c r="AA580" s="33"/>
      <c r="AB580" s="33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  <c r="CA580" s="32"/>
      <c r="CB580" s="32"/>
      <c r="CC580" s="32"/>
      <c r="CD580" s="32"/>
      <c r="CE580" s="32"/>
    </row>
    <row r="581" spans="2:83" s="30" customFormat="1">
      <c r="B581" s="32"/>
      <c r="C581" s="32"/>
      <c r="D581" s="32"/>
      <c r="E581" s="32"/>
      <c r="F581" s="32"/>
      <c r="G581" s="36"/>
      <c r="H581" s="32"/>
      <c r="I581" s="37"/>
      <c r="J581" s="32"/>
      <c r="K581" s="32"/>
      <c r="L581" s="32"/>
      <c r="M581" s="32"/>
      <c r="N581" s="33"/>
      <c r="O581" s="33"/>
      <c r="P581" s="33"/>
      <c r="Q581" s="13"/>
      <c r="R581" s="13"/>
      <c r="S581" s="13"/>
      <c r="T581" s="13"/>
      <c r="U581" s="13"/>
      <c r="V581" s="13"/>
      <c r="W581" s="33"/>
      <c r="X581" s="33"/>
      <c r="Y581" s="33"/>
      <c r="Z581" s="33"/>
      <c r="AA581" s="33"/>
      <c r="AB581" s="33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  <c r="CA581" s="32"/>
      <c r="CB581" s="32"/>
      <c r="CC581" s="32"/>
      <c r="CD581" s="32"/>
      <c r="CE581" s="32"/>
    </row>
    <row r="582" spans="2:83" s="30" customFormat="1">
      <c r="B582" s="32"/>
      <c r="C582" s="32"/>
      <c r="D582" s="32"/>
      <c r="E582" s="32"/>
      <c r="F582" s="32"/>
      <c r="G582" s="36"/>
      <c r="H582" s="32"/>
      <c r="I582" s="37"/>
      <c r="J582" s="32"/>
      <c r="K582" s="32"/>
      <c r="L582" s="32"/>
      <c r="M582" s="32"/>
      <c r="N582" s="33"/>
      <c r="O582" s="33"/>
      <c r="P582" s="33"/>
      <c r="Q582" s="13"/>
      <c r="R582" s="13"/>
      <c r="S582" s="13"/>
      <c r="T582" s="13"/>
      <c r="U582" s="13"/>
      <c r="V582" s="13"/>
      <c r="W582" s="33"/>
      <c r="X582" s="33"/>
      <c r="Y582" s="33"/>
      <c r="Z582" s="33"/>
      <c r="AA582" s="33"/>
      <c r="AB582" s="33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  <c r="CA582" s="32"/>
      <c r="CB582" s="32"/>
      <c r="CC582" s="32"/>
      <c r="CD582" s="32"/>
      <c r="CE582" s="32"/>
    </row>
    <row r="583" spans="2:83" s="30" customFormat="1">
      <c r="B583" s="32"/>
      <c r="C583" s="32"/>
      <c r="D583" s="32"/>
      <c r="E583" s="32"/>
      <c r="F583" s="32"/>
      <c r="G583" s="36"/>
      <c r="H583" s="32"/>
      <c r="I583" s="37"/>
      <c r="J583" s="32"/>
      <c r="K583" s="32"/>
      <c r="L583" s="32"/>
      <c r="M583" s="32"/>
      <c r="N583" s="33"/>
      <c r="O583" s="33"/>
      <c r="P583" s="33"/>
      <c r="Q583" s="13"/>
      <c r="R583" s="13"/>
      <c r="S583" s="13"/>
      <c r="T583" s="13"/>
      <c r="U583" s="13"/>
      <c r="V583" s="13"/>
      <c r="W583" s="33"/>
      <c r="X583" s="33"/>
      <c r="Y583" s="33"/>
      <c r="Z583" s="33"/>
      <c r="AA583" s="33"/>
      <c r="AB583" s="33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  <c r="CA583" s="32"/>
      <c r="CB583" s="32"/>
      <c r="CC583" s="32"/>
      <c r="CD583" s="32"/>
      <c r="CE583" s="32"/>
    </row>
    <row r="584" spans="2:83" s="30" customFormat="1">
      <c r="B584" s="32"/>
      <c r="C584" s="32"/>
      <c r="D584" s="32"/>
      <c r="E584" s="32"/>
      <c r="F584" s="32"/>
      <c r="G584" s="36"/>
      <c r="H584" s="32"/>
      <c r="I584" s="37"/>
      <c r="J584" s="32"/>
      <c r="K584" s="32"/>
      <c r="L584" s="32"/>
      <c r="M584" s="32"/>
      <c r="N584" s="33"/>
      <c r="O584" s="33"/>
      <c r="P584" s="33"/>
      <c r="Q584" s="13"/>
      <c r="R584" s="13"/>
      <c r="S584" s="13"/>
      <c r="T584" s="13"/>
      <c r="U584" s="13"/>
      <c r="V584" s="13"/>
      <c r="W584" s="33"/>
      <c r="X584" s="33"/>
      <c r="Y584" s="33"/>
      <c r="Z584" s="33"/>
      <c r="AA584" s="33"/>
      <c r="AB584" s="33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  <c r="CA584" s="32"/>
      <c r="CB584" s="32"/>
      <c r="CC584" s="32"/>
      <c r="CD584" s="32"/>
      <c r="CE584" s="32"/>
    </row>
    <row r="585" spans="2:83" s="30" customFormat="1">
      <c r="B585" s="32"/>
      <c r="C585" s="32"/>
      <c r="D585" s="32"/>
      <c r="E585" s="32"/>
      <c r="F585" s="32"/>
      <c r="G585" s="36"/>
      <c r="H585" s="32"/>
      <c r="I585" s="37"/>
      <c r="J585" s="32"/>
      <c r="K585" s="32"/>
      <c r="L585" s="32"/>
      <c r="M585" s="32"/>
      <c r="N585" s="33"/>
      <c r="O585" s="33"/>
      <c r="P585" s="33"/>
      <c r="Q585" s="13"/>
      <c r="R585" s="13"/>
      <c r="S585" s="13"/>
      <c r="T585" s="13"/>
      <c r="U585" s="13"/>
      <c r="V585" s="13"/>
      <c r="W585" s="33"/>
      <c r="X585" s="33"/>
      <c r="Y585" s="33"/>
      <c r="Z585" s="33"/>
      <c r="AA585" s="33"/>
      <c r="AB585" s="33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  <c r="CA585" s="32"/>
      <c r="CB585" s="32"/>
      <c r="CC585" s="32"/>
      <c r="CD585" s="32"/>
      <c r="CE585" s="32"/>
    </row>
    <row r="586" spans="2:83" s="30" customFormat="1">
      <c r="B586" s="32"/>
      <c r="C586" s="32"/>
      <c r="D586" s="32"/>
      <c r="E586" s="32"/>
      <c r="F586" s="32"/>
      <c r="G586" s="36"/>
      <c r="H586" s="32"/>
      <c r="I586" s="37"/>
      <c r="J586" s="32"/>
      <c r="K586" s="32"/>
      <c r="L586" s="32"/>
      <c r="M586" s="32"/>
      <c r="N586" s="33"/>
      <c r="O586" s="33"/>
      <c r="P586" s="33"/>
      <c r="Q586" s="13"/>
      <c r="R586" s="13"/>
      <c r="S586" s="13"/>
      <c r="T586" s="13"/>
      <c r="U586" s="13"/>
      <c r="V586" s="13"/>
      <c r="W586" s="33"/>
      <c r="X586" s="33"/>
      <c r="Y586" s="33"/>
      <c r="Z586" s="33"/>
      <c r="AA586" s="33"/>
      <c r="AB586" s="33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  <c r="CA586" s="32"/>
      <c r="CB586" s="32"/>
      <c r="CC586" s="32"/>
      <c r="CD586" s="32"/>
      <c r="CE586" s="32"/>
    </row>
    <row r="587" spans="2:83" s="30" customFormat="1">
      <c r="B587" s="32"/>
      <c r="C587" s="32"/>
      <c r="D587" s="32"/>
      <c r="E587" s="32"/>
      <c r="F587" s="32"/>
      <c r="G587" s="36"/>
      <c r="H587" s="32"/>
      <c r="I587" s="37"/>
      <c r="J587" s="32"/>
      <c r="K587" s="32"/>
      <c r="L587" s="32"/>
      <c r="M587" s="32"/>
      <c r="N587" s="33"/>
      <c r="O587" s="33"/>
      <c r="P587" s="33"/>
      <c r="Q587" s="13"/>
      <c r="R587" s="13"/>
      <c r="S587" s="13"/>
      <c r="T587" s="13"/>
      <c r="U587" s="13"/>
      <c r="V587" s="13"/>
      <c r="W587" s="33"/>
      <c r="X587" s="33"/>
      <c r="Y587" s="33"/>
      <c r="Z587" s="33"/>
      <c r="AA587" s="33"/>
      <c r="AB587" s="33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  <c r="CA587" s="32"/>
      <c r="CB587" s="32"/>
      <c r="CC587" s="32"/>
      <c r="CD587" s="32"/>
      <c r="CE587" s="32"/>
    </row>
    <row r="588" spans="2:83" s="30" customFormat="1">
      <c r="B588" s="32"/>
      <c r="C588" s="32"/>
      <c r="D588" s="32"/>
      <c r="E588" s="32"/>
      <c r="F588" s="32"/>
      <c r="G588" s="36"/>
      <c r="H588" s="32"/>
      <c r="I588" s="37"/>
      <c r="J588" s="32"/>
      <c r="K588" s="32"/>
      <c r="L588" s="32"/>
      <c r="M588" s="32"/>
      <c r="N588" s="33"/>
      <c r="O588" s="33"/>
      <c r="P588" s="33"/>
      <c r="Q588" s="13"/>
      <c r="R588" s="13"/>
      <c r="S588" s="13"/>
      <c r="T588" s="13"/>
      <c r="U588" s="13"/>
      <c r="V588" s="13"/>
      <c r="W588" s="33"/>
      <c r="X588" s="33"/>
      <c r="Y588" s="33"/>
      <c r="Z588" s="33"/>
      <c r="AA588" s="33"/>
      <c r="AB588" s="33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  <c r="CA588" s="32"/>
      <c r="CB588" s="32"/>
      <c r="CC588" s="32"/>
      <c r="CD588" s="32"/>
      <c r="CE588" s="32"/>
    </row>
    <row r="589" spans="2:83" s="30" customFormat="1">
      <c r="B589" s="32"/>
      <c r="C589" s="32"/>
      <c r="D589" s="32"/>
      <c r="E589" s="32"/>
      <c r="F589" s="32"/>
      <c r="G589" s="36"/>
      <c r="H589" s="32"/>
      <c r="I589" s="37"/>
      <c r="J589" s="32"/>
      <c r="K589" s="32"/>
      <c r="L589" s="32"/>
      <c r="M589" s="32"/>
      <c r="N589" s="33"/>
      <c r="O589" s="33"/>
      <c r="P589" s="33"/>
      <c r="Q589" s="13"/>
      <c r="R589" s="13"/>
      <c r="S589" s="13"/>
      <c r="T589" s="13"/>
      <c r="U589" s="13"/>
      <c r="V589" s="13"/>
      <c r="W589" s="33"/>
      <c r="X589" s="33"/>
      <c r="Y589" s="33"/>
      <c r="Z589" s="33"/>
      <c r="AA589" s="33"/>
      <c r="AB589" s="33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  <c r="CA589" s="32"/>
      <c r="CB589" s="32"/>
      <c r="CC589" s="32"/>
      <c r="CD589" s="32"/>
      <c r="CE589" s="32"/>
    </row>
    <row r="590" spans="2:83" s="30" customFormat="1">
      <c r="B590" s="32"/>
      <c r="C590" s="32"/>
      <c r="D590" s="32"/>
      <c r="E590" s="32"/>
      <c r="F590" s="32"/>
      <c r="G590" s="36"/>
      <c r="H590" s="32"/>
      <c r="I590" s="37"/>
      <c r="J590" s="32"/>
      <c r="K590" s="32"/>
      <c r="L590" s="32"/>
      <c r="M590" s="32"/>
      <c r="N590" s="33"/>
      <c r="O590" s="33"/>
      <c r="P590" s="33"/>
      <c r="Q590" s="13"/>
      <c r="R590" s="13"/>
      <c r="S590" s="13"/>
      <c r="T590" s="13"/>
      <c r="U590" s="13"/>
      <c r="V590" s="13"/>
      <c r="W590" s="33"/>
      <c r="X590" s="33"/>
      <c r="Y590" s="33"/>
      <c r="Z590" s="33"/>
      <c r="AA590" s="33"/>
      <c r="AB590" s="33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  <c r="CA590" s="32"/>
      <c r="CB590" s="32"/>
      <c r="CC590" s="32"/>
      <c r="CD590" s="32"/>
      <c r="CE590" s="32"/>
    </row>
    <row r="591" spans="2:83" s="30" customFormat="1">
      <c r="B591" s="32"/>
      <c r="C591" s="32"/>
      <c r="D591" s="32"/>
      <c r="E591" s="32"/>
      <c r="F591" s="32"/>
      <c r="G591" s="36"/>
      <c r="H591" s="32"/>
      <c r="I591" s="37"/>
      <c r="J591" s="32"/>
      <c r="K591" s="32"/>
      <c r="L591" s="32"/>
      <c r="M591" s="32"/>
      <c r="N591" s="33"/>
      <c r="O591" s="33"/>
      <c r="P591" s="33"/>
      <c r="Q591" s="13"/>
      <c r="R591" s="13"/>
      <c r="S591" s="13"/>
      <c r="T591" s="13"/>
      <c r="U591" s="13"/>
      <c r="V591" s="13"/>
      <c r="W591" s="33"/>
      <c r="X591" s="33"/>
      <c r="Y591" s="33"/>
      <c r="Z591" s="33"/>
      <c r="AA591" s="33"/>
      <c r="AB591" s="33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  <c r="CA591" s="32"/>
      <c r="CB591" s="32"/>
      <c r="CC591" s="32"/>
      <c r="CD591" s="32"/>
      <c r="CE591" s="32"/>
    </row>
    <row r="592" spans="2:83" s="30" customFormat="1">
      <c r="B592" s="32"/>
      <c r="C592" s="32"/>
      <c r="D592" s="32"/>
      <c r="E592" s="32"/>
      <c r="F592" s="32"/>
      <c r="G592" s="36"/>
      <c r="H592" s="32"/>
      <c r="I592" s="37"/>
      <c r="J592" s="32"/>
      <c r="K592" s="32"/>
      <c r="L592" s="32"/>
      <c r="M592" s="32"/>
      <c r="N592" s="33"/>
      <c r="O592" s="33"/>
      <c r="P592" s="33"/>
      <c r="Q592" s="13"/>
      <c r="R592" s="13"/>
      <c r="S592" s="13"/>
      <c r="T592" s="13"/>
      <c r="U592" s="13"/>
      <c r="V592" s="13"/>
      <c r="W592" s="33"/>
      <c r="X592" s="33"/>
      <c r="Y592" s="33"/>
      <c r="Z592" s="33"/>
      <c r="AA592" s="33"/>
      <c r="AB592" s="33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  <c r="CA592" s="32"/>
      <c r="CB592" s="32"/>
      <c r="CC592" s="32"/>
      <c r="CD592" s="32"/>
      <c r="CE592" s="32"/>
    </row>
    <row r="593" spans="2:83" s="30" customFormat="1">
      <c r="B593" s="32"/>
      <c r="C593" s="32"/>
      <c r="D593" s="32"/>
      <c r="E593" s="32"/>
      <c r="F593" s="32"/>
      <c r="G593" s="36"/>
      <c r="H593" s="32"/>
      <c r="I593" s="37"/>
      <c r="J593" s="32"/>
      <c r="K593" s="32"/>
      <c r="L593" s="32"/>
      <c r="M593" s="32"/>
      <c r="N593" s="33"/>
      <c r="O593" s="33"/>
      <c r="P593" s="33"/>
      <c r="Q593" s="13"/>
      <c r="R593" s="13"/>
      <c r="S593" s="13"/>
      <c r="T593" s="13"/>
      <c r="U593" s="13"/>
      <c r="V593" s="13"/>
      <c r="W593" s="33"/>
      <c r="X593" s="33"/>
      <c r="Y593" s="33"/>
      <c r="Z593" s="33"/>
      <c r="AA593" s="33"/>
      <c r="AB593" s="33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  <c r="CA593" s="32"/>
      <c r="CB593" s="32"/>
      <c r="CC593" s="32"/>
      <c r="CD593" s="32"/>
      <c r="CE593" s="32"/>
    </row>
    <row r="594" spans="2:83" s="30" customFormat="1">
      <c r="B594" s="32"/>
      <c r="C594" s="32"/>
      <c r="D594" s="32"/>
      <c r="E594" s="32"/>
      <c r="F594" s="32"/>
      <c r="G594" s="36"/>
      <c r="H594" s="32"/>
      <c r="I594" s="37"/>
      <c r="J594" s="32"/>
      <c r="K594" s="32"/>
      <c r="L594" s="32"/>
      <c r="M594" s="32"/>
      <c r="N594" s="33"/>
      <c r="O594" s="33"/>
      <c r="P594" s="33"/>
      <c r="Q594" s="13"/>
      <c r="R594" s="13"/>
      <c r="S594" s="13"/>
      <c r="T594" s="13"/>
      <c r="U594" s="13"/>
      <c r="V594" s="13"/>
      <c r="W594" s="33"/>
      <c r="X594" s="33"/>
      <c r="Y594" s="33"/>
      <c r="Z594" s="33"/>
      <c r="AA594" s="33"/>
      <c r="AB594" s="33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  <c r="CA594" s="32"/>
      <c r="CB594" s="32"/>
      <c r="CC594" s="32"/>
      <c r="CD594" s="32"/>
      <c r="CE594" s="32"/>
    </row>
    <row r="595" spans="2:83" s="30" customFormat="1">
      <c r="B595" s="32"/>
      <c r="C595" s="32"/>
      <c r="D595" s="32"/>
      <c r="E595" s="32"/>
      <c r="F595" s="32"/>
      <c r="G595" s="36"/>
      <c r="H595" s="32"/>
      <c r="I595" s="37"/>
      <c r="J595" s="32"/>
      <c r="K595" s="32"/>
      <c r="L595" s="32"/>
      <c r="M595" s="32"/>
      <c r="N595" s="33"/>
      <c r="O595" s="33"/>
      <c r="P595" s="33"/>
      <c r="Q595" s="13"/>
      <c r="R595" s="13"/>
      <c r="S595" s="13"/>
      <c r="T595" s="13"/>
      <c r="U595" s="13"/>
      <c r="V595" s="13"/>
      <c r="W595" s="33"/>
      <c r="X595" s="33"/>
      <c r="Y595" s="33"/>
      <c r="Z595" s="33"/>
      <c r="AA595" s="33"/>
      <c r="AB595" s="33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  <c r="CA595" s="32"/>
      <c r="CB595" s="32"/>
      <c r="CC595" s="32"/>
      <c r="CD595" s="32"/>
      <c r="CE595" s="32"/>
    </row>
    <row r="596" spans="2:83" s="30" customFormat="1">
      <c r="B596" s="32"/>
      <c r="C596" s="32"/>
      <c r="D596" s="32"/>
      <c r="E596" s="32"/>
      <c r="F596" s="32"/>
      <c r="G596" s="36"/>
      <c r="H596" s="32"/>
      <c r="I596" s="37"/>
      <c r="J596" s="32"/>
      <c r="K596" s="32"/>
      <c r="L596" s="32"/>
      <c r="M596" s="32"/>
      <c r="N596" s="33"/>
      <c r="O596" s="33"/>
      <c r="P596" s="33"/>
      <c r="Q596" s="13"/>
      <c r="R596" s="13"/>
      <c r="S596" s="13"/>
      <c r="T596" s="13"/>
      <c r="U596" s="13"/>
      <c r="V596" s="13"/>
      <c r="W596" s="33"/>
      <c r="X596" s="33"/>
      <c r="Y596" s="33"/>
      <c r="Z596" s="33"/>
      <c r="AA596" s="33"/>
      <c r="AB596" s="33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  <c r="CA596" s="32"/>
      <c r="CB596" s="32"/>
      <c r="CC596" s="32"/>
      <c r="CD596" s="32"/>
      <c r="CE596" s="32"/>
    </row>
    <row r="597" spans="2:83" s="30" customFormat="1">
      <c r="B597" s="32"/>
      <c r="C597" s="32"/>
      <c r="D597" s="32"/>
      <c r="E597" s="32"/>
      <c r="F597" s="32"/>
      <c r="G597" s="36"/>
      <c r="H597" s="32"/>
      <c r="I597" s="37"/>
      <c r="J597" s="32"/>
      <c r="K597" s="32"/>
      <c r="L597" s="32"/>
      <c r="M597" s="32"/>
      <c r="N597" s="33"/>
      <c r="O597" s="33"/>
      <c r="P597" s="33"/>
      <c r="Q597" s="13"/>
      <c r="R597" s="13"/>
      <c r="S597" s="13"/>
      <c r="T597" s="13"/>
      <c r="U597" s="13"/>
      <c r="V597" s="13"/>
      <c r="W597" s="33"/>
      <c r="X597" s="33"/>
      <c r="Y597" s="33"/>
      <c r="Z597" s="33"/>
      <c r="AA597" s="33"/>
      <c r="AB597" s="33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  <c r="CA597" s="32"/>
      <c r="CB597" s="32"/>
      <c r="CC597" s="32"/>
      <c r="CD597" s="32"/>
      <c r="CE597" s="32"/>
    </row>
    <row r="598" spans="2:83" s="30" customFormat="1">
      <c r="B598" s="32"/>
      <c r="C598" s="32"/>
      <c r="D598" s="32"/>
      <c r="E598" s="32"/>
      <c r="F598" s="32"/>
      <c r="G598" s="36"/>
      <c r="H598" s="32"/>
      <c r="I598" s="37"/>
      <c r="J598" s="32"/>
      <c r="K598" s="32"/>
      <c r="L598" s="32"/>
      <c r="M598" s="32"/>
      <c r="N598" s="33"/>
      <c r="O598" s="33"/>
      <c r="P598" s="33"/>
      <c r="Q598" s="13"/>
      <c r="R598" s="13"/>
      <c r="S598" s="13"/>
      <c r="T598" s="13"/>
      <c r="U598" s="13"/>
      <c r="V598" s="13"/>
      <c r="W598" s="33"/>
      <c r="X598" s="33"/>
      <c r="Y598" s="33"/>
      <c r="Z598" s="33"/>
      <c r="AA598" s="33"/>
      <c r="AB598" s="33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  <c r="CA598" s="32"/>
      <c r="CB598" s="32"/>
      <c r="CC598" s="32"/>
      <c r="CD598" s="32"/>
      <c r="CE598" s="32"/>
    </row>
    <row r="599" spans="2:83" s="30" customFormat="1">
      <c r="B599" s="32"/>
      <c r="C599" s="32"/>
      <c r="D599" s="32"/>
      <c r="E599" s="32"/>
      <c r="F599" s="32"/>
      <c r="G599" s="36"/>
      <c r="H599" s="32"/>
      <c r="I599" s="37"/>
      <c r="J599" s="32"/>
      <c r="K599" s="32"/>
      <c r="L599" s="32"/>
      <c r="M599" s="32"/>
      <c r="N599" s="33"/>
      <c r="O599" s="33"/>
      <c r="P599" s="33"/>
      <c r="Q599" s="13"/>
      <c r="R599" s="13"/>
      <c r="S599" s="13"/>
      <c r="T599" s="13"/>
      <c r="U599" s="13"/>
      <c r="V599" s="13"/>
      <c r="W599" s="33"/>
      <c r="X599" s="33"/>
      <c r="Y599" s="33"/>
      <c r="Z599" s="33"/>
      <c r="AA599" s="33"/>
      <c r="AB599" s="33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  <c r="CA599" s="32"/>
      <c r="CB599" s="32"/>
      <c r="CC599" s="32"/>
      <c r="CD599" s="32"/>
      <c r="CE599" s="32"/>
    </row>
    <row r="600" spans="2:83" s="30" customFormat="1">
      <c r="B600" s="32"/>
      <c r="C600" s="32"/>
      <c r="D600" s="32"/>
      <c r="E600" s="32"/>
      <c r="F600" s="32"/>
      <c r="G600" s="36"/>
      <c r="H600" s="32"/>
      <c r="I600" s="37"/>
      <c r="J600" s="32"/>
      <c r="K600" s="32"/>
      <c r="L600" s="32"/>
      <c r="M600" s="32"/>
      <c r="N600" s="33"/>
      <c r="O600" s="33"/>
      <c r="P600" s="33"/>
      <c r="Q600" s="13"/>
      <c r="R600" s="13"/>
      <c r="S600" s="13"/>
      <c r="T600" s="13"/>
      <c r="U600" s="13"/>
      <c r="V600" s="13"/>
      <c r="W600" s="33"/>
      <c r="X600" s="33"/>
      <c r="Y600" s="33"/>
      <c r="Z600" s="33"/>
      <c r="AA600" s="33"/>
      <c r="AB600" s="33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  <c r="CA600" s="32"/>
      <c r="CB600" s="32"/>
      <c r="CC600" s="32"/>
      <c r="CD600" s="32"/>
      <c r="CE600" s="32"/>
    </row>
    <row r="601" spans="2:83" s="30" customFormat="1">
      <c r="B601" s="32"/>
      <c r="C601" s="32"/>
      <c r="D601" s="32"/>
      <c r="E601" s="32"/>
      <c r="F601" s="32"/>
      <c r="G601" s="36"/>
      <c r="H601" s="32"/>
      <c r="I601" s="37"/>
      <c r="J601" s="32"/>
      <c r="K601" s="32"/>
      <c r="L601" s="32"/>
      <c r="M601" s="32"/>
      <c r="N601" s="33"/>
      <c r="O601" s="33"/>
      <c r="P601" s="33"/>
      <c r="Q601" s="13"/>
      <c r="R601" s="13"/>
      <c r="S601" s="13"/>
      <c r="T601" s="13"/>
      <c r="U601" s="13"/>
      <c r="V601" s="13"/>
      <c r="W601" s="33"/>
      <c r="X601" s="33"/>
      <c r="Y601" s="33"/>
      <c r="Z601" s="33"/>
      <c r="AA601" s="33"/>
      <c r="AB601" s="33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  <c r="CA601" s="32"/>
      <c r="CB601" s="32"/>
      <c r="CC601" s="32"/>
      <c r="CD601" s="32"/>
      <c r="CE601" s="32"/>
    </row>
    <row r="602" spans="2:83" s="30" customFormat="1">
      <c r="B602" s="32"/>
      <c r="C602" s="32"/>
      <c r="D602" s="32"/>
      <c r="E602" s="32"/>
      <c r="F602" s="32"/>
      <c r="G602" s="36"/>
      <c r="H602" s="32"/>
      <c r="I602" s="37"/>
      <c r="J602" s="32"/>
      <c r="K602" s="32"/>
      <c r="L602" s="32"/>
      <c r="M602" s="32"/>
      <c r="N602" s="33"/>
      <c r="O602" s="33"/>
      <c r="P602" s="33"/>
      <c r="Q602" s="13"/>
      <c r="R602" s="13"/>
      <c r="S602" s="13"/>
      <c r="T602" s="13"/>
      <c r="U602" s="13"/>
      <c r="V602" s="13"/>
      <c r="W602" s="33"/>
      <c r="X602" s="33"/>
      <c r="Y602" s="33"/>
      <c r="Z602" s="33"/>
      <c r="AA602" s="33"/>
      <c r="AB602" s="33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  <c r="BW602" s="32"/>
      <c r="BX602" s="32"/>
      <c r="BY602" s="32"/>
      <c r="BZ602" s="32"/>
      <c r="CA602" s="32"/>
      <c r="CB602" s="32"/>
      <c r="CC602" s="32"/>
      <c r="CD602" s="32"/>
      <c r="CE602" s="32"/>
    </row>
    <row r="603" spans="2:83" s="30" customFormat="1">
      <c r="B603" s="32"/>
      <c r="C603" s="32"/>
      <c r="D603" s="32"/>
      <c r="E603" s="32"/>
      <c r="F603" s="32"/>
      <c r="G603" s="36"/>
      <c r="H603" s="32"/>
      <c r="I603" s="37"/>
      <c r="J603" s="32"/>
      <c r="K603" s="32"/>
      <c r="L603" s="32"/>
      <c r="M603" s="32"/>
      <c r="N603" s="33"/>
      <c r="O603" s="33"/>
      <c r="P603" s="33"/>
      <c r="Q603" s="13"/>
      <c r="R603" s="13"/>
      <c r="S603" s="13"/>
      <c r="T603" s="13"/>
      <c r="U603" s="13"/>
      <c r="V603" s="13"/>
      <c r="W603" s="33"/>
      <c r="X603" s="33"/>
      <c r="Y603" s="33"/>
      <c r="Z603" s="33"/>
      <c r="AA603" s="33"/>
      <c r="AB603" s="33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  <c r="BW603" s="32"/>
      <c r="BX603" s="32"/>
      <c r="BY603" s="32"/>
      <c r="BZ603" s="32"/>
      <c r="CA603" s="32"/>
      <c r="CB603" s="32"/>
      <c r="CC603" s="32"/>
      <c r="CD603" s="32"/>
      <c r="CE603" s="32"/>
    </row>
    <row r="604" spans="2:83" s="30" customFormat="1">
      <c r="B604" s="32"/>
      <c r="C604" s="32"/>
      <c r="D604" s="32"/>
      <c r="E604" s="32"/>
      <c r="F604" s="32"/>
      <c r="G604" s="36"/>
      <c r="H604" s="32"/>
      <c r="I604" s="37"/>
      <c r="J604" s="32"/>
      <c r="K604" s="32"/>
      <c r="L604" s="32"/>
      <c r="M604" s="32"/>
      <c r="N604" s="33"/>
      <c r="O604" s="33"/>
      <c r="P604" s="33"/>
      <c r="Q604" s="13"/>
      <c r="R604" s="13"/>
      <c r="S604" s="13"/>
      <c r="T604" s="13"/>
      <c r="U604" s="13"/>
      <c r="V604" s="13"/>
      <c r="W604" s="33"/>
      <c r="X604" s="33"/>
      <c r="Y604" s="33"/>
      <c r="Z604" s="33"/>
      <c r="AA604" s="33"/>
      <c r="AB604" s="33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  <c r="BW604" s="32"/>
      <c r="BX604" s="32"/>
      <c r="BY604" s="32"/>
      <c r="BZ604" s="32"/>
      <c r="CA604" s="32"/>
      <c r="CB604" s="32"/>
      <c r="CC604" s="32"/>
      <c r="CD604" s="32"/>
      <c r="CE604" s="32"/>
    </row>
    <row r="605" spans="2:83" s="30" customFormat="1">
      <c r="B605" s="32"/>
      <c r="C605" s="32"/>
      <c r="D605" s="32"/>
      <c r="E605" s="32"/>
      <c r="F605" s="32"/>
      <c r="G605" s="36"/>
      <c r="H605" s="32"/>
      <c r="I605" s="37"/>
      <c r="J605" s="32"/>
      <c r="K605" s="32"/>
      <c r="L605" s="32"/>
      <c r="M605" s="32"/>
      <c r="N605" s="33"/>
      <c r="O605" s="33"/>
      <c r="P605" s="33"/>
      <c r="Q605" s="13"/>
      <c r="R605" s="13"/>
      <c r="S605" s="13"/>
      <c r="T605" s="13"/>
      <c r="U605" s="13"/>
      <c r="V605" s="13"/>
      <c r="W605" s="33"/>
      <c r="X605" s="33"/>
      <c r="Y605" s="33"/>
      <c r="Z605" s="33"/>
      <c r="AA605" s="33"/>
      <c r="AB605" s="33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  <c r="BW605" s="32"/>
      <c r="BX605" s="32"/>
      <c r="BY605" s="32"/>
      <c r="BZ605" s="32"/>
      <c r="CA605" s="32"/>
      <c r="CB605" s="32"/>
      <c r="CC605" s="32"/>
      <c r="CD605" s="32"/>
      <c r="CE605" s="32"/>
    </row>
    <row r="606" spans="2:83" s="30" customFormat="1">
      <c r="B606" s="32"/>
      <c r="C606" s="32"/>
      <c r="D606" s="32"/>
      <c r="E606" s="32"/>
      <c r="F606" s="32"/>
      <c r="G606" s="36"/>
      <c r="H606" s="32"/>
      <c r="I606" s="37"/>
      <c r="J606" s="32"/>
      <c r="K606" s="32"/>
      <c r="L606" s="32"/>
      <c r="M606" s="32"/>
      <c r="N606" s="33"/>
      <c r="O606" s="33"/>
      <c r="P606" s="33"/>
      <c r="Q606" s="13"/>
      <c r="R606" s="13"/>
      <c r="S606" s="13"/>
      <c r="T606" s="13"/>
      <c r="U606" s="13"/>
      <c r="V606" s="13"/>
      <c r="W606" s="33"/>
      <c r="X606" s="33"/>
      <c r="Y606" s="33"/>
      <c r="Z606" s="33"/>
      <c r="AA606" s="33"/>
      <c r="AB606" s="33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  <c r="BW606" s="32"/>
      <c r="BX606" s="32"/>
      <c r="BY606" s="32"/>
      <c r="BZ606" s="32"/>
      <c r="CA606" s="32"/>
      <c r="CB606" s="32"/>
      <c r="CC606" s="32"/>
      <c r="CD606" s="32"/>
      <c r="CE606" s="32"/>
    </row>
    <row r="607" spans="2:83" s="30" customFormat="1">
      <c r="B607" s="32"/>
      <c r="C607" s="32"/>
      <c r="D607" s="32"/>
      <c r="E607" s="32"/>
      <c r="F607" s="32"/>
      <c r="G607" s="36"/>
      <c r="H607" s="32"/>
      <c r="I607" s="37"/>
      <c r="J607" s="32"/>
      <c r="K607" s="32"/>
      <c r="L607" s="32"/>
      <c r="M607" s="32"/>
      <c r="N607" s="33"/>
      <c r="O607" s="33"/>
      <c r="P607" s="33"/>
      <c r="Q607" s="13"/>
      <c r="R607" s="13"/>
      <c r="S607" s="13"/>
      <c r="T607" s="13"/>
      <c r="U607" s="13"/>
      <c r="V607" s="13"/>
      <c r="W607" s="33"/>
      <c r="X607" s="33"/>
      <c r="Y607" s="33"/>
      <c r="Z607" s="33"/>
      <c r="AA607" s="33"/>
      <c r="AB607" s="33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  <c r="BW607" s="32"/>
      <c r="BX607" s="32"/>
      <c r="BY607" s="32"/>
      <c r="BZ607" s="32"/>
      <c r="CA607" s="32"/>
      <c r="CB607" s="32"/>
      <c r="CC607" s="32"/>
      <c r="CD607" s="32"/>
      <c r="CE607" s="32"/>
    </row>
    <row r="608" spans="2:83" s="30" customFormat="1">
      <c r="B608" s="32"/>
      <c r="C608" s="32"/>
      <c r="D608" s="32"/>
      <c r="E608" s="32"/>
      <c r="F608" s="32"/>
      <c r="G608" s="36"/>
      <c r="H608" s="32"/>
      <c r="I608" s="37"/>
      <c r="J608" s="32"/>
      <c r="K608" s="32"/>
      <c r="L608" s="32"/>
      <c r="M608" s="32"/>
      <c r="N608" s="33"/>
      <c r="O608" s="33"/>
      <c r="P608" s="33"/>
      <c r="Q608" s="13"/>
      <c r="R608" s="13"/>
      <c r="S608" s="13"/>
      <c r="T608" s="13"/>
      <c r="U608" s="13"/>
      <c r="V608" s="13"/>
      <c r="W608" s="33"/>
      <c r="X608" s="33"/>
      <c r="Y608" s="33"/>
      <c r="Z608" s="33"/>
      <c r="AA608" s="33"/>
      <c r="AB608" s="33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  <c r="BW608" s="32"/>
      <c r="BX608" s="32"/>
      <c r="BY608" s="32"/>
      <c r="BZ608" s="32"/>
      <c r="CA608" s="32"/>
      <c r="CB608" s="32"/>
      <c r="CC608" s="32"/>
      <c r="CD608" s="32"/>
      <c r="CE608" s="32"/>
    </row>
    <row r="609" spans="2:83" s="30" customFormat="1">
      <c r="B609" s="32"/>
      <c r="C609" s="32"/>
      <c r="D609" s="32"/>
      <c r="E609" s="32"/>
      <c r="F609" s="32"/>
      <c r="G609" s="36"/>
      <c r="H609" s="32"/>
      <c r="I609" s="37"/>
      <c r="J609" s="32"/>
      <c r="K609" s="32"/>
      <c r="L609" s="32"/>
      <c r="M609" s="32"/>
      <c r="N609" s="33"/>
      <c r="O609" s="33"/>
      <c r="P609" s="33"/>
      <c r="Q609" s="13"/>
      <c r="R609" s="13"/>
      <c r="S609" s="13"/>
      <c r="T609" s="13"/>
      <c r="U609" s="13"/>
      <c r="V609" s="13"/>
      <c r="W609" s="33"/>
      <c r="X609" s="33"/>
      <c r="Y609" s="33"/>
      <c r="Z609" s="33"/>
      <c r="AA609" s="33"/>
      <c r="AB609" s="33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  <c r="BW609" s="32"/>
      <c r="BX609" s="32"/>
      <c r="BY609" s="32"/>
      <c r="BZ609" s="32"/>
      <c r="CA609" s="32"/>
      <c r="CB609" s="32"/>
      <c r="CC609" s="32"/>
      <c r="CD609" s="32"/>
      <c r="CE609" s="32"/>
    </row>
    <row r="610" spans="2:83" s="30" customFormat="1">
      <c r="B610" s="32"/>
      <c r="C610" s="32"/>
      <c r="D610" s="32"/>
      <c r="E610" s="32"/>
      <c r="F610" s="32"/>
      <c r="G610" s="36"/>
      <c r="H610" s="32"/>
      <c r="I610" s="37"/>
      <c r="J610" s="32"/>
      <c r="K610" s="32"/>
      <c r="L610" s="32"/>
      <c r="M610" s="32"/>
      <c r="N610" s="33"/>
      <c r="O610" s="33"/>
      <c r="P610" s="33"/>
      <c r="Q610" s="13"/>
      <c r="R610" s="13"/>
      <c r="S610" s="13"/>
      <c r="T610" s="13"/>
      <c r="U610" s="13"/>
      <c r="V610" s="13"/>
      <c r="W610" s="33"/>
      <c r="X610" s="33"/>
      <c r="Y610" s="33"/>
      <c r="Z610" s="33"/>
      <c r="AA610" s="33"/>
      <c r="AB610" s="33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  <c r="BW610" s="32"/>
      <c r="BX610" s="32"/>
      <c r="BY610" s="32"/>
      <c r="BZ610" s="32"/>
      <c r="CA610" s="32"/>
      <c r="CB610" s="32"/>
      <c r="CC610" s="32"/>
      <c r="CD610" s="32"/>
      <c r="CE610" s="32"/>
    </row>
    <row r="1048576" spans="1:82">
      <c r="A1048576" s="20" t="str">
        <f t="shared" ref="A1048576" si="119">CONCATENATE(B1048576,"-",G1048576)</f>
        <v>-</v>
      </c>
      <c r="I1048576" s="25"/>
      <c r="AX1048576" s="21"/>
      <c r="CD1048576" s="28"/>
    </row>
  </sheetData>
  <autoFilter ref="B6:CE52">
    <sortState ref="B7:CE34">
      <sortCondition ref="B6"/>
    </sortState>
  </autoFilter>
  <mergeCells count="70">
    <mergeCell ref="CZ4:CZ5"/>
    <mergeCell ref="DA4:DA5"/>
    <mergeCell ref="DB4:DB5"/>
    <mergeCell ref="DC4:DC5"/>
    <mergeCell ref="CU4:CU5"/>
    <mergeCell ref="CV4:CV5"/>
    <mergeCell ref="CW4:CW5"/>
    <mergeCell ref="CX4:CX5"/>
    <mergeCell ref="CY4:CY5"/>
    <mergeCell ref="CF3:DC3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B3:CB4"/>
    <mergeCell ref="CC3:CC4"/>
    <mergeCell ref="CD3:CD4"/>
    <mergeCell ref="CE3:CE4"/>
    <mergeCell ref="B3:B4"/>
    <mergeCell ref="J3:J4"/>
    <mergeCell ref="L3:L4"/>
    <mergeCell ref="M3:M4"/>
    <mergeCell ref="G3:G4"/>
    <mergeCell ref="I3:I4"/>
    <mergeCell ref="C3:C4"/>
    <mergeCell ref="H3:H4"/>
    <mergeCell ref="K3:K4"/>
    <mergeCell ref="BR3:BR4"/>
    <mergeCell ref="AE4:AF4"/>
    <mergeCell ref="AG3:AH3"/>
    <mergeCell ref="A3:A4"/>
    <mergeCell ref="BS3:BS4"/>
    <mergeCell ref="BP3:BP4"/>
    <mergeCell ref="BZ3:BZ4"/>
    <mergeCell ref="CA3:CA4"/>
    <mergeCell ref="BQ3:BQ4"/>
    <mergeCell ref="BT3:BT4"/>
    <mergeCell ref="BV3:BV4"/>
    <mergeCell ref="BY3:BY4"/>
    <mergeCell ref="D3:F4"/>
    <mergeCell ref="T3:T4"/>
    <mergeCell ref="U3:V3"/>
    <mergeCell ref="AB3:AB4"/>
    <mergeCell ref="AC3:AD3"/>
    <mergeCell ref="AC4:AD4"/>
    <mergeCell ref="AE3:AF3"/>
    <mergeCell ref="AG4:AH4"/>
    <mergeCell ref="AX3:AZ3"/>
    <mergeCell ref="BA3:BC3"/>
    <mergeCell ref="BD3:BF3"/>
    <mergeCell ref="BU3:BU4"/>
    <mergeCell ref="BW3:BW4"/>
    <mergeCell ref="BX3:BX4"/>
    <mergeCell ref="BG3:BI3"/>
    <mergeCell ref="BJ3:BJ4"/>
    <mergeCell ref="BK3:BK4"/>
    <mergeCell ref="BL3:BM3"/>
    <mergeCell ref="BO3:BO4"/>
    <mergeCell ref="BN3:BN4"/>
  </mergeCells>
  <pageMargins left="0.11810000000000002" right="0" top="0.45320000000000005" bottom="0.29570000000000002" header="0.15750000000000003" footer="0"/>
  <pageSetup paperSize="9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2"/>
  <sheetViews>
    <sheetView zoomScale="90" zoomScaleNormal="90" workbookViewId="0">
      <selection activeCell="J13" sqref="J13"/>
    </sheetView>
  </sheetViews>
  <sheetFormatPr defaultColWidth="9.140625" defaultRowHeight="12.75"/>
  <cols>
    <col min="1" max="1" width="3.7109375" style="1" bestFit="1" customWidth="1"/>
    <col min="2" max="2" width="16" style="1" customWidth="1"/>
    <col min="3" max="5" width="12" style="1" bestFit="1" customWidth="1"/>
    <col min="6" max="16384" width="9.140625" style="1"/>
  </cols>
  <sheetData>
    <row r="2" spans="1:5" ht="13.5" thickBot="1"/>
    <row r="3" spans="1:5">
      <c r="A3" s="93" t="s">
        <v>0</v>
      </c>
      <c r="B3" s="95" t="s">
        <v>1</v>
      </c>
      <c r="C3" s="97" t="s">
        <v>2</v>
      </c>
      <c r="D3" s="97"/>
      <c r="E3" s="98"/>
    </row>
    <row r="4" spans="1:5">
      <c r="A4" s="94"/>
      <c r="B4" s="96"/>
      <c r="C4" s="2" t="s">
        <v>67</v>
      </c>
      <c r="D4" s="2" t="s">
        <v>125</v>
      </c>
      <c r="E4" s="3" t="s">
        <v>131</v>
      </c>
    </row>
    <row r="5" spans="1:5">
      <c r="A5" s="88">
        <v>1</v>
      </c>
      <c r="B5" s="99" t="s">
        <v>3</v>
      </c>
      <c r="C5" s="101" t="s">
        <v>4</v>
      </c>
      <c r="D5" s="101" t="s">
        <v>5</v>
      </c>
      <c r="E5" s="103" t="s">
        <v>4</v>
      </c>
    </row>
    <row r="6" spans="1:5">
      <c r="A6" s="88"/>
      <c r="B6" s="100"/>
      <c r="C6" s="102"/>
      <c r="D6" s="102"/>
      <c r="E6" s="104"/>
    </row>
    <row r="7" spans="1:5">
      <c r="A7" s="88">
        <v>2</v>
      </c>
      <c r="B7" s="105" t="s">
        <v>6</v>
      </c>
      <c r="C7" s="106" t="s">
        <v>7</v>
      </c>
      <c r="D7" s="108" t="s">
        <v>5</v>
      </c>
      <c r="E7" s="110" t="s">
        <v>5</v>
      </c>
    </row>
    <row r="8" spans="1:5">
      <c r="A8" s="88"/>
      <c r="B8" s="100"/>
      <c r="C8" s="102"/>
      <c r="D8" s="109"/>
      <c r="E8" s="111"/>
    </row>
    <row r="9" spans="1:5">
      <c r="A9" s="88">
        <v>3</v>
      </c>
      <c r="B9" s="105" t="s">
        <v>8</v>
      </c>
      <c r="C9" s="106" t="s">
        <v>9</v>
      </c>
      <c r="D9" s="106" t="s">
        <v>10</v>
      </c>
      <c r="E9" s="107" t="s">
        <v>11</v>
      </c>
    </row>
    <row r="10" spans="1:5">
      <c r="A10" s="88"/>
      <c r="B10" s="100"/>
      <c r="C10" s="102"/>
      <c r="D10" s="102"/>
      <c r="E10" s="104"/>
    </row>
    <row r="11" spans="1:5">
      <c r="A11" s="88">
        <v>4</v>
      </c>
      <c r="B11" s="105" t="s">
        <v>12</v>
      </c>
      <c r="C11" s="106" t="s">
        <v>13</v>
      </c>
      <c r="D11" s="106" t="s">
        <v>14</v>
      </c>
      <c r="E11" s="107" t="s">
        <v>15</v>
      </c>
    </row>
    <row r="12" spans="1:5">
      <c r="A12" s="88"/>
      <c r="B12" s="100"/>
      <c r="C12" s="102"/>
      <c r="D12" s="102"/>
      <c r="E12" s="104"/>
    </row>
    <row r="13" spans="1:5">
      <c r="A13" s="88">
        <v>5</v>
      </c>
      <c r="B13" s="105" t="s">
        <v>16</v>
      </c>
      <c r="C13" s="106" t="s">
        <v>13</v>
      </c>
      <c r="D13" s="106" t="s">
        <v>17</v>
      </c>
      <c r="E13" s="107" t="s">
        <v>18</v>
      </c>
    </row>
    <row r="14" spans="1:5">
      <c r="A14" s="88"/>
      <c r="B14" s="100"/>
      <c r="C14" s="102"/>
      <c r="D14" s="102"/>
      <c r="E14" s="104"/>
    </row>
    <row r="15" spans="1:5">
      <c r="A15" s="88">
        <v>6</v>
      </c>
      <c r="B15" s="105" t="s">
        <v>19</v>
      </c>
      <c r="C15" s="106" t="s">
        <v>20</v>
      </c>
      <c r="D15" s="108" t="s">
        <v>5</v>
      </c>
      <c r="E15" s="107" t="s">
        <v>21</v>
      </c>
    </row>
    <row r="16" spans="1:5">
      <c r="A16" s="88"/>
      <c r="B16" s="100"/>
      <c r="C16" s="102"/>
      <c r="D16" s="109"/>
      <c r="E16" s="104"/>
    </row>
    <row r="17" spans="1:5">
      <c r="A17" s="88">
        <v>7</v>
      </c>
      <c r="B17" s="105" t="s">
        <v>22</v>
      </c>
      <c r="C17" s="106" t="s">
        <v>23</v>
      </c>
      <c r="D17" s="106" t="s">
        <v>24</v>
      </c>
      <c r="E17" s="107" t="s">
        <v>25</v>
      </c>
    </row>
    <row r="18" spans="1:5">
      <c r="A18" s="88"/>
      <c r="B18" s="100"/>
      <c r="C18" s="102"/>
      <c r="D18" s="102"/>
      <c r="E18" s="104"/>
    </row>
    <row r="19" spans="1:5">
      <c r="A19" s="88">
        <v>8</v>
      </c>
      <c r="B19" s="105" t="s">
        <v>26</v>
      </c>
      <c r="C19" s="106" t="s">
        <v>27</v>
      </c>
      <c r="D19" s="114" t="s">
        <v>5</v>
      </c>
      <c r="E19" s="107" t="s">
        <v>21</v>
      </c>
    </row>
    <row r="20" spans="1:5">
      <c r="A20" s="88"/>
      <c r="B20" s="100"/>
      <c r="C20" s="102"/>
      <c r="D20" s="115"/>
      <c r="E20" s="104"/>
    </row>
    <row r="21" spans="1:5">
      <c r="A21" s="88">
        <v>9</v>
      </c>
      <c r="B21" s="105" t="s">
        <v>28</v>
      </c>
      <c r="C21" s="106" t="s">
        <v>29</v>
      </c>
      <c r="D21" s="108" t="s">
        <v>5</v>
      </c>
      <c r="E21" s="112" t="s">
        <v>21</v>
      </c>
    </row>
    <row r="22" spans="1:5">
      <c r="A22" s="88"/>
      <c r="B22" s="100"/>
      <c r="C22" s="102"/>
      <c r="D22" s="109"/>
      <c r="E22" s="113"/>
    </row>
    <row r="23" spans="1:5">
      <c r="A23" s="88">
        <v>10</v>
      </c>
      <c r="B23" s="105" t="s">
        <v>30</v>
      </c>
      <c r="C23" s="106" t="s">
        <v>31</v>
      </c>
      <c r="D23" s="106" t="s">
        <v>32</v>
      </c>
      <c r="E23" s="107" t="s">
        <v>33</v>
      </c>
    </row>
    <row r="24" spans="1:5">
      <c r="A24" s="88"/>
      <c r="B24" s="100"/>
      <c r="C24" s="102"/>
      <c r="D24" s="102"/>
      <c r="E24" s="104"/>
    </row>
    <row r="25" spans="1:5">
      <c r="A25" s="88">
        <v>11</v>
      </c>
      <c r="B25" s="89" t="s">
        <v>22</v>
      </c>
      <c r="C25" s="90" t="s">
        <v>23</v>
      </c>
      <c r="D25" s="90" t="s">
        <v>24</v>
      </c>
      <c r="E25" s="91" t="s">
        <v>25</v>
      </c>
    </row>
    <row r="26" spans="1:5">
      <c r="A26" s="88"/>
      <c r="B26" s="89"/>
      <c r="C26" s="90"/>
      <c r="D26" s="90"/>
      <c r="E26" s="91"/>
    </row>
    <row r="27" spans="1:5">
      <c r="A27" s="88">
        <v>12</v>
      </c>
      <c r="B27" s="89" t="s">
        <v>34</v>
      </c>
      <c r="C27" s="90" t="s">
        <v>27</v>
      </c>
      <c r="D27" s="92" t="s">
        <v>5</v>
      </c>
      <c r="E27" s="91" t="s">
        <v>21</v>
      </c>
    </row>
    <row r="28" spans="1:5">
      <c r="A28" s="88"/>
      <c r="B28" s="89"/>
      <c r="C28" s="90"/>
      <c r="D28" s="92"/>
      <c r="E28" s="91"/>
    </row>
    <row r="29" spans="1:5">
      <c r="A29" s="88">
        <v>13</v>
      </c>
      <c r="B29" s="89" t="s">
        <v>266</v>
      </c>
      <c r="C29" s="90" t="s">
        <v>264</v>
      </c>
      <c r="D29" s="90" t="s">
        <v>264</v>
      </c>
      <c r="E29" s="91" t="s">
        <v>265</v>
      </c>
    </row>
    <row r="30" spans="1:5">
      <c r="A30" s="88"/>
      <c r="B30" s="89"/>
      <c r="C30" s="90"/>
      <c r="D30" s="90"/>
      <c r="E30" s="91"/>
    </row>
    <row r="31" spans="1:5">
      <c r="A31" s="88">
        <v>14</v>
      </c>
      <c r="B31" s="89" t="s">
        <v>267</v>
      </c>
      <c r="C31" s="90" t="s">
        <v>268</v>
      </c>
      <c r="D31" s="90" t="s">
        <v>269</v>
      </c>
      <c r="E31" s="107" t="s">
        <v>269</v>
      </c>
    </row>
    <row r="32" spans="1:5">
      <c r="A32" s="88"/>
      <c r="B32" s="89"/>
      <c r="C32" s="90"/>
      <c r="D32" s="90"/>
      <c r="E32" s="104"/>
    </row>
  </sheetData>
  <mergeCells count="73">
    <mergeCell ref="A31:A32"/>
    <mergeCell ref="B31:B32"/>
    <mergeCell ref="C31:C32"/>
    <mergeCell ref="D31:D32"/>
    <mergeCell ref="E31:E32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3:A4"/>
    <mergeCell ref="B3:B4"/>
    <mergeCell ref="C3:E3"/>
    <mergeCell ref="A5:A6"/>
    <mergeCell ref="B5:B6"/>
    <mergeCell ref="C5:C6"/>
    <mergeCell ref="D5:D6"/>
    <mergeCell ref="E5:E6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1</vt:lpstr>
      <vt:lpstr>Material Base On TSM</vt:lpstr>
      <vt:lpstr>'Master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HERI14</dc:creator>
  <cp:lastModifiedBy>Adriyant Helmi Prasetyo</cp:lastModifiedBy>
  <cp:lastPrinted>2024-10-18T10:01:51Z</cp:lastPrinted>
  <dcterms:created xsi:type="dcterms:W3CDTF">2016-01-08T09:11:25Z</dcterms:created>
  <dcterms:modified xsi:type="dcterms:W3CDTF">2026-04-08T01:26:49Z</dcterms:modified>
</cp:coreProperties>
</file>