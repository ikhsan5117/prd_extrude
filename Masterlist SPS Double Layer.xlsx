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Parameter Setting" sheetId="2" r:id="rId1"/>
    <sheet name="Print" sheetId="3" r:id="rId2"/>
    <sheet name="Material Base On TSM" sheetId="1" r:id="rId3"/>
  </sheets>
  <definedNames>
    <definedName name="_xlnm._FilterDatabase" localSheetId="0" hidden="1">'Parameter Setting'!$A$6:$AX$71</definedName>
    <definedName name="_xlnm.Print_Area" localSheetId="0">'Parameter Setting'!$B$1:$AP$2</definedName>
    <definedName name="_xlnm.Print_Area" localSheetId="1">Print!$A$1:$AY$44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<sst xmlns="http://schemas.openxmlformats.org/spreadsheetml/2006/main" count="4871" uniqueCount="760">
  <si>
    <t>NON-CHS Single/Double Layer Parameter Setting</t>
  </si>
  <si>
    <t>ID</t>
  </si>
  <si>
    <t>No</t>
  </si>
  <si>
    <t>Machine</t>
  </si>
  <si>
    <t>No. Document</t>
  </si>
  <si>
    <t>No. Rev.</t>
  </si>
  <si>
    <t>Customer</t>
  </si>
  <si>
    <t>Revision Date</t>
  </si>
  <si>
    <t>Formulasi</t>
  </si>
  <si>
    <t>Hose Type</t>
  </si>
  <si>
    <t>Dimensi</t>
  </si>
  <si>
    <t>Material</t>
  </si>
  <si>
    <t>Inner</t>
  </si>
  <si>
    <t>Outer</t>
  </si>
  <si>
    <t>Use limits of the material</t>
  </si>
  <si>
    <t>Nipple</t>
  </si>
  <si>
    <t>Tube Die</t>
  </si>
  <si>
    <t>Cover Die</t>
  </si>
  <si>
    <t>Mesh screen</t>
  </si>
  <si>
    <t>Head Temp.</t>
  </si>
  <si>
    <t>Cylinder 1</t>
  </si>
  <si>
    <t>Cylinder 2</t>
  </si>
  <si>
    <t>FEED</t>
  </si>
  <si>
    <t>Screw Temp.</t>
  </si>
  <si>
    <t>Screw Speed</t>
  </si>
  <si>
    <t>Pressure</t>
  </si>
  <si>
    <t>Am meter</t>
  </si>
  <si>
    <t>OD sensor</t>
  </si>
  <si>
    <t>Marking Sort</t>
  </si>
  <si>
    <t>Text marking mt'l</t>
  </si>
  <si>
    <t>Marking Colour</t>
  </si>
  <si>
    <t>Chiller water temp.</t>
  </si>
  <si>
    <t>Cutting speed</t>
  </si>
  <si>
    <t>Take up conveyor speed</t>
  </si>
  <si>
    <t>± Inner</t>
  </si>
  <si>
    <t>± Outer</t>
  </si>
  <si>
    <t>Tebal Inner</t>
  </si>
  <si>
    <t>Tebal Outer</t>
  </si>
  <si>
    <t>Tebal Total</t>
  </si>
  <si>
    <t>Selisih tebal</t>
  </si>
  <si>
    <t>#tube</t>
  </si>
  <si>
    <t>#cover</t>
  </si>
  <si>
    <t>#Inner</t>
  </si>
  <si>
    <t>#Outer</t>
  </si>
  <si>
    <t>#material</t>
  </si>
  <si>
    <t>#material 1</t>
  </si>
  <si>
    <t>#material 2</t>
  </si>
  <si>
    <t>SPS</t>
  </si>
  <si>
    <t>(Ømm)-(Ømm)</t>
  </si>
  <si>
    <t>TSM</t>
  </si>
  <si>
    <t>compound</t>
  </si>
  <si>
    <t>(Ømm)</t>
  </si>
  <si>
    <t>(mm)</t>
  </si>
  <si>
    <r>
      <rPr>
        <b/>
        <sz val="22"/>
        <color rgb="FFFFFF00"/>
        <rFont val="Calibri"/>
        <charset val="134"/>
        <scheme val="minor"/>
      </rPr>
      <t>(</t>
    </r>
    <r>
      <rPr>
        <sz val="28"/>
        <rFont val="Arial"/>
        <charset val="134"/>
      </rPr>
      <t>◦</t>
    </r>
    <r>
      <rPr>
        <sz val="10"/>
        <rFont val="Arial"/>
        <charset val="134"/>
      </rPr>
      <t>C)</t>
    </r>
  </si>
  <si>
    <t>(rpm)</t>
  </si>
  <si>
    <t>(mpa)</t>
  </si>
  <si>
    <t>A</t>
  </si>
  <si>
    <t>(m/min)</t>
  </si>
  <si>
    <t>EPR PARAMETER</t>
  </si>
  <si>
    <t>EPR DIMENSI</t>
  </si>
  <si>
    <t>ITEM</t>
  </si>
  <si>
    <t>Non-CHS (DL)</t>
  </si>
  <si>
    <t>SOP/PROD/HOSE/SPS/24/10/01</t>
  </si>
  <si>
    <t>PT. TMMIN</t>
  </si>
  <si>
    <t>07-08-17</t>
  </si>
  <si>
    <t>Hose, Breather</t>
  </si>
  <si>
    <t>Ø 3.5 mm × 7.5 mm</t>
  </si>
  <si>
    <t>TSM1649G-1</t>
  </si>
  <si>
    <t>K-1649</t>
  </si>
  <si>
    <t>H-1603</t>
  </si>
  <si>
    <t>From mixing: Within 14 days</t>
  </si>
  <si>
    <t>2-5</t>
  </si>
  <si>
    <t>7.2±0.2</t>
  </si>
  <si>
    <t>5.4±0.1</t>
  </si>
  <si>
    <t>Ø96, #40</t>
  </si>
  <si>
    <t>85±5</t>
  </si>
  <si>
    <t>65±5</t>
  </si>
  <si>
    <t>75±5</t>
  </si>
  <si>
    <t>60±5</t>
  </si>
  <si>
    <t>-</t>
  </si>
  <si>
    <t>39.2±3</t>
  </si>
  <si>
    <t>30.6±3</t>
  </si>
  <si>
    <t>15.3±3</t>
  </si>
  <si>
    <t>7.1±2</t>
  </si>
  <si>
    <t>7.3±0.1</t>
  </si>
  <si>
    <t>Roll</t>
  </si>
  <si>
    <r>
      <rPr>
        <sz val="20"/>
        <color theme="0"/>
        <rFont val="Calibri"/>
        <charset val="134"/>
        <scheme val="minor"/>
      </rPr>
      <t xml:space="preserve">IP &gt;CSM, </t>
    </r>
    <r>
      <rPr>
        <u/>
        <sz val="10"/>
        <color theme="0"/>
        <rFont val="Arial"/>
        <charset val="134"/>
      </rPr>
      <t>GECO</t>
    </r>
    <r>
      <rPr>
        <sz val="10"/>
        <color theme="0"/>
        <rFont val="Arial"/>
        <charset val="134"/>
      </rPr>
      <t>&lt; DATE</t>
    </r>
  </si>
  <si>
    <t>Hijau</t>
  </si>
  <si>
    <r>
      <rPr>
        <sz val="20"/>
        <color theme="0"/>
        <rFont val="Calibri"/>
        <charset val="134"/>
        <scheme val="minor"/>
      </rPr>
      <t xml:space="preserve">Max. 15 </t>
    </r>
    <r>
      <rPr>
        <sz val="10"/>
        <color theme="0"/>
        <rFont val="Arial"/>
        <charset val="134"/>
      </rPr>
      <t>°C</t>
    </r>
  </si>
  <si>
    <t>5.0±0.2</t>
  </si>
  <si>
    <t>3.4±0.1</t>
  </si>
  <si>
    <t>1.8±0.1</t>
  </si>
  <si>
    <t>0.10±0.02</t>
  </si>
  <si>
    <t>1.9±0.1</t>
  </si>
  <si>
    <t>0.20±0.02</t>
  </si>
  <si>
    <t>SOP/PROD/HOSE/EPR/24/10/01</t>
  </si>
  <si>
    <t>SOP/PROD/HOSE/SPS/24/10/02</t>
  </si>
  <si>
    <t>SOP/PROD/HOSE/EPR/24/10/02</t>
  </si>
  <si>
    <t>SOP/PROD/HOSE/SPS/24/10/03</t>
  </si>
  <si>
    <t>SOP/PROD/HOSE/EPR/24/10/03</t>
  </si>
  <si>
    <t>Non-CHS (SL)</t>
  </si>
  <si>
    <t>SOP/PROD/HOSE/SPS/24/10/04</t>
  </si>
  <si>
    <t>TSM1656G-2</t>
  </si>
  <si>
    <t>PE-1755</t>
  </si>
  <si>
    <t>SOP/PROD/HOSE/EPR/24/10/04</t>
  </si>
  <si>
    <t>SOP/PROD/HOSE/SPS/24/10/05</t>
  </si>
  <si>
    <t>PT. HMMI</t>
  </si>
  <si>
    <t>Hose, Vacuum</t>
  </si>
  <si>
    <t>K-1785</t>
  </si>
  <si>
    <t>H-1605</t>
  </si>
  <si>
    <t>5.3±0.2</t>
  </si>
  <si>
    <t>70±5</t>
  </si>
  <si>
    <t>40±5</t>
  </si>
  <si>
    <r>
      <rPr>
        <sz val="20"/>
        <color theme="0"/>
        <rFont val="Calibri"/>
        <charset val="134"/>
        <scheme val="minor"/>
      </rPr>
      <t>27.5</t>
    </r>
    <r>
      <rPr>
        <sz val="10"/>
        <color theme="0"/>
        <rFont val="Arial"/>
        <charset val="134"/>
      </rPr>
      <t>±3</t>
    </r>
  </si>
  <si>
    <t>0.9±0.5</t>
  </si>
  <si>
    <t>8.3±2</t>
  </si>
  <si>
    <t>1.9±0.5</t>
  </si>
  <si>
    <r>
      <rPr>
        <sz val="20"/>
        <color theme="0"/>
        <rFont val="Calibri"/>
        <charset val="134"/>
        <scheme val="minor"/>
      </rPr>
      <t xml:space="preserve">VIN &gt;CSM, </t>
    </r>
    <r>
      <rPr>
        <u/>
        <sz val="10"/>
        <color theme="0"/>
        <rFont val="Arial"/>
        <charset val="134"/>
      </rPr>
      <t>GECO</t>
    </r>
    <r>
      <rPr>
        <sz val="10"/>
        <color theme="0"/>
        <rFont val="Arial"/>
        <charset val="134"/>
      </rPr>
      <t>&lt; DATE</t>
    </r>
  </si>
  <si>
    <t>1.7±0.1</t>
  </si>
  <si>
    <t>SOP/PROD/HOSE/EPR/24/10/05</t>
  </si>
  <si>
    <t>SOP/PROD/HOSE/SPS/24/10/06</t>
  </si>
  <si>
    <t>Hose, Fuel</t>
  </si>
  <si>
    <t>Ø 5.4 mm × 10.4 mm</t>
  </si>
  <si>
    <t>TSM1651G-2</t>
  </si>
  <si>
    <t>N-1715</t>
  </si>
  <si>
    <t>3-6</t>
  </si>
  <si>
    <r>
      <rPr>
        <sz val="20"/>
        <color theme="0"/>
        <rFont val="Calibri"/>
        <charset val="134"/>
        <scheme val="minor"/>
      </rPr>
      <t>11.3</t>
    </r>
    <r>
      <rPr>
        <sz val="10"/>
        <color theme="0"/>
        <rFont val="Arial"/>
        <charset val="134"/>
      </rPr>
      <t>±0.2</t>
    </r>
  </si>
  <si>
    <t>8.4±0.2</t>
  </si>
  <si>
    <t>10.4±3</t>
  </si>
  <si>
    <t>2.2±2</t>
  </si>
  <si>
    <t>10.4±0.1</t>
  </si>
  <si>
    <r>
      <rPr>
        <sz val="20"/>
        <color theme="0"/>
        <rFont val="Calibri"/>
        <charset val="134"/>
        <scheme val="minor"/>
      </rPr>
      <t xml:space="preserve">IP &gt;CSM, </t>
    </r>
    <r>
      <rPr>
        <u/>
        <sz val="10"/>
        <color theme="0"/>
        <rFont val="Arial"/>
        <charset val="134"/>
      </rPr>
      <t>NBR</t>
    </r>
    <r>
      <rPr>
        <sz val="10"/>
        <color theme="0"/>
        <rFont val="Arial"/>
        <charset val="134"/>
      </rPr>
      <t>&lt; DATE</t>
    </r>
  </si>
  <si>
    <t>Kuning</t>
  </si>
  <si>
    <t>5.2±0.1</t>
  </si>
  <si>
    <t>2.3±0.1</t>
  </si>
  <si>
    <t>2.4±0.1</t>
  </si>
  <si>
    <t>SOP/PROD/HOSE/EPR/24/10/06</t>
  </si>
  <si>
    <t>SOP/PROD/HOSE/SPS/24/10/07</t>
  </si>
  <si>
    <t>19-05-17</t>
  </si>
  <si>
    <t>SOP/PROD/HOSE/EPR/24/10/07</t>
  </si>
  <si>
    <t>SOP/PROD/HOSE/SPS/24/10/08</t>
  </si>
  <si>
    <t>PT. ADM</t>
  </si>
  <si>
    <t>DTSM1651G-2</t>
  </si>
  <si>
    <t>N-1718</t>
  </si>
  <si>
    <t>8.5±0.2</t>
  </si>
  <si>
    <t>Ø40, #40</t>
  </si>
  <si>
    <t>80±5</t>
  </si>
  <si>
    <t>6.1±2</t>
  </si>
  <si>
    <t>1.3±0.5</t>
  </si>
  <si>
    <t>12.7±3</t>
  </si>
  <si>
    <t>5.3±2</t>
  </si>
  <si>
    <t>5.3±0.1</t>
  </si>
  <si>
    <t>10.3±0.1</t>
  </si>
  <si>
    <t>SOP/PROD/HOSE/EPR/24/10/08</t>
  </si>
  <si>
    <t>SOP/PROD/HOSE/SPS/24/10/09</t>
  </si>
  <si>
    <t>Ø 7 mm × 12 mm</t>
  </si>
  <si>
    <t>5-8</t>
  </si>
  <si>
    <t>9.5±0.2</t>
  </si>
  <si>
    <t>12±0.1</t>
  </si>
  <si>
    <t>6.8±0.1</t>
  </si>
  <si>
    <t>SOP/PROD/HOSE/EPR/24/10/09</t>
  </si>
  <si>
    <t>SOP/PROD/HOSE/SPS/24/10/10</t>
  </si>
  <si>
    <t>SOP/PROD/HOSE/EPR/24/10/10</t>
  </si>
  <si>
    <t>SOP/PROD/HOSE/SPS/24/10/11</t>
  </si>
  <si>
    <t>Ø 7 mm × 14 mm</t>
  </si>
  <si>
    <r>
      <rPr>
        <sz val="20"/>
        <color theme="0"/>
        <rFont val="Calibri"/>
        <charset val="134"/>
        <scheme val="minor"/>
      </rPr>
      <t>11.7</t>
    </r>
    <r>
      <rPr>
        <sz val="10"/>
        <color theme="0"/>
        <rFont val="Arial"/>
        <charset val="134"/>
      </rPr>
      <t>±0.2</t>
    </r>
  </si>
  <si>
    <t>14±0.1</t>
  </si>
  <si>
    <t>3.3±0.1</t>
  </si>
  <si>
    <t>SOP/PROD/HOSE/EPR/24/10/11</t>
  </si>
  <si>
    <t>SOP/PROD/HOSE/SPS/24/10/12</t>
  </si>
  <si>
    <r>
      <rPr>
        <sz val="20"/>
        <color theme="0"/>
        <rFont val="Calibri"/>
        <charset val="134"/>
        <scheme val="minor"/>
      </rPr>
      <t>11.2</t>
    </r>
    <r>
      <rPr>
        <sz val="10"/>
        <color theme="0"/>
        <rFont val="Arial"/>
        <charset val="134"/>
      </rPr>
      <t>±0.2</t>
    </r>
  </si>
  <si>
    <t>SOP/PROD/HOSE/EPR/24/10/12</t>
  </si>
  <si>
    <t>SOP/PROD/HOSE/SPS/24/10/13</t>
  </si>
  <si>
    <r>
      <rPr>
        <sz val="20"/>
        <color theme="0"/>
        <rFont val="Calibri"/>
        <charset val="134"/>
        <scheme val="minor"/>
      </rPr>
      <t>11</t>
    </r>
    <r>
      <rPr>
        <sz val="10"/>
        <color theme="0"/>
        <rFont val="Arial"/>
        <charset val="134"/>
      </rPr>
      <t>±0.2</t>
    </r>
  </si>
  <si>
    <t>6±2</t>
  </si>
  <si>
    <t>1.5±0.5</t>
  </si>
  <si>
    <t>17.1±3</t>
  </si>
  <si>
    <t>4.7±1</t>
  </si>
  <si>
    <t>13.6±0.1</t>
  </si>
  <si>
    <t>3.2±0.1</t>
  </si>
  <si>
    <t>SOP/PROD/HOSE/EPR/24/10/13</t>
  </si>
  <si>
    <t>SOP/PROD/HOSE/SPS/24/10/14</t>
  </si>
  <si>
    <t>Hose, Reservoir</t>
  </si>
  <si>
    <t>Ø 8.5 mm × 16.6 mm</t>
  </si>
  <si>
    <t>DTSM1650G-1</t>
  </si>
  <si>
    <t>E-1776</t>
  </si>
  <si>
    <t>6-9</t>
  </si>
  <si>
    <r>
      <rPr>
        <sz val="20"/>
        <color theme="0"/>
        <rFont val="Calibri"/>
        <charset val="134"/>
        <scheme val="minor"/>
      </rPr>
      <t>13</t>
    </r>
    <r>
      <rPr>
        <sz val="10"/>
        <color theme="0"/>
        <rFont val="Arial"/>
        <charset val="134"/>
      </rPr>
      <t>±0.2</t>
    </r>
  </si>
  <si>
    <t>17.2±3</t>
  </si>
  <si>
    <t>25.2±3</t>
  </si>
  <si>
    <t>16.4±0.3</t>
  </si>
  <si>
    <t>8.3±0.1</t>
  </si>
  <si>
    <t>15.9±0.1</t>
  </si>
  <si>
    <t>3.7±0.1</t>
  </si>
  <si>
    <t>SOP/PROD/HOSE/EPR/24/10/14</t>
  </si>
  <si>
    <t>SOP/PROD/HOSE/SPS/24/10/15</t>
  </si>
  <si>
    <t>Hose, Clutch</t>
  </si>
  <si>
    <t>Ø 8.5 mm × 17 mm</t>
  </si>
  <si>
    <t>TSM1650G-1</t>
  </si>
  <si>
    <r>
      <rPr>
        <sz val="20"/>
        <color theme="0"/>
        <rFont val="Calibri"/>
        <charset val="134"/>
        <scheme val="minor"/>
      </rPr>
      <t>14</t>
    </r>
    <r>
      <rPr>
        <sz val="10"/>
        <color theme="0"/>
        <rFont val="Arial"/>
        <charset val="134"/>
      </rPr>
      <t>±0.2</t>
    </r>
  </si>
  <si>
    <t>17.5±3</t>
  </si>
  <si>
    <t>14±3</t>
  </si>
  <si>
    <t>16.8±0.1</t>
  </si>
  <si>
    <t>8.4±0.1</t>
  </si>
  <si>
    <t>4.0±0.2</t>
  </si>
  <si>
    <t>SOP/PROD/HOSE/EPR/24/10/15</t>
  </si>
  <si>
    <t>SOP/PROD/HOSE/SPS/24/10/16</t>
  </si>
  <si>
    <t>Hose, Ventilation</t>
  </si>
  <si>
    <t>Ø 9 mm × 17 mm</t>
  </si>
  <si>
    <t>DTSM1670G-1</t>
  </si>
  <si>
    <t>N-1663</t>
  </si>
  <si>
    <r>
      <rPr>
        <sz val="20"/>
        <color theme="0"/>
        <rFont val="Calibri"/>
        <charset val="134"/>
        <scheme val="minor"/>
      </rPr>
      <t>13.3</t>
    </r>
    <r>
      <rPr>
        <sz val="10"/>
        <color theme="0"/>
        <rFont val="Arial"/>
        <charset val="134"/>
      </rPr>
      <t>±0.2</t>
    </r>
  </si>
  <si>
    <r>
      <rPr>
        <sz val="20"/>
        <color theme="0"/>
        <rFont val="Calibri"/>
        <charset val="134"/>
        <scheme val="minor"/>
      </rPr>
      <t>11.5</t>
    </r>
    <r>
      <rPr>
        <sz val="10"/>
        <color theme="0"/>
        <rFont val="Arial"/>
        <charset val="134"/>
      </rPr>
      <t>±0.2</t>
    </r>
  </si>
  <si>
    <t>20.2±3</t>
  </si>
  <si>
    <t>21.3±3</t>
  </si>
  <si>
    <t>17.4±3</t>
  </si>
  <si>
    <t>2.7±0.1</t>
  </si>
  <si>
    <t>16.5±0.3</t>
  </si>
  <si>
    <t>8.6±0.1</t>
  </si>
  <si>
    <t>16.4±0.1</t>
  </si>
  <si>
    <t>3.9±0.1</t>
  </si>
  <si>
    <t>SOP/PROD/HOSE/EPR/24/10/16</t>
  </si>
  <si>
    <t>SOP/PROD/HOSE/SPS/24/10/17</t>
  </si>
  <si>
    <t>TSM1671G-1A</t>
  </si>
  <si>
    <r>
      <rPr>
        <sz val="20"/>
        <color theme="0"/>
        <rFont val="Calibri"/>
        <charset val="134"/>
        <scheme val="minor"/>
      </rPr>
      <t>13.5</t>
    </r>
    <r>
      <rPr>
        <sz val="10"/>
        <color theme="0"/>
        <rFont val="Arial"/>
        <charset val="134"/>
      </rPr>
      <t>±0.2</t>
    </r>
  </si>
  <si>
    <r>
      <rPr>
        <sz val="20"/>
        <color theme="0"/>
        <rFont val="Calibri"/>
        <charset val="134"/>
        <scheme val="minor"/>
      </rPr>
      <t>12</t>
    </r>
    <r>
      <rPr>
        <sz val="10"/>
        <color theme="0"/>
        <rFont val="Arial"/>
        <charset val="134"/>
      </rPr>
      <t>±0.2</t>
    </r>
  </si>
  <si>
    <t>Ø100,#10 #40</t>
  </si>
  <si>
    <t>20±3</t>
  </si>
  <si>
    <t>3.6±3</t>
  </si>
  <si>
    <t>Max 50</t>
  </si>
  <si>
    <t>Max 30</t>
  </si>
  <si>
    <t>15.8±0.3</t>
  </si>
  <si>
    <t>8.0±0.2</t>
  </si>
  <si>
    <t>0.8±0.2</t>
  </si>
  <si>
    <t>15.4±0.1</t>
  </si>
  <si>
    <t>3.5±0.1</t>
  </si>
  <si>
    <t>SOP/PROD/HOSE/EPR/24/10/17</t>
  </si>
  <si>
    <t xml:space="preserve"> </t>
  </si>
  <si>
    <t>SOP/PROD/HOSE/SPS/24/10/18</t>
  </si>
  <si>
    <t>20-05-17</t>
  </si>
  <si>
    <t>Hose, Fuel Tank</t>
  </si>
  <si>
    <t>Ø 13.5 mm × 21.5 mm</t>
  </si>
  <si>
    <t>DTSM1647G-1C</t>
  </si>
  <si>
    <t>N-1733</t>
  </si>
  <si>
    <t>10-14</t>
  </si>
  <si>
    <t>16±0.1</t>
  </si>
  <si>
    <t>20±6</t>
  </si>
  <si>
    <t>22.7±6</t>
  </si>
  <si>
    <t>21.5±0.3</t>
  </si>
  <si>
    <t>IP &gt;NBR-PVC&lt; DATE</t>
  </si>
  <si>
    <t>Putih</t>
  </si>
  <si>
    <t>4.0±1.0</t>
  </si>
  <si>
    <t>2.4±1.0</t>
  </si>
  <si>
    <t>12.5±0.1</t>
  </si>
  <si>
    <t>20.1±0.1</t>
  </si>
  <si>
    <t>3.8±0.1</t>
  </si>
  <si>
    <t>SOP/PROD/HOSE/EPR/24/10/18</t>
  </si>
  <si>
    <t>SOP/PROD/HOSE/SPS/24/10/19</t>
  </si>
  <si>
    <t>EPDM Solid</t>
  </si>
  <si>
    <t>Ø 15 mm × 19 mm</t>
  </si>
  <si>
    <t>DTSM1500G-N708</t>
  </si>
  <si>
    <t>E-1707</t>
  </si>
  <si>
    <t>13-16</t>
  </si>
  <si>
    <r>
      <rPr>
        <sz val="20"/>
        <color theme="0"/>
        <rFont val="Calibri"/>
        <charset val="134"/>
        <scheme val="minor"/>
      </rPr>
      <t>16.7</t>
    </r>
    <r>
      <rPr>
        <sz val="10"/>
        <color theme="0"/>
        <rFont val="Arial"/>
        <charset val="134"/>
      </rPr>
      <t>±0.2</t>
    </r>
  </si>
  <si>
    <t>55±5</t>
  </si>
  <si>
    <t>17.9±3</t>
  </si>
  <si>
    <t>27.4±3</t>
  </si>
  <si>
    <t>19±0.1</t>
  </si>
  <si>
    <t>14.3±0.1</t>
  </si>
  <si>
    <t>17.7±0.1</t>
  </si>
  <si>
    <t>SOP/PROD/HOSE/EPR/24/10/19</t>
  </si>
  <si>
    <t>SOP/PROD/HOSE/SPS/24/10/20</t>
  </si>
  <si>
    <t>Ø 15.5 mm × 19.5 mm</t>
  </si>
  <si>
    <t>TSM1500G-N708</t>
  </si>
  <si>
    <r>
      <rPr>
        <sz val="20"/>
        <color theme="0"/>
        <rFont val="Calibri"/>
        <charset val="134"/>
        <scheme val="minor"/>
      </rPr>
      <t>17.4</t>
    </r>
    <r>
      <rPr>
        <sz val="10"/>
        <color theme="0"/>
        <rFont val="Arial"/>
        <charset val="134"/>
      </rPr>
      <t>±0.2</t>
    </r>
  </si>
  <si>
    <t>18.2±0.3</t>
  </si>
  <si>
    <t>14.8±0.1</t>
  </si>
  <si>
    <t>18.2±0.1</t>
  </si>
  <si>
    <t>SOP/PROD/HOSE/EPR/24/10/20</t>
  </si>
  <si>
    <t>SOP/PROD/HOSE/SPS/24/10/21</t>
  </si>
  <si>
    <t>Ø 15 mm × 22 mm</t>
  </si>
  <si>
    <t>TSM1670G-1B</t>
  </si>
  <si>
    <t>17±0.1</t>
  </si>
  <si>
    <t>15±0.2</t>
  </si>
  <si>
    <t>3.9±1</t>
  </si>
  <si>
    <t>18±3</t>
  </si>
  <si>
    <t>9.1±2</t>
  </si>
  <si>
    <t>20±1</t>
  </si>
  <si>
    <t>20.6±0.1</t>
  </si>
  <si>
    <t>3.3±0.2</t>
  </si>
  <si>
    <t>SOP/PROD/HOSE/EPR/24/10/21</t>
  </si>
  <si>
    <t>SOP/PROD/HOSE/SPS/24/10/22</t>
  </si>
  <si>
    <t>22±0.2</t>
  </si>
  <si>
    <t>SOP/PROD/HOSE/EPR/24/10/22</t>
  </si>
  <si>
    <t>SOP/PROD/HOSE/SPS/24/10/23</t>
  </si>
  <si>
    <t>Ø 17 mm × 20 mm</t>
  </si>
  <si>
    <t>17.4±0.2</t>
  </si>
  <si>
    <t>13.5±3</t>
  </si>
  <si>
    <t>24.2±3</t>
  </si>
  <si>
    <t>20±0.1</t>
  </si>
  <si>
    <t>15.8±0.1</t>
  </si>
  <si>
    <t>19.4±0.1</t>
  </si>
  <si>
    <t>SOP/PROD/HOSE/EPR/24/10/23</t>
  </si>
  <si>
    <t>SOP/PROD/HOSE/SPS/24/10/24</t>
  </si>
  <si>
    <t>Hose, Air</t>
  </si>
  <si>
    <t>Ø 18 mm × 25 mm</t>
  </si>
  <si>
    <t>13.5-16</t>
  </si>
  <si>
    <r>
      <rPr>
        <sz val="20"/>
        <color theme="0"/>
        <rFont val="Calibri"/>
        <charset val="134"/>
        <scheme val="minor"/>
      </rPr>
      <t>20.9</t>
    </r>
    <r>
      <rPr>
        <sz val="10"/>
        <color theme="0"/>
        <rFont val="Arial"/>
        <charset val="134"/>
      </rPr>
      <t>±0.2</t>
    </r>
  </si>
  <si>
    <t>19±0.2</t>
  </si>
  <si>
    <t>25±0.2</t>
  </si>
  <si>
    <t>17.4±0.1</t>
  </si>
  <si>
    <t>23.6±0.1</t>
  </si>
  <si>
    <t>3.1±0.1</t>
  </si>
  <si>
    <t>0.30±0.02</t>
  </si>
  <si>
    <t>SOP/PROD/HOSE/EPR/24/10/24</t>
  </si>
  <si>
    <t>SOP/PROD/HOSE/SPS/24/10/25</t>
  </si>
  <si>
    <t>Ø 23 mm × 27 mm</t>
  </si>
  <si>
    <t>20-27</t>
  </si>
  <si>
    <t>23±0.2</t>
  </si>
  <si>
    <t>18.1±3</t>
  </si>
  <si>
    <t>26.4±3</t>
  </si>
  <si>
    <t>27±0.1</t>
  </si>
  <si>
    <t>21.8±0.1</t>
  </si>
  <si>
    <t>25.2±0.1</t>
  </si>
  <si>
    <t>SOP/PROD/HOSE/EPR/24/10/25</t>
  </si>
  <si>
    <t>SOP/PROD/HOSE/SPS/24/10/26</t>
  </si>
  <si>
    <t>Ø 24.5 mm × 31.5 mm</t>
  </si>
  <si>
    <t>18-24</t>
  </si>
  <si>
    <r>
      <rPr>
        <sz val="20"/>
        <color theme="0"/>
        <rFont val="Calibri"/>
        <charset val="134"/>
        <scheme val="minor"/>
      </rPr>
      <t>27</t>
    </r>
    <r>
      <rPr>
        <sz val="10"/>
        <color theme="0"/>
        <rFont val="Arial"/>
        <charset val="134"/>
      </rPr>
      <t>±0.2</t>
    </r>
  </si>
  <si>
    <t>22.8±0.2</t>
  </si>
  <si>
    <t>31.5±0.2</t>
  </si>
  <si>
    <t>22.7±0.1</t>
  </si>
  <si>
    <t>31.5±0.1</t>
  </si>
  <si>
    <t>SOP/PROD/HOSE/EPR/24/10/26</t>
  </si>
  <si>
    <t>SOP/PROD/HOSE/SPS/24/10/27</t>
  </si>
  <si>
    <t>Ø 34 mm × 42 mm</t>
  </si>
  <si>
    <t>25.8-35.5</t>
  </si>
  <si>
    <t>34.5±0.2</t>
  </si>
  <si>
    <t>28.8±3</t>
  </si>
  <si>
    <t>21.5±3</t>
  </si>
  <si>
    <t>40.2±0.3</t>
  </si>
  <si>
    <t>3.0±0.2</t>
  </si>
  <si>
    <t>1.6±0.2</t>
  </si>
  <si>
    <t>32.8±0.1</t>
  </si>
  <si>
    <t>40.2±0.1</t>
  </si>
  <si>
    <t>SOP/PROD/HOSE/EPR/24/10/27</t>
  </si>
  <si>
    <t>SOP/PROD/HOSE/SPS/24/10/28</t>
  </si>
  <si>
    <t>DTSE7351G-1</t>
  </si>
  <si>
    <t>25-35</t>
  </si>
  <si>
    <t>33±0.2</t>
  </si>
  <si>
    <t>29.2±3</t>
  </si>
  <si>
    <t>31.1±3</t>
  </si>
  <si>
    <t>40.5±0.1</t>
  </si>
  <si>
    <t>3.5±0.2</t>
  </si>
  <si>
    <t>2.5±0.2</t>
  </si>
  <si>
    <t>SOP/PROD/HOSE/EPR/24/10/28</t>
  </si>
  <si>
    <t>SOP/PROD/HOSE/SPS/24/10/29</t>
  </si>
  <si>
    <t>PT. KTB</t>
  </si>
  <si>
    <t>14-07-17</t>
  </si>
  <si>
    <t>Ø 7.5 mm × 14.5 mm</t>
  </si>
  <si>
    <t>PE-1772</t>
  </si>
  <si>
    <t>5-7</t>
  </si>
  <si>
    <t>11.45±0.2</t>
  </si>
  <si>
    <t>12.3±3</t>
  </si>
  <si>
    <t>13±3</t>
  </si>
  <si>
    <t>14.5±0.1</t>
  </si>
  <si>
    <t>VIN &gt;PE&lt; DATE</t>
  </si>
  <si>
    <t>5±0.2</t>
  </si>
  <si>
    <t>7±0.1</t>
  </si>
  <si>
    <t>13.8±0.2</t>
  </si>
  <si>
    <t>SOP/PROD/HOSE/EPR/24/10/29</t>
  </si>
  <si>
    <t>SOP/PROD/HOSE/SPS/24/10/30</t>
  </si>
  <si>
    <t>PT. AHI</t>
  </si>
  <si>
    <t>18-10-17</t>
  </si>
  <si>
    <t>Ø 34 mm × 44 mm</t>
  </si>
  <si>
    <t>TSM1647G-1C</t>
  </si>
  <si>
    <t>N-1728</t>
  </si>
  <si>
    <t>34±0.2</t>
  </si>
  <si>
    <t>31.4±3</t>
  </si>
  <si>
    <t>15.5±3</t>
  </si>
  <si>
    <t>40.6±0.5</t>
  </si>
  <si>
    <t>VIN &gt;NBR-PVC&lt; DATE</t>
  </si>
  <si>
    <t>Biru</t>
  </si>
  <si>
    <t>1.9±0.2</t>
  </si>
  <si>
    <t>31±0.1</t>
  </si>
  <si>
    <t>4.7±0.1</t>
  </si>
  <si>
    <t>SOP/PROD/HOSE/EPR/24/10/30</t>
  </si>
  <si>
    <t>04-07-18</t>
  </si>
  <si>
    <t>37±0.2</t>
  </si>
  <si>
    <t>SOP/PROD/HOSE/SPS/24/10/31</t>
  </si>
  <si>
    <t>10.7±3</t>
  </si>
  <si>
    <t>1.7±3</t>
  </si>
  <si>
    <r>
      <rPr>
        <sz val="20"/>
        <color theme="0"/>
        <rFont val="Calibri"/>
        <charset val="134"/>
        <scheme val="minor"/>
      </rPr>
      <t xml:space="preserve">VIN &gt;CSM, </t>
    </r>
    <r>
      <rPr>
        <u/>
        <sz val="10"/>
        <color theme="0"/>
        <rFont val="Arial"/>
        <charset val="134"/>
      </rPr>
      <t>NBR</t>
    </r>
    <r>
      <rPr>
        <sz val="10"/>
        <color theme="0"/>
        <rFont val="Arial"/>
        <charset val="134"/>
      </rPr>
      <t>&lt; DATE</t>
    </r>
  </si>
  <si>
    <t>SOP/PROD/HOSE/EPR/24/10/31</t>
  </si>
  <si>
    <t>SOP/PROD/HOSE/SPS/24/10/32</t>
  </si>
  <si>
    <t>Ø 9 mm × 14 mm</t>
  </si>
  <si>
    <t>13.6±0.2</t>
  </si>
  <si>
    <t>11.4±0.2</t>
  </si>
  <si>
    <t>10.5±3</t>
  </si>
  <si>
    <t>1.7±1</t>
  </si>
  <si>
    <t>7.4±2</t>
  </si>
  <si>
    <t>13.8±0.3</t>
  </si>
  <si>
    <t>12.7±0.2</t>
  </si>
  <si>
    <t>8.9±0.1</t>
  </si>
  <si>
    <t>13.9±0.1</t>
  </si>
  <si>
    <t>2.5±0.1</t>
  </si>
  <si>
    <t>SOP/PROD/HOSE/EPR/24/10/32</t>
  </si>
  <si>
    <t>SOP/PROD/HOSE/SPS/24/10/33</t>
  </si>
  <si>
    <t>29-11-17</t>
  </si>
  <si>
    <t>34.6±0.2</t>
  </si>
  <si>
    <t>35.5±3</t>
  </si>
  <si>
    <t>42.3±0.2</t>
  </si>
  <si>
    <t>1.8±0.2</t>
  </si>
  <si>
    <t>31.5±0.5</t>
  </si>
  <si>
    <t>SOP/PROD/HOSE/EPR/24/10/33</t>
  </si>
  <si>
    <t>SOP/PROD/HOSE/SPS/24/10/34</t>
  </si>
  <si>
    <t>PT. TMMIN/TGSSI</t>
  </si>
  <si>
    <t>20-12-17</t>
  </si>
  <si>
    <t>11.3±0.2</t>
  </si>
  <si>
    <t>11.5±0.2</t>
  </si>
  <si>
    <t>10,7±3</t>
  </si>
  <si>
    <t>2,2±2</t>
  </si>
  <si>
    <t>12,8±3</t>
  </si>
  <si>
    <t>6,8±3</t>
  </si>
  <si>
    <t>14±0.2</t>
  </si>
  <si>
    <t>0.2±0.1</t>
  </si>
  <si>
    <t>SOP/PROD/HOSE/EPR/24/10/34</t>
  </si>
  <si>
    <t>SOP/PROD/HOSE/SPS/24/10/35</t>
  </si>
  <si>
    <t>PT. TGSSI</t>
  </si>
  <si>
    <t>TSM1648G-3</t>
  </si>
  <si>
    <t>N-1740</t>
  </si>
  <si>
    <t>H-1604</t>
  </si>
  <si>
    <t>15,8±3</t>
  </si>
  <si>
    <t>1,4±1</t>
  </si>
  <si>
    <t>11,4±3</t>
  </si>
  <si>
    <t>6,2±3</t>
  </si>
  <si>
    <t>21.2±0.2</t>
  </si>
  <si>
    <r>
      <rPr>
        <sz val="20"/>
        <color theme="0"/>
        <rFont val="Calibri"/>
        <charset val="134"/>
        <scheme val="minor"/>
      </rPr>
      <t xml:space="preserve">VIN &gt;CSM, </t>
    </r>
    <r>
      <rPr>
        <sz val="10"/>
        <color theme="0"/>
        <rFont val="Arial"/>
        <charset val="134"/>
      </rPr>
      <t>NBR&lt; DATE</t>
    </r>
  </si>
  <si>
    <t>13±0.1</t>
  </si>
  <si>
    <t>21.2±0.3</t>
  </si>
  <si>
    <t>3.6±0.1</t>
  </si>
  <si>
    <t>0.4±0.1</t>
  </si>
  <si>
    <t>4,0±0.1</t>
  </si>
  <si>
    <t>SOP/PROD/HOSE/EPR/24/10/35</t>
  </si>
  <si>
    <t>SOP/PROD/HOSE/SPS/24/10/36</t>
  </si>
  <si>
    <t>23-01-18</t>
  </si>
  <si>
    <t>SOP/PROD/HOSE/EPR/24/10/36</t>
  </si>
  <si>
    <t>21-03-18</t>
  </si>
  <si>
    <t>39.2±20</t>
  </si>
  <si>
    <t>30.6±20</t>
  </si>
  <si>
    <t>6.8±0.2</t>
  </si>
  <si>
    <t>01-10-18</t>
  </si>
  <si>
    <t>35±5</t>
  </si>
  <si>
    <t>31.5±5</t>
  </si>
  <si>
    <t>33.5±0.2</t>
  </si>
  <si>
    <t>31.1±5</t>
  </si>
  <si>
    <t>NA2900</t>
  </si>
  <si>
    <t>SOP/PROD/HOSE/SPS/24/10/37</t>
  </si>
  <si>
    <t>09-10-24</t>
  </si>
  <si>
    <t>Hose, Actuator</t>
  </si>
  <si>
    <t>Ø 3.5 mm × 8.5mm</t>
  </si>
  <si>
    <t>DTSM1649G-1</t>
  </si>
  <si>
    <t>K1649</t>
  </si>
  <si>
    <t>H1603</t>
  </si>
  <si>
    <t>From mixing: Within 3 days</t>
  </si>
  <si>
    <t>7.2±0.1</t>
  </si>
  <si>
    <t>9.4±3</t>
  </si>
  <si>
    <t>1.0±3</t>
  </si>
  <si>
    <t>Max 40</t>
  </si>
  <si>
    <t>8.8±0.2</t>
  </si>
  <si>
    <t>VIN &gt; CSM GECO &lt; DATE</t>
  </si>
  <si>
    <r>
      <rPr>
        <sz val="20"/>
        <color theme="0"/>
        <rFont val="Calibri"/>
        <charset val="134"/>
        <scheme val="minor"/>
      </rPr>
      <t xml:space="preserve">Max. 9 </t>
    </r>
    <r>
      <rPr>
        <sz val="10"/>
        <color theme="0"/>
        <rFont val="Arial"/>
        <charset val="134"/>
      </rPr>
      <t>°C</t>
    </r>
  </si>
  <si>
    <t>4-7</t>
  </si>
  <si>
    <t>8.5±0.1</t>
  </si>
  <si>
    <t>SOP/PROD/HOSE/EPR/24/10/37</t>
  </si>
  <si>
    <t>NA3311, NA3312</t>
  </si>
  <si>
    <t>SOP/ENG/25/02/13</t>
  </si>
  <si>
    <t>PT. ADM &amp; PT. TMMIN</t>
  </si>
  <si>
    <t>19-02-25</t>
  </si>
  <si>
    <t>Ø100, #10</t>
  </si>
  <si>
    <t>Ø100, #40</t>
  </si>
  <si>
    <t>5±2</t>
  </si>
  <si>
    <t>19.5±0.2</t>
  </si>
  <si>
    <t>VIN&gt;CSM, NBR&lt;DATE</t>
  </si>
  <si>
    <t>Merah</t>
  </si>
  <si>
    <t>7±2</t>
  </si>
  <si>
    <t>0.7±0.2</t>
  </si>
  <si>
    <t>2.8±0.1</t>
  </si>
  <si>
    <t>2.9±0.2</t>
  </si>
  <si>
    <t>NA 204, NA 205</t>
  </si>
  <si>
    <t>SOP/PROD/HOSE/SPS/24/12/38</t>
  </si>
  <si>
    <t>16-12-24</t>
  </si>
  <si>
    <t>16.9</t>
  </si>
  <si>
    <t>45±5</t>
  </si>
  <si>
    <t>25±5</t>
  </si>
  <si>
    <t>20.5±0.5</t>
  </si>
  <si>
    <t>EMBOSS</t>
  </si>
  <si>
    <t>VIN&gt;NBR-PVC&lt; DATE</t>
  </si>
  <si>
    <t>5.0±2.0</t>
  </si>
  <si>
    <t>0.6±0.2</t>
  </si>
  <si>
    <t>12.5±0.2</t>
  </si>
  <si>
    <t>SOP/PROD/HOSE/EPR/24/12/38</t>
  </si>
  <si>
    <t>NA-2910</t>
  </si>
  <si>
    <t>SOP/PROD/HOSE/SPS/24/12/39</t>
  </si>
  <si>
    <t>16±0.2</t>
  </si>
  <si>
    <t>SOP/PROD/HOSE/EPR/24/12/39</t>
  </si>
  <si>
    <t>NA-1650, NA-2110</t>
  </si>
  <si>
    <t>22-01-25</t>
  </si>
  <si>
    <r>
      <rPr>
        <sz val="20"/>
        <color theme="0"/>
        <rFont val="Calibri"/>
        <charset val="134"/>
        <scheme val="minor"/>
      </rPr>
      <t>36.9</t>
    </r>
    <r>
      <rPr>
        <sz val="20"/>
        <color theme="0"/>
        <rFont val="Calibri"/>
        <charset val="134"/>
      </rPr>
      <t>±0.2</t>
    </r>
  </si>
  <si>
    <t xml:space="preserve"> -</t>
  </si>
  <si>
    <t>25±10</t>
  </si>
  <si>
    <t>Max 80</t>
  </si>
  <si>
    <t>43.3±0.3</t>
  </si>
  <si>
    <t>3.0±1</t>
  </si>
  <si>
    <r>
      <rPr>
        <sz val="20"/>
        <color theme="0"/>
        <rFont val="Calibri"/>
        <charset val="134"/>
        <scheme val="minor"/>
      </rPr>
      <t>0.3</t>
    </r>
    <r>
      <rPr>
        <sz val="20"/>
        <color theme="0"/>
        <rFont val="Calibri"/>
        <charset val="134"/>
      </rPr>
      <t>±0.2</t>
    </r>
  </si>
  <si>
    <t>4.9 +0,4 / -0,3</t>
  </si>
  <si>
    <t>TA-0570</t>
  </si>
  <si>
    <t>Ø 9.5 mm × 17.5 mm</t>
  </si>
  <si>
    <t>DTSZ0001G</t>
  </si>
  <si>
    <t>13.5±0.2</t>
  </si>
  <si>
    <t>12±0.2</t>
  </si>
  <si>
    <t>IP &gt;CSM, NBR&lt; DATE</t>
  </si>
  <si>
    <t>Max. 15 °C</t>
  </si>
  <si>
    <t>TA-3030</t>
  </si>
  <si>
    <t>21±3</t>
  </si>
  <si>
    <t>3±2</t>
  </si>
  <si>
    <t>16±0.3</t>
  </si>
  <si>
    <t>7.0±2</t>
  </si>
  <si>
    <t>8.8±0.1</t>
  </si>
  <si>
    <t>3.7±0.2</t>
  </si>
  <si>
    <t>SOP/ENG/25/02/14</t>
  </si>
  <si>
    <t>15.2±0.1</t>
  </si>
  <si>
    <t>20.5±0.3</t>
  </si>
  <si>
    <t>3.2±0.2</t>
  </si>
  <si>
    <t>TA-3040</t>
  </si>
  <si>
    <t>PT ASUKA</t>
  </si>
  <si>
    <t>10-07-25</t>
  </si>
  <si>
    <t>Hose Tube Fuel</t>
  </si>
  <si>
    <t>Ø 5.3 mm × 10.3 mm</t>
  </si>
  <si>
    <t>HES B044-10 FT-B2</t>
  </si>
  <si>
    <t>N-1724</t>
  </si>
  <si>
    <t>H-1606</t>
  </si>
  <si>
    <t>6.5±0.1</t>
  </si>
  <si>
    <t>7.5±0.1</t>
  </si>
  <si>
    <t>1.9±1</t>
  </si>
  <si>
    <t>10±0.3</t>
  </si>
  <si>
    <t>Pink</t>
  </si>
  <si>
    <t>7.0±1</t>
  </si>
  <si>
    <t>2.4±0.2</t>
  </si>
  <si>
    <t>5.1±0.1</t>
  </si>
  <si>
    <t>2.1±0.1</t>
  </si>
  <si>
    <t>0.20±0.01</t>
  </si>
  <si>
    <t>FM1450, FM1940</t>
  </si>
  <si>
    <t>9.1±0.2</t>
  </si>
  <si>
    <t>2.2±0.1</t>
  </si>
  <si>
    <r>
      <rPr>
        <sz val="20"/>
        <color theme="0"/>
        <rFont val="Calibri"/>
        <charset val="134"/>
        <scheme val="minor"/>
      </rPr>
      <t xml:space="preserve">13.5 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0.2</t>
    </r>
  </si>
  <si>
    <r>
      <rPr>
        <sz val="20"/>
        <color theme="0"/>
        <rFont val="Calibri"/>
        <charset val="134"/>
        <scheme val="minor"/>
      </rPr>
      <t xml:space="preserve">12 </t>
    </r>
    <r>
      <rPr>
        <sz val="20"/>
        <color theme="0"/>
        <rFont val="Calibri"/>
        <charset val="134"/>
      </rPr>
      <t>±</t>
    </r>
    <r>
      <rPr>
        <sz val="8"/>
        <color theme="0"/>
        <rFont val="Calibri"/>
        <charset val="134"/>
      </rPr>
      <t xml:space="preserve"> </t>
    </r>
    <r>
      <rPr>
        <sz val="20"/>
        <color theme="0"/>
        <rFont val="Calibri"/>
        <charset val="134"/>
        <scheme val="minor"/>
      </rPr>
      <t>0.2</t>
    </r>
  </si>
  <si>
    <t>20.2±5</t>
  </si>
  <si>
    <r>
      <rPr>
        <sz val="20"/>
        <color theme="0"/>
        <rFont val="Calibri"/>
        <charset val="134"/>
        <scheme val="minor"/>
      </rPr>
      <t xml:space="preserve">IP &gt;CSM, </t>
    </r>
    <r>
      <rPr>
        <u/>
        <sz val="20"/>
        <color theme="0"/>
        <rFont val="Calibri"/>
        <charset val="134"/>
        <scheme val="minor"/>
      </rPr>
      <t>NBR</t>
    </r>
    <r>
      <rPr>
        <sz val="20"/>
        <color theme="0"/>
        <rFont val="Calibri"/>
        <charset val="134"/>
        <scheme val="minor"/>
      </rPr>
      <t>&lt; DATE</t>
    </r>
  </si>
  <si>
    <t>3.6±0.2</t>
  </si>
  <si>
    <t>TA166B,NA1600,NA1680,NA2780,TA2990</t>
  </si>
  <si>
    <t>08-11-25</t>
  </si>
  <si>
    <t>50±5</t>
  </si>
  <si>
    <t>30±10</t>
  </si>
  <si>
    <t>40.5±0.5</t>
  </si>
  <si>
    <t>Laser Emboss</t>
  </si>
  <si>
    <t>3.5±2</t>
  </si>
  <si>
    <t>0.4±0.2</t>
  </si>
  <si>
    <t>32.6±0.2</t>
  </si>
  <si>
    <t>4±0.2</t>
  </si>
  <si>
    <t>5±0.3</t>
  </si>
  <si>
    <t>21±8</t>
  </si>
  <si>
    <t>NA1570,TA-3040</t>
  </si>
  <si>
    <t>35.8±0.2</t>
  </si>
  <si>
    <t>25±8</t>
  </si>
  <si>
    <t>41.5±0.5</t>
  </si>
  <si>
    <t>NA1640</t>
  </si>
  <si>
    <t>8.0±2</t>
  </si>
  <si>
    <t xml:space="preserve">PT. ADM </t>
  </si>
  <si>
    <t>15.2±0.2</t>
  </si>
  <si>
    <r>
      <rPr>
        <sz val="20"/>
        <color theme="0"/>
        <rFont val="Calibri"/>
        <charset val="134"/>
        <scheme val="minor"/>
      </rPr>
      <t>21.2</t>
    </r>
    <r>
      <rPr>
        <sz val="10"/>
        <color theme="0"/>
        <rFont val="Arial"/>
        <charset val="134"/>
      </rPr>
      <t>±0.2</t>
    </r>
  </si>
  <si>
    <t>18.2±0.2</t>
  </si>
  <si>
    <t>23±5</t>
  </si>
  <si>
    <t>23.5±0.3</t>
  </si>
  <si>
    <r>
      <rPr>
        <sz val="20"/>
        <color theme="0"/>
        <rFont val="Calibri"/>
        <charset val="134"/>
        <scheme val="minor"/>
      </rPr>
      <t>6.0</t>
    </r>
    <r>
      <rPr>
        <sz val="20"/>
        <color theme="0"/>
        <rFont val="Calibri"/>
        <charset val="134"/>
      </rPr>
      <t>±</t>
    </r>
    <r>
      <rPr>
        <sz val="11"/>
        <color theme="0"/>
        <rFont val="Calibri"/>
        <charset val="134"/>
      </rPr>
      <t>2</t>
    </r>
  </si>
  <si>
    <t>TA-1180,TA1220</t>
  </si>
  <si>
    <t>24-11-25</t>
  </si>
  <si>
    <t>3.4±0.2</t>
  </si>
  <si>
    <t>PT. IAMI</t>
  </si>
  <si>
    <t>28-11-25</t>
  </si>
  <si>
    <t>Hose, Drain Staight</t>
  </si>
  <si>
    <t>E-1690</t>
  </si>
  <si>
    <r>
      <rPr>
        <sz val="20"/>
        <color theme="0"/>
        <rFont val="Calibri"/>
        <charset val="134"/>
        <scheme val="minor"/>
      </rPr>
      <t xml:space="preserve">11.4 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0.2</t>
    </r>
  </si>
  <si>
    <t>5.6±2.5</t>
  </si>
  <si>
    <t>13.3±0.3</t>
  </si>
  <si>
    <t>VIN &gt;EPDM&lt; DATE</t>
  </si>
  <si>
    <t>4.0±2</t>
  </si>
  <si>
    <r>
      <rPr>
        <sz val="20"/>
        <color theme="0"/>
        <rFont val="Calibri"/>
        <charset val="134"/>
        <scheme val="minor"/>
      </rPr>
      <t>0.4</t>
    </r>
    <r>
      <rPr>
        <sz val="20"/>
        <color theme="0"/>
        <rFont val="Calibri"/>
        <charset val="134"/>
      </rPr>
      <t>±0.2</t>
    </r>
  </si>
  <si>
    <t>TA-PM1460</t>
  </si>
  <si>
    <t>SOP/ENG/26/04/10</t>
  </si>
  <si>
    <t>17-12-25</t>
  </si>
  <si>
    <t>Hose, Clutch Reservoir</t>
  </si>
  <si>
    <t>DTSM1650G</t>
  </si>
  <si>
    <t>E-1766</t>
  </si>
  <si>
    <r>
      <rPr>
        <sz val="20"/>
        <color theme="0"/>
        <rFont val="Calibri"/>
        <charset val="134"/>
        <scheme val="minor"/>
      </rPr>
      <t>12.5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0.1</t>
    </r>
  </si>
  <si>
    <t>13.2±0.3</t>
  </si>
  <si>
    <t>16.6±0.2</t>
  </si>
  <si>
    <t>(4±0.2)</t>
  </si>
  <si>
    <t>NA3220, NA3230, NA3240,
NA3250,NA3260</t>
  </si>
  <si>
    <t>14-01-26</t>
  </si>
  <si>
    <t>Hose, Vacuum SL</t>
  </si>
  <si>
    <t>Ø 8.73 mm × 17.5 mm</t>
  </si>
  <si>
    <t>ISD-V01-006Y TYPE 1-B</t>
  </si>
  <si>
    <t>K-1787</t>
  </si>
  <si>
    <t>From mixing: Within     days</t>
  </si>
  <si>
    <r>
      <rPr>
        <sz val="20"/>
        <color theme="0"/>
        <rFont val="Calibri"/>
        <charset val="134"/>
        <scheme val="minor"/>
      </rPr>
      <t>15.3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0.1</t>
    </r>
  </si>
  <si>
    <t>25±2.5</t>
  </si>
  <si>
    <t>19.0±0.2</t>
  </si>
  <si>
    <r>
      <rPr>
        <sz val="20"/>
        <color theme="0"/>
        <rFont val="Calibri"/>
        <charset val="134"/>
        <scheme val="minor"/>
      </rPr>
      <t>4.4</t>
    </r>
    <r>
      <rPr>
        <sz val="20"/>
        <color theme="0"/>
        <rFont val="Calibri"/>
        <charset val="134"/>
      </rPr>
      <t>±0.2</t>
    </r>
  </si>
  <si>
    <t>PM1350</t>
  </si>
  <si>
    <t>03-03-26</t>
  </si>
  <si>
    <t>HOSE ASM, S/ Tank</t>
  </si>
  <si>
    <t>ISD-V01-003Y CLASS 1</t>
  </si>
  <si>
    <t>E-1790</t>
  </si>
  <si>
    <t>8.4±2</t>
  </si>
  <si>
    <t>12.0±0.2</t>
  </si>
  <si>
    <t>VIN-WATER&gt;EPDM&lt;DATE</t>
  </si>
  <si>
    <t>4±2</t>
  </si>
  <si>
    <r>
      <rPr>
        <sz val="20"/>
        <color theme="0"/>
        <rFont val="Calibri"/>
        <charset val="134"/>
        <scheme val="minor"/>
      </rPr>
      <t>5.0</t>
    </r>
    <r>
      <rPr>
        <sz val="20"/>
        <color theme="0"/>
        <rFont val="Calibri"/>
        <charset val="134"/>
      </rPr>
      <t>±0.2</t>
    </r>
  </si>
  <si>
    <t>7.1±0.2</t>
  </si>
  <si>
    <t>12.1±0.2</t>
  </si>
  <si>
    <r>
      <rPr>
        <sz val="20"/>
        <color theme="0"/>
        <rFont val="Calibri"/>
        <charset val="134"/>
        <scheme val="minor"/>
      </rPr>
      <t>2.5</t>
    </r>
    <r>
      <rPr>
        <sz val="20"/>
        <color theme="0"/>
        <rFont val="Calibri"/>
        <charset val="134"/>
      </rPr>
      <t>±0.2</t>
    </r>
  </si>
  <si>
    <t>PM1510</t>
  </si>
  <si>
    <t>12-03-26</t>
  </si>
  <si>
    <t>Ø 4.2 mm × 8 mm</t>
  </si>
  <si>
    <t>From mixing: Within 7 days</t>
  </si>
  <si>
    <r>
      <rPr>
        <sz val="20"/>
        <color theme="0"/>
        <rFont val="Calibri"/>
        <charset val="134"/>
        <scheme val="minor"/>
      </rPr>
      <t xml:space="preserve">5.8 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0.1</t>
    </r>
  </si>
  <si>
    <r>
      <rPr>
        <sz val="20"/>
        <color theme="0"/>
        <rFont val="Calibri"/>
        <charset val="134"/>
        <scheme val="minor"/>
      </rPr>
      <t xml:space="preserve">7 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0.1</t>
    </r>
  </si>
  <si>
    <t>4.0±1</t>
  </si>
  <si>
    <t>1.2±0.5</t>
  </si>
  <si>
    <r>
      <rPr>
        <sz val="20"/>
        <color theme="0"/>
        <rFont val="Calibri"/>
        <charset val="134"/>
        <scheme val="minor"/>
      </rPr>
      <t xml:space="preserve">VIN &gt;CSM, </t>
    </r>
    <r>
      <rPr>
        <u/>
        <sz val="20"/>
        <color theme="0"/>
        <rFont val="Calibri"/>
        <charset val="134"/>
        <scheme val="minor"/>
      </rPr>
      <t>NBR</t>
    </r>
    <r>
      <rPr>
        <sz val="20"/>
        <color theme="0"/>
        <rFont val="Calibri"/>
        <charset val="134"/>
        <scheme val="minor"/>
      </rPr>
      <t>&lt; DATE</t>
    </r>
  </si>
  <si>
    <t>6.0±0.2</t>
  </si>
  <si>
    <t>4.1±0.1</t>
  </si>
  <si>
    <t>8±0.1</t>
  </si>
  <si>
    <t>NA2140</t>
  </si>
  <si>
    <t>07-05-26</t>
  </si>
  <si>
    <t>Hose, Fuel (emission)</t>
  </si>
  <si>
    <t>Ø 4.2 mm × 11.2mm</t>
  </si>
  <si>
    <t>DTSE7157G-3</t>
  </si>
  <si>
    <t>10.2  ± 0.2</t>
  </si>
  <si>
    <r>
      <rPr>
        <sz val="20"/>
        <color theme="0"/>
        <rFont val="Calibri"/>
        <charset val="134"/>
        <scheme val="minor"/>
      </rPr>
      <t xml:space="preserve">9.1 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0.2</t>
    </r>
  </si>
  <si>
    <t>14.5±3</t>
  </si>
  <si>
    <t>1.1±0.5</t>
  </si>
  <si>
    <t>10.5+0.1/-0.2</t>
  </si>
  <si>
    <t>5.0±2</t>
  </si>
  <si>
    <t>6.0±2</t>
  </si>
  <si>
    <t>11.2±0.1</t>
  </si>
  <si>
    <t>SOP/PROD/HOSE/EPR/22/10/13</t>
  </si>
  <si>
    <t>NA2120,NA2060</t>
  </si>
  <si>
    <t>Ø 5.4 mm × 12.4 mm</t>
  </si>
  <si>
    <r>
      <t xml:space="preserve">10.8 </t>
    </r>
    <r>
      <rPr>
        <sz val="20"/>
        <color theme="0"/>
        <rFont val="Calibri"/>
        <charset val="134"/>
      </rPr>
      <t>±</t>
    </r>
    <r>
      <rPr>
        <sz val="20"/>
        <color theme="0"/>
        <rFont val="Arial"/>
        <charset val="134"/>
      </rPr>
      <t xml:space="preserve"> </t>
    </r>
    <r>
      <rPr>
        <sz val="20"/>
        <color theme="0"/>
        <rFont val="Calibri"/>
        <charset val="134"/>
        <scheme val="minor"/>
      </rPr>
      <t>0.2</t>
    </r>
  </si>
  <si>
    <t>17±3</t>
  </si>
  <si>
    <t>2.1±1</t>
  </si>
  <si>
    <t>14.0±2</t>
  </si>
  <si>
    <t>5.2±0.2</t>
  </si>
  <si>
    <t>12.4±0.2</t>
  </si>
  <si>
    <t>NA2661</t>
  </si>
  <si>
    <r>
      <rPr>
        <b/>
        <sz val="20"/>
        <rFont val="Calibri"/>
        <charset val="134"/>
        <scheme val="minor"/>
      </rPr>
      <t>(</t>
    </r>
    <r>
      <rPr>
        <sz val="20"/>
        <rFont val="Arial"/>
        <charset val="134"/>
      </rPr>
      <t>◦C)</t>
    </r>
  </si>
  <si>
    <r>
      <rPr>
        <sz val="20"/>
        <rFont val="Calibri"/>
        <charset val="134"/>
        <scheme val="minor"/>
      </rPr>
      <t xml:space="preserve">IP &gt;CSM, </t>
    </r>
    <r>
      <rPr>
        <u/>
        <sz val="20"/>
        <rFont val="Arial"/>
        <charset val="134"/>
      </rPr>
      <t>GECO</t>
    </r>
    <r>
      <rPr>
        <sz val="20"/>
        <rFont val="Arial"/>
        <charset val="134"/>
      </rPr>
      <t>&lt; DATE</t>
    </r>
  </si>
  <si>
    <r>
      <rPr>
        <sz val="20"/>
        <rFont val="Calibri"/>
        <charset val="134"/>
        <scheme val="minor"/>
      </rPr>
      <t xml:space="preserve">Max. 15 </t>
    </r>
    <r>
      <rPr>
        <sz val="20"/>
        <rFont val="Arial"/>
        <charset val="134"/>
      </rPr>
      <t>°C</t>
    </r>
  </si>
  <si>
    <t>SOP/PROD/HOSE/EPRD/24/10/01</t>
  </si>
  <si>
    <t>SOP/PROD/HOSE/EPRD/24/10/02</t>
  </si>
  <si>
    <t>SOP/PROD/HOSE/EPRD/24/10/03</t>
  </si>
  <si>
    <t>No. Doc.:</t>
  </si>
  <si>
    <t>SOP/PROD/HOSE/EPRD/24/10/04</t>
  </si>
  <si>
    <r>
      <rPr>
        <sz val="20"/>
        <rFont val="Calibri"/>
        <charset val="134"/>
        <scheme val="minor"/>
      </rPr>
      <t>27.5</t>
    </r>
    <r>
      <rPr>
        <sz val="20"/>
        <rFont val="Arial"/>
        <charset val="134"/>
      </rPr>
      <t>±3</t>
    </r>
  </si>
  <si>
    <r>
      <rPr>
        <sz val="20"/>
        <rFont val="Calibri"/>
        <charset val="134"/>
        <scheme val="minor"/>
      </rPr>
      <t xml:space="preserve">VIN &gt;CSM, </t>
    </r>
    <r>
      <rPr>
        <u/>
        <sz val="20"/>
        <rFont val="Arial"/>
        <charset val="134"/>
      </rPr>
      <t>GECO</t>
    </r>
    <r>
      <rPr>
        <sz val="20"/>
        <rFont val="Arial"/>
        <charset val="134"/>
      </rPr>
      <t>&lt; DATE</t>
    </r>
  </si>
  <si>
    <t>SOP/PROD/HOSE/EPRD/24/10/05</t>
  </si>
  <si>
    <r>
      <rPr>
        <sz val="20"/>
        <rFont val="Calibri"/>
        <charset val="134"/>
        <scheme val="minor"/>
      </rPr>
      <t>11.3</t>
    </r>
    <r>
      <rPr>
        <sz val="20"/>
        <rFont val="Arial"/>
        <charset val="134"/>
      </rPr>
      <t>±0.2</t>
    </r>
  </si>
  <si>
    <r>
      <rPr>
        <sz val="20"/>
        <rFont val="Calibri"/>
        <charset val="134"/>
        <scheme val="minor"/>
      </rPr>
      <t xml:space="preserve">IP &gt;CSM, </t>
    </r>
    <r>
      <rPr>
        <u/>
        <sz val="20"/>
        <rFont val="Arial"/>
        <charset val="134"/>
      </rPr>
      <t>NBR</t>
    </r>
    <r>
      <rPr>
        <sz val="20"/>
        <rFont val="Arial"/>
        <charset val="134"/>
      </rPr>
      <t>&lt; DATE</t>
    </r>
  </si>
  <si>
    <t>SOP/PROD/HOSE/EPRD/24/10/06</t>
  </si>
  <si>
    <t>SOP/PROD/HOSE/EPRD/24/10/07</t>
  </si>
  <si>
    <t>SOP/PROD/HOSE/EPRD/24/10/08</t>
  </si>
  <si>
    <t>SOP/PROD/HOSE/EPRD/24/10/09</t>
  </si>
  <si>
    <t>SOP/PROD/HOSE/EPRD/24/10/10</t>
  </si>
  <si>
    <r>
      <rPr>
        <sz val="20"/>
        <rFont val="Calibri"/>
        <charset val="134"/>
        <scheme val="minor"/>
      </rPr>
      <t>11.7</t>
    </r>
    <r>
      <rPr>
        <sz val="20"/>
        <rFont val="Arial"/>
        <charset val="134"/>
      </rPr>
      <t>±0.2</t>
    </r>
  </si>
  <si>
    <t>SOP/PROD/HOSE/EPRD/24/10/11</t>
  </si>
  <si>
    <r>
      <rPr>
        <sz val="20"/>
        <rFont val="Calibri"/>
        <charset val="134"/>
        <scheme val="minor"/>
      </rPr>
      <t>11.2</t>
    </r>
    <r>
      <rPr>
        <sz val="20"/>
        <rFont val="Arial"/>
        <charset val="134"/>
      </rPr>
      <t>±0.2</t>
    </r>
  </si>
  <si>
    <t>SOP/PROD/HOSE/EPRD/24/10/12</t>
  </si>
  <si>
    <r>
      <rPr>
        <sz val="20"/>
        <rFont val="Calibri"/>
        <charset val="134"/>
        <scheme val="minor"/>
      </rPr>
      <t>11</t>
    </r>
    <r>
      <rPr>
        <sz val="20"/>
        <rFont val="Arial"/>
        <charset val="134"/>
      </rPr>
      <t>±0.2</t>
    </r>
  </si>
  <si>
    <t>SOP/PROD/HOSE/EPRD/24/10/13</t>
  </si>
  <si>
    <r>
      <rPr>
        <sz val="20"/>
        <rFont val="Calibri"/>
        <charset val="134"/>
        <scheme val="minor"/>
      </rPr>
      <t>13</t>
    </r>
    <r>
      <rPr>
        <sz val="20"/>
        <rFont val="Arial"/>
        <charset val="134"/>
      </rPr>
      <t>±0.2</t>
    </r>
  </si>
  <si>
    <t>SOP/PROD/HOSE/EPRD/24/10/14</t>
  </si>
  <si>
    <r>
      <rPr>
        <sz val="20"/>
        <rFont val="Calibri"/>
        <charset val="134"/>
        <scheme val="minor"/>
      </rPr>
      <t>14</t>
    </r>
    <r>
      <rPr>
        <sz val="20"/>
        <rFont val="Arial"/>
        <charset val="134"/>
      </rPr>
      <t>±0.2</t>
    </r>
  </si>
  <si>
    <t>SOP/PROD/HOSE/EPRD/24/10/15</t>
  </si>
  <si>
    <r>
      <rPr>
        <sz val="20"/>
        <rFont val="Calibri"/>
        <charset val="134"/>
        <scheme val="minor"/>
      </rPr>
      <t>13.3</t>
    </r>
    <r>
      <rPr>
        <sz val="20"/>
        <rFont val="Arial"/>
        <charset val="134"/>
      </rPr>
      <t>±0.2</t>
    </r>
  </si>
  <si>
    <r>
      <rPr>
        <sz val="20"/>
        <rFont val="Calibri"/>
        <charset val="134"/>
        <scheme val="minor"/>
      </rPr>
      <t>11.5</t>
    </r>
    <r>
      <rPr>
        <sz val="20"/>
        <rFont val="Arial"/>
        <charset val="134"/>
      </rPr>
      <t>±0.2</t>
    </r>
  </si>
  <si>
    <t>SOP/PROD/HOSE/EPRD/24/10/16</t>
  </si>
  <si>
    <t>6.4±2</t>
  </si>
  <si>
    <t>SOP/PROD/HOSE/EPRD/24/10/17</t>
  </si>
  <si>
    <t>SOP/PROD/HOSE/EPRD/24/10/18</t>
  </si>
  <si>
    <r>
      <rPr>
        <sz val="20"/>
        <rFont val="Calibri"/>
        <charset val="134"/>
        <scheme val="minor"/>
      </rPr>
      <t>16.7</t>
    </r>
    <r>
      <rPr>
        <sz val="20"/>
        <rFont val="Arial"/>
        <charset val="134"/>
      </rPr>
      <t>±0.2</t>
    </r>
  </si>
  <si>
    <t>SOP/PROD/HOSE/EPRD/24/10/19</t>
  </si>
  <si>
    <r>
      <rPr>
        <sz val="20"/>
        <rFont val="Calibri"/>
        <charset val="134"/>
        <scheme val="minor"/>
      </rPr>
      <t>17.4</t>
    </r>
    <r>
      <rPr>
        <sz val="20"/>
        <rFont val="Arial"/>
        <charset val="134"/>
      </rPr>
      <t>±0.2</t>
    </r>
  </si>
  <si>
    <t>SOP/PROD/HOSE/EPRD/24/10/20</t>
  </si>
  <si>
    <t>SOP/PROD/HOSE/EPRD/24/10/21</t>
  </si>
  <si>
    <t>SOP/PROD/HOSE/EPRD/24/10/22</t>
  </si>
  <si>
    <t>SOP/PROD/HOSE/EPRD/24/10/23</t>
  </si>
  <si>
    <r>
      <rPr>
        <sz val="20"/>
        <rFont val="Calibri"/>
        <charset val="134"/>
        <scheme val="minor"/>
      </rPr>
      <t>20.9</t>
    </r>
    <r>
      <rPr>
        <sz val="20"/>
        <rFont val="Arial"/>
        <charset val="134"/>
      </rPr>
      <t>±0.2</t>
    </r>
  </si>
  <si>
    <t>SOP/PROD/HOSE/EPRD/24/10/24</t>
  </si>
  <si>
    <t>SOP/PROD/HOSE/EPRD/24/10/25</t>
  </si>
  <si>
    <r>
      <rPr>
        <sz val="20"/>
        <rFont val="Calibri"/>
        <charset val="134"/>
        <scheme val="minor"/>
      </rPr>
      <t>27</t>
    </r>
    <r>
      <rPr>
        <sz val="20"/>
        <rFont val="Arial"/>
        <charset val="134"/>
      </rPr>
      <t>±0.2</t>
    </r>
  </si>
  <si>
    <t>SOP/PROD/HOSE/EPRD/24/10/26</t>
  </si>
  <si>
    <t>SOP/PROD/HOSE/EPRD/24/10/27</t>
  </si>
  <si>
    <t>SOP/PROD/HOSE/EPRD/24/10/28</t>
  </si>
  <si>
    <t>SOP/PROD/HOSE/EPRD/24/10/29</t>
  </si>
  <si>
    <t>SOP/PROD/HOSE/EPRD/24/10/30</t>
  </si>
  <si>
    <r>
      <rPr>
        <sz val="20"/>
        <rFont val="Calibri"/>
        <charset val="134"/>
        <scheme val="minor"/>
      </rPr>
      <t xml:space="preserve">VIN &gt;CSM, </t>
    </r>
    <r>
      <rPr>
        <u/>
        <sz val="20"/>
        <rFont val="Arial"/>
        <charset val="134"/>
      </rPr>
      <t>NBR</t>
    </r>
    <r>
      <rPr>
        <sz val="20"/>
        <rFont val="Arial"/>
        <charset val="134"/>
      </rPr>
      <t>&lt; DATE</t>
    </r>
  </si>
  <si>
    <t>SOP/PROD/HOSE/EPRD/24/10/31</t>
  </si>
  <si>
    <t>SOP/PROD/HOSE/EPRD/24/10/32</t>
  </si>
  <si>
    <t>SOP/PROD/HOSE/EPRD/24/10/33</t>
  </si>
  <si>
    <t>SOP/PROD/HOSE/EPRD/24/10/34</t>
  </si>
  <si>
    <r>
      <rPr>
        <sz val="20"/>
        <rFont val="Calibri"/>
        <charset val="134"/>
        <scheme val="minor"/>
      </rPr>
      <t xml:space="preserve">VIN &gt;CSM, </t>
    </r>
    <r>
      <rPr>
        <sz val="20"/>
        <rFont val="Arial"/>
        <charset val="134"/>
      </rPr>
      <t>NBR&lt; DATE</t>
    </r>
  </si>
  <si>
    <t>SOP/PROD/HOSE/EPRD/24/10/35</t>
  </si>
  <si>
    <t>SOP/PROD/HOSE/EPRD/24/10/36</t>
  </si>
  <si>
    <t>8.8±0.3</t>
  </si>
  <si>
    <r>
      <rPr>
        <sz val="20"/>
        <rFont val="Calibri"/>
        <charset val="134"/>
        <scheme val="minor"/>
      </rPr>
      <t xml:space="preserve">Max. 9 </t>
    </r>
    <r>
      <rPr>
        <sz val="20"/>
        <rFont val="Arial"/>
        <charset val="134"/>
      </rPr>
      <t>°C</t>
    </r>
  </si>
  <si>
    <t>SOP/PROD/HOSE/EPRD/24/10/37</t>
  </si>
  <si>
    <t>No.</t>
  </si>
  <si>
    <t>Standard</t>
  </si>
  <si>
    <t>Combinasi Compound</t>
  </si>
  <si>
    <t>Compound 1</t>
  </si>
  <si>
    <t>Compound 2</t>
  </si>
  <si>
    <t>Compound 3</t>
  </si>
  <si>
    <t>TSB5501G-1E</t>
  </si>
  <si>
    <t>E1690</t>
  </si>
  <si>
    <t>PE1755</t>
  </si>
  <si>
    <t>TSM1652G-6</t>
  </si>
  <si>
    <t>N1774</t>
  </si>
  <si>
    <t>H1607</t>
  </si>
  <si>
    <t>C1653</t>
  </si>
  <si>
    <t>TSM1652G-6A</t>
  </si>
  <si>
    <t>N1752</t>
  </si>
  <si>
    <t>C1651</t>
  </si>
  <si>
    <t>C1654</t>
  </si>
  <si>
    <t>TSM1652G-7</t>
  </si>
  <si>
    <t>K1652</t>
  </si>
  <si>
    <t>K1653</t>
  </si>
  <si>
    <t>N1715</t>
  </si>
  <si>
    <t>TSM1644G-7</t>
  </si>
  <si>
    <t>N1791</t>
  </si>
  <si>
    <t>N1780</t>
  </si>
  <si>
    <t>K1638</t>
  </si>
  <si>
    <t>N1663</t>
  </si>
  <si>
    <t>K1654</t>
  </si>
  <si>
    <t>TSM1644G-5</t>
  </si>
  <si>
    <t>F1735</t>
  </si>
  <si>
    <t>N1760</t>
  </si>
  <si>
    <t>K1708</t>
  </si>
  <si>
    <t>TSM1670G-1A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</si>
</sst>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$-409]#,##0.00;[Red]&quot;-&quot;[$$-409]#,##0.00"/>
    <numFmt numFmtId="181" formatCode="0;[Red]0"/>
    <numFmt numFmtId="182" formatCode="dd/mm/yyyy;@"/>
    <numFmt numFmtId="183" formatCode="0.0&quot; &quot;;[Red]&quot;(&quot;0.0&quot;)&quot;"/>
    <numFmt numFmtId="184" formatCode="0.0"/>
  </numFmts>
  <fonts count="60">
    <font>
      <sz val="10"/>
      <name val="Arial"/>
      <charset val="134"/>
    </font>
    <font>
      <sz val="10"/>
      <name val="Cambria"/>
      <charset val="134"/>
      <scheme val="major"/>
    </font>
    <font>
      <b/>
      <sz val="10"/>
      <name val="Cambria"/>
      <charset val="134"/>
      <scheme val="major"/>
    </font>
    <font>
      <sz val="9"/>
      <color theme="1"/>
      <name val="Times New Roman"/>
      <charset val="134"/>
    </font>
    <font>
      <sz val="9"/>
      <name val="Times New Roman"/>
      <charset val="134"/>
    </font>
    <font>
      <sz val="11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20"/>
      <color rgb="FFFFFF00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20"/>
      <color theme="0"/>
      <name val="Calibri"/>
      <charset val="134"/>
      <scheme val="minor"/>
    </font>
    <font>
      <sz val="20"/>
      <color theme="0" tint="-0.499984740745262"/>
      <name val="Calibri"/>
      <charset val="134"/>
      <scheme val="minor"/>
    </font>
    <font>
      <sz val="20"/>
      <color rgb="FFFFC0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b/>
      <u/>
      <sz val="36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name val="Calibri"/>
      <charset val="134"/>
      <scheme val="minor"/>
    </font>
    <font>
      <sz val="20"/>
      <name val="Calibri"/>
      <charset val="134"/>
      <scheme val="minor"/>
    </font>
    <font>
      <sz val="20"/>
      <name val="Calibri"/>
      <charset val="134"/>
    </font>
    <font>
      <sz val="10"/>
      <name val="Calibri"/>
      <charset val="134"/>
      <scheme val="minor"/>
    </font>
    <font>
      <sz val="12"/>
      <name val="Calibri"/>
      <charset val="134"/>
      <scheme val="minor"/>
    </font>
    <font>
      <sz val="20"/>
      <color theme="0"/>
      <name val="Calibri"/>
      <charset val="134"/>
    </font>
    <font>
      <b/>
      <u/>
      <sz val="36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22"/>
      <color rgb="FFFFFF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i/>
      <sz val="16"/>
      <color rgb="FF000000"/>
      <name val="Calibri"/>
      <charset val="134"/>
    </font>
    <font>
      <sz val="10"/>
      <color indexed="8"/>
      <name val="ＭＳ Ｐゴシック"/>
      <charset val="134"/>
    </font>
    <font>
      <sz val="11"/>
      <color rgb="FF000000"/>
      <name val="Calibri"/>
      <charset val="134"/>
    </font>
    <font>
      <b/>
      <i/>
      <u/>
      <sz val="11"/>
      <color rgb="FF000000"/>
      <name val="Calibri"/>
      <charset val="134"/>
    </font>
    <font>
      <sz val="10"/>
      <color theme="0"/>
      <name val="Arial"/>
      <charset val="134"/>
    </font>
    <font>
      <sz val="20"/>
      <color theme="0"/>
      <name val="Arial"/>
      <charset val="134"/>
    </font>
    <font>
      <sz val="8"/>
      <color theme="0"/>
      <name val="Calibri"/>
      <charset val="134"/>
    </font>
    <font>
      <u/>
      <sz val="10"/>
      <color theme="0"/>
      <name val="Arial"/>
      <charset val="134"/>
    </font>
    <font>
      <sz val="20"/>
      <name val="Arial"/>
      <charset val="134"/>
    </font>
    <font>
      <sz val="11"/>
      <color theme="0"/>
      <name val="Calibri"/>
      <charset val="134"/>
    </font>
    <font>
      <u/>
      <sz val="20"/>
      <name val="Arial"/>
      <charset val="134"/>
    </font>
    <font>
      <sz val="28"/>
      <name val="Arial"/>
      <charset val="134"/>
    </font>
    <font>
      <u/>
      <sz val="20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176" fontId="26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178" fontId="26" fillId="0" borderId="0" applyFont="0" applyFill="0" applyBorder="0" applyAlignment="0" applyProtection="0">
      <alignment vertical="center"/>
    </xf>
    <xf numFmtId="179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" borderId="24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6" borderId="27" applyNumberFormat="0" applyAlignment="0" applyProtection="0">
      <alignment vertical="center"/>
    </xf>
    <xf numFmtId="0" fontId="36" fillId="7" borderId="28" applyNumberFormat="0" applyAlignment="0" applyProtection="0">
      <alignment vertical="center"/>
    </xf>
    <xf numFmtId="0" fontId="37" fillId="7" borderId="27" applyNumberFormat="0" applyAlignment="0" applyProtection="0">
      <alignment vertical="center"/>
    </xf>
    <xf numFmtId="0" fontId="38" fillId="8" borderId="29" applyNumberFormat="0" applyAlignment="0" applyProtection="0">
      <alignment vertical="center"/>
    </xf>
    <xf numFmtId="0" fontId="39" fillId="0" borderId="30" applyNumberFormat="0" applyFill="0" applyAlignment="0" applyProtection="0">
      <alignment vertical="center"/>
    </xf>
    <xf numFmtId="0" fontId="40" fillId="0" borderId="31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6" fillId="0" borderId="0"/>
    <xf numFmtId="0" fontId="47" fillId="0" borderId="0">
      <alignment horizontal="center"/>
    </xf>
    <xf numFmtId="0" fontId="47" fillId="0" borderId="0">
      <alignment horizontal="center" textRotation="90"/>
    </xf>
    <xf numFmtId="0" fontId="48" fillId="0" borderId="0" applyBorder="0" applyProtection="0">
      <alignment vertical="center"/>
    </xf>
    <xf numFmtId="0" fontId="49" fillId="0" borderId="0"/>
    <xf numFmtId="0" fontId="50" fillId="0" borderId="0"/>
    <xf numFmtId="180" fontId="50" fillId="0" borderId="0"/>
  </cellStyleXfs>
  <cellXfs count="17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6" xfId="0" applyFont="1" applyFill="1" applyBorder="1"/>
    <xf numFmtId="0" fontId="1" fillId="0" borderId="4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0" borderId="0" xfId="53" applyFont="1" applyFill="1" applyBorder="1" applyAlignment="1">
      <alignment vertical="center"/>
    </xf>
    <xf numFmtId="0" fontId="6" fillId="3" borderId="0" xfId="53" applyFont="1" applyFill="1" applyBorder="1"/>
    <xf numFmtId="0" fontId="7" fillId="3" borderId="0" xfId="53" applyFont="1" applyFill="1" applyBorder="1"/>
    <xf numFmtId="0" fontId="8" fillId="3" borderId="0" xfId="53" applyFont="1" applyFill="1" applyBorder="1"/>
    <xf numFmtId="0" fontId="9" fillId="3" borderId="0" xfId="53" applyFont="1" applyFill="1" applyBorder="1"/>
    <xf numFmtId="0" fontId="10" fillId="3" borderId="0" xfId="53" applyFont="1" applyFill="1" applyBorder="1"/>
    <xf numFmtId="0" fontId="11" fillId="3" borderId="0" xfId="53" applyFont="1" applyFill="1" applyBorder="1"/>
    <xf numFmtId="0" fontId="12" fillId="3" borderId="0" xfId="53" applyFont="1" applyFill="1" applyBorder="1"/>
    <xf numFmtId="0" fontId="12" fillId="3" borderId="0" xfId="53" applyFont="1" applyFill="1" applyAlignment="1">
      <alignment horizontal="center"/>
    </xf>
    <xf numFmtId="0" fontId="12" fillId="3" borderId="0" xfId="53" applyFont="1" applyFill="1"/>
    <xf numFmtId="181" fontId="12" fillId="3" borderId="0" xfId="53" applyNumberFormat="1" applyFont="1" applyFill="1" applyAlignment="1">
      <alignment horizontal="center"/>
    </xf>
    <xf numFmtId="182" fontId="12" fillId="3" borderId="0" xfId="53" applyNumberFormat="1" applyFont="1" applyFill="1"/>
    <xf numFmtId="0" fontId="13" fillId="3" borderId="0" xfId="53" applyFont="1" applyFill="1"/>
    <xf numFmtId="183" fontId="14" fillId="3" borderId="0" xfId="53" applyNumberFormat="1" applyFont="1" applyFill="1" applyAlignment="1">
      <alignment horizontal="center"/>
    </xf>
    <xf numFmtId="183" fontId="9" fillId="3" borderId="0" xfId="0" applyNumberFormat="1" applyFont="1" applyFill="1" applyAlignment="1">
      <alignment horizontal="center"/>
    </xf>
    <xf numFmtId="0" fontId="12" fillId="3" borderId="0" xfId="53" applyFont="1" applyFill="1" applyBorder="1" applyAlignment="1">
      <alignment horizontal="center"/>
    </xf>
    <xf numFmtId="0" fontId="15" fillId="0" borderId="0" xfId="53" applyFont="1" applyFill="1" applyBorder="1" applyAlignment="1">
      <alignment horizontal="center" vertical="center"/>
    </xf>
    <xf numFmtId="0" fontId="16" fillId="0" borderId="0" xfId="53" applyFont="1" applyFill="1" applyBorder="1" applyAlignment="1">
      <alignment horizontal="center" vertical="center"/>
    </xf>
    <xf numFmtId="0" fontId="16" fillId="0" borderId="0" xfId="53" applyFont="1" applyFill="1" applyBorder="1" applyAlignment="1">
      <alignment horizontal="left" vertical="center"/>
    </xf>
    <xf numFmtId="0" fontId="17" fillId="0" borderId="11" xfId="53" applyFont="1" applyFill="1" applyBorder="1" applyAlignment="1">
      <alignment horizontal="center" vertical="center"/>
    </xf>
    <xf numFmtId="0" fontId="17" fillId="0" borderId="13" xfId="53" applyFont="1" applyFill="1" applyBorder="1" applyAlignment="1">
      <alignment horizontal="center" vertical="center"/>
    </xf>
    <xf numFmtId="0" fontId="17" fillId="0" borderId="9" xfId="53" applyFont="1" applyFill="1" applyBorder="1" applyAlignment="1">
      <alignment horizontal="center" vertical="center"/>
    </xf>
    <xf numFmtId="0" fontId="17" fillId="0" borderId="14" xfId="53" applyFont="1" applyFill="1" applyBorder="1" applyAlignment="1">
      <alignment horizontal="center" vertical="center"/>
    </xf>
    <xf numFmtId="0" fontId="17" fillId="0" borderId="5" xfId="53" applyFont="1" applyFill="1" applyBorder="1"/>
    <xf numFmtId="0" fontId="17" fillId="0" borderId="5" xfId="53" applyFont="1" applyFill="1" applyBorder="1" applyAlignment="1">
      <alignment horizontal="center" vertical="center"/>
    </xf>
    <xf numFmtId="0" fontId="17" fillId="0" borderId="15" xfId="53" applyFont="1" applyFill="1" applyBorder="1" applyAlignment="1">
      <alignment horizontal="center" vertical="center"/>
    </xf>
    <xf numFmtId="0" fontId="18" fillId="0" borderId="5" xfId="53" applyFont="1" applyFill="1" applyBorder="1"/>
    <xf numFmtId="0" fontId="18" fillId="0" borderId="5" xfId="53" applyFont="1" applyFill="1" applyBorder="1" applyAlignment="1">
      <alignment horizontal="center" vertical="center"/>
    </xf>
    <xf numFmtId="183" fontId="18" fillId="0" borderId="5" xfId="53" applyNumberFormat="1" applyFont="1" applyFill="1" applyBorder="1" applyAlignment="1">
      <alignment horizontal="center" vertical="center"/>
    </xf>
    <xf numFmtId="181" fontId="18" fillId="0" borderId="5" xfId="53" applyNumberFormat="1" applyFont="1" applyFill="1" applyBorder="1" applyAlignment="1">
      <alignment horizontal="center" vertical="center"/>
    </xf>
    <xf numFmtId="183" fontId="18" fillId="0" borderId="5" xfId="53" applyNumberFormat="1" applyFont="1" applyFill="1" applyBorder="1" applyAlignment="1">
      <alignment horizontal="left" vertical="center"/>
    </xf>
    <xf numFmtId="182" fontId="18" fillId="0" borderId="5" xfId="53" applyNumberFormat="1" applyFont="1" applyFill="1" applyBorder="1" applyAlignment="1">
      <alignment horizontal="center" vertical="center"/>
    </xf>
    <xf numFmtId="0" fontId="19" fillId="0" borderId="5" xfId="53" applyFont="1" applyFill="1" applyBorder="1"/>
    <xf numFmtId="0" fontId="18" fillId="0" borderId="5" xfId="53" applyFont="1" applyFill="1" applyBorder="1" applyAlignment="1">
      <alignment horizontal="center"/>
    </xf>
    <xf numFmtId="181" fontId="18" fillId="0" borderId="5" xfId="53" applyNumberFormat="1" applyFont="1" applyFill="1" applyBorder="1" applyAlignment="1">
      <alignment horizontal="center"/>
    </xf>
    <xf numFmtId="182" fontId="18" fillId="0" borderId="11" xfId="53" applyNumberFormat="1" applyFont="1" applyFill="1" applyBorder="1" applyAlignment="1">
      <alignment horizontal="center" vertical="center"/>
    </xf>
    <xf numFmtId="183" fontId="18" fillId="0" borderId="11" xfId="53" applyNumberFormat="1" applyFont="1" applyFill="1" applyBorder="1" applyAlignment="1">
      <alignment horizontal="left" vertical="center"/>
    </xf>
    <xf numFmtId="182" fontId="18" fillId="0" borderId="5" xfId="53" applyNumberFormat="1" applyFont="1" applyFill="1" applyBorder="1"/>
    <xf numFmtId="0" fontId="9" fillId="3" borderId="0" xfId="53" applyFont="1" applyFill="1" applyAlignment="1">
      <alignment horizontal="center"/>
    </xf>
    <xf numFmtId="0" fontId="9" fillId="3" borderId="0" xfId="53" applyFont="1" applyFill="1"/>
    <xf numFmtId="181" fontId="9" fillId="3" borderId="0" xfId="53" applyNumberFormat="1" applyFont="1" applyFill="1" applyAlignment="1">
      <alignment horizontal="center"/>
    </xf>
    <xf numFmtId="182" fontId="9" fillId="3" borderId="0" xfId="53" applyNumberFormat="1" applyFont="1" applyFill="1"/>
    <xf numFmtId="0" fontId="20" fillId="0" borderId="0" xfId="53" applyFont="1" applyFill="1" applyAlignment="1">
      <alignment vertical="center"/>
    </xf>
    <xf numFmtId="183" fontId="21" fillId="0" borderId="0" xfId="53" applyNumberFormat="1" applyFont="1" applyFill="1" applyBorder="1" applyAlignment="1">
      <alignment horizontal="center" vertical="center" wrapText="1"/>
    </xf>
    <xf numFmtId="183" fontId="18" fillId="0" borderId="0" xfId="0" applyNumberFormat="1" applyFont="1" applyFill="1" applyAlignment="1">
      <alignment horizontal="center"/>
    </xf>
    <xf numFmtId="0" fontId="17" fillId="0" borderId="5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/>
    </xf>
    <xf numFmtId="183" fontId="18" fillId="0" borderId="16" xfId="0" applyNumberFormat="1" applyFont="1" applyFill="1" applyBorder="1" applyAlignment="1">
      <alignment horizontal="center" vertical="center"/>
    </xf>
    <xf numFmtId="0" fontId="18" fillId="0" borderId="5" xfId="53" applyFont="1" applyFill="1" applyBorder="1" applyAlignment="1">
      <alignment horizontal="left" vertical="center"/>
    </xf>
    <xf numFmtId="0" fontId="18" fillId="0" borderId="11" xfId="53" applyFont="1" applyFill="1" applyBorder="1"/>
    <xf numFmtId="183" fontId="18" fillId="0" borderId="11" xfId="53" applyNumberFormat="1" applyFont="1" applyFill="1" applyBorder="1" applyAlignment="1">
      <alignment horizontal="center"/>
    </xf>
    <xf numFmtId="183" fontId="18" fillId="0" borderId="17" xfId="0" applyNumberFormat="1" applyFont="1" applyFill="1" applyBorder="1" applyAlignment="1">
      <alignment horizontal="center" vertical="center"/>
    </xf>
    <xf numFmtId="183" fontId="18" fillId="0" borderId="11" xfId="53" applyNumberFormat="1" applyFont="1" applyFill="1" applyBorder="1" applyAlignment="1">
      <alignment horizontal="center" vertical="center"/>
    </xf>
    <xf numFmtId="0" fontId="18" fillId="0" borderId="0" xfId="53" applyFont="1" applyFill="1" applyBorder="1"/>
    <xf numFmtId="183" fontId="18" fillId="0" borderId="5" xfId="53" applyNumberFormat="1" applyFont="1" applyFill="1" applyBorder="1" applyAlignment="1">
      <alignment horizontal="center"/>
    </xf>
    <xf numFmtId="183" fontId="18" fillId="0" borderId="5" xfId="0" applyNumberFormat="1" applyFont="1" applyFill="1" applyBorder="1" applyAlignment="1">
      <alignment horizontal="center" vertical="center"/>
    </xf>
    <xf numFmtId="183" fontId="18" fillId="0" borderId="5" xfId="0" applyNumberFormat="1" applyFont="1" applyFill="1" applyBorder="1" applyAlignment="1">
      <alignment horizontal="center"/>
    </xf>
    <xf numFmtId="183" fontId="9" fillId="3" borderId="0" xfId="53" applyNumberFormat="1" applyFont="1" applyFill="1" applyAlignment="1">
      <alignment horizontal="center"/>
    </xf>
    <xf numFmtId="0" fontId="5" fillId="0" borderId="0" xfId="53" applyFont="1" applyFill="1" applyAlignment="1">
      <alignment vertical="center"/>
    </xf>
    <xf numFmtId="183" fontId="19" fillId="0" borderId="5" xfId="53" applyNumberFormat="1" applyFont="1" applyFill="1" applyBorder="1" applyAlignment="1">
      <alignment horizontal="center" vertical="center"/>
    </xf>
    <xf numFmtId="183" fontId="19" fillId="0" borderId="11" xfId="53" applyNumberFormat="1" applyFont="1" applyFill="1" applyBorder="1" applyAlignment="1">
      <alignment horizontal="center" vertical="center"/>
    </xf>
    <xf numFmtId="0" fontId="18" fillId="0" borderId="11" xfId="53" applyFont="1" applyFill="1" applyBorder="1" applyAlignment="1">
      <alignment horizontal="center" vertical="center"/>
    </xf>
    <xf numFmtId="9" fontId="18" fillId="0" borderId="11" xfId="53" applyNumberFormat="1" applyFont="1" applyFill="1" applyBorder="1" applyAlignment="1">
      <alignment horizontal="center" vertical="center"/>
    </xf>
    <xf numFmtId="9" fontId="18" fillId="0" borderId="5" xfId="53" applyNumberFormat="1" applyFont="1" applyFill="1" applyBorder="1" applyAlignment="1">
      <alignment horizontal="center" vertical="center"/>
    </xf>
    <xf numFmtId="0" fontId="5" fillId="0" borderId="0" xfId="53" applyFont="1" applyFill="1" applyAlignment="1">
      <alignment horizontal="center" vertical="center"/>
    </xf>
    <xf numFmtId="184" fontId="18" fillId="0" borderId="5" xfId="53" applyNumberFormat="1" applyFont="1" applyFill="1" applyBorder="1" applyAlignment="1">
      <alignment horizontal="center" vertical="center"/>
    </xf>
    <xf numFmtId="184" fontId="18" fillId="0" borderId="11" xfId="53" applyNumberFormat="1" applyFont="1" applyFill="1" applyBorder="1" applyAlignment="1">
      <alignment horizontal="center" vertical="center"/>
    </xf>
    <xf numFmtId="0" fontId="5" fillId="0" borderId="0" xfId="53" applyFont="1" applyFill="1" applyBorder="1" applyAlignment="1">
      <alignment horizontal="center" vertical="center"/>
    </xf>
    <xf numFmtId="0" fontId="17" fillId="0" borderId="18" xfId="53" applyFont="1" applyFill="1" applyBorder="1" applyAlignment="1">
      <alignment horizontal="center" vertical="center"/>
    </xf>
    <xf numFmtId="0" fontId="17" fillId="0" borderId="19" xfId="53" applyFont="1" applyFill="1" applyBorder="1" applyAlignment="1">
      <alignment horizontal="center" vertical="center"/>
    </xf>
    <xf numFmtId="0" fontId="17" fillId="0" borderId="7" xfId="53" applyFont="1" applyFill="1" applyBorder="1" applyAlignment="1">
      <alignment horizontal="center" vertical="center"/>
    </xf>
    <xf numFmtId="0" fontId="17" fillId="0" borderId="20" xfId="53" applyFont="1" applyFill="1" applyBorder="1" applyAlignment="1">
      <alignment horizontal="center" vertical="center"/>
    </xf>
    <xf numFmtId="0" fontId="17" fillId="0" borderId="5" xfId="53" applyFont="1" applyFill="1" applyBorder="1" applyAlignment="1">
      <alignment horizontal="center"/>
    </xf>
    <xf numFmtId="0" fontId="18" fillId="0" borderId="15" xfId="53" applyFont="1" applyFill="1" applyBorder="1" applyAlignment="1">
      <alignment horizontal="center" vertical="center"/>
    </xf>
    <xf numFmtId="0" fontId="18" fillId="0" borderId="5" xfId="53" applyFont="1" applyFill="1" applyBorder="1" applyAlignment="1">
      <alignment horizontal="center" wrapText="1"/>
    </xf>
    <xf numFmtId="0" fontId="18" fillId="0" borderId="15" xfId="53" applyFont="1" applyFill="1" applyBorder="1"/>
    <xf numFmtId="0" fontId="9" fillId="3" borderId="5" xfId="53" applyFont="1" applyFill="1" applyBorder="1"/>
    <xf numFmtId="0" fontId="9" fillId="3" borderId="5" xfId="53" applyFont="1" applyFill="1" applyBorder="1" applyAlignment="1">
      <alignment horizontal="center" wrapText="1"/>
    </xf>
    <xf numFmtId="0" fontId="9" fillId="3" borderId="5" xfId="53" applyFont="1" applyFill="1" applyBorder="1" applyAlignment="1">
      <alignment horizontal="center"/>
    </xf>
    <xf numFmtId="0" fontId="9" fillId="3" borderId="0" xfId="53" applyFont="1" applyFill="1" applyBorder="1" applyAlignment="1">
      <alignment horizontal="center"/>
    </xf>
    <xf numFmtId="182" fontId="9" fillId="3" borderId="5" xfId="53" applyNumberFormat="1" applyFont="1" applyFill="1" applyBorder="1" applyAlignment="1">
      <alignment horizontal="center" vertical="center"/>
    </xf>
    <xf numFmtId="0" fontId="9" fillId="3" borderId="5" xfId="53" applyFont="1" applyFill="1" applyBorder="1" applyAlignment="1">
      <alignment horizontal="center" vertical="center"/>
    </xf>
    <xf numFmtId="183" fontId="22" fillId="3" borderId="5" xfId="53" applyNumberFormat="1" applyFont="1" applyFill="1" applyBorder="1" applyAlignment="1">
      <alignment horizontal="center" vertical="center"/>
    </xf>
    <xf numFmtId="0" fontId="12" fillId="3" borderId="0" xfId="53" applyFont="1" applyFill="1" applyBorder="1" applyAlignment="1">
      <alignment vertical="center"/>
    </xf>
    <xf numFmtId="0" fontId="9" fillId="3" borderId="0" xfId="53" applyFont="1" applyFill="1" applyBorder="1" applyAlignment="1">
      <alignment horizontal="center" vertical="center"/>
    </xf>
    <xf numFmtId="0" fontId="23" fillId="3" borderId="0" xfId="53" applyFont="1" applyFill="1" applyBorder="1" applyAlignment="1">
      <alignment horizontal="center" vertical="center"/>
    </xf>
    <xf numFmtId="0" fontId="23" fillId="3" borderId="0" xfId="53" applyFont="1" applyFill="1" applyBorder="1" applyAlignment="1">
      <alignment horizontal="left" vertical="center"/>
    </xf>
    <xf numFmtId="0" fontId="24" fillId="3" borderId="0" xfId="53" applyFont="1" applyFill="1" applyBorder="1" applyAlignment="1">
      <alignment horizontal="center" vertical="center"/>
    </xf>
    <xf numFmtId="0" fontId="24" fillId="3" borderId="0" xfId="53" applyFont="1" applyFill="1" applyBorder="1" applyAlignment="1">
      <alignment horizontal="left" vertical="center"/>
    </xf>
    <xf numFmtId="0" fontId="25" fillId="3" borderId="11" xfId="53" applyFont="1" applyFill="1" applyBorder="1" applyAlignment="1">
      <alignment horizontal="center" vertical="center"/>
    </xf>
    <xf numFmtId="0" fontId="25" fillId="3" borderId="13" xfId="53" applyFont="1" applyFill="1" applyBorder="1" applyAlignment="1">
      <alignment horizontal="center" vertical="center"/>
    </xf>
    <xf numFmtId="0" fontId="25" fillId="3" borderId="9" xfId="53" applyFont="1" applyFill="1" applyBorder="1" applyAlignment="1">
      <alignment horizontal="center" vertical="center"/>
    </xf>
    <xf numFmtId="0" fontId="25" fillId="3" borderId="14" xfId="53" applyFont="1" applyFill="1" applyBorder="1" applyAlignment="1">
      <alignment horizontal="center" vertical="center"/>
    </xf>
    <xf numFmtId="0" fontId="6" fillId="3" borderId="5" xfId="53" applyFont="1" applyFill="1" applyBorder="1"/>
    <xf numFmtId="0" fontId="25" fillId="4" borderId="5" xfId="53" applyFont="1" applyFill="1" applyBorder="1" applyAlignment="1">
      <alignment horizontal="center" vertical="center"/>
    </xf>
    <xf numFmtId="0" fontId="25" fillId="4" borderId="15" xfId="53" applyFont="1" applyFill="1" applyBorder="1" applyAlignment="1">
      <alignment horizontal="center" vertical="center"/>
    </xf>
    <xf numFmtId="0" fontId="25" fillId="3" borderId="5" xfId="53" applyFont="1" applyFill="1" applyBorder="1" applyAlignment="1">
      <alignment horizontal="center" vertical="center"/>
    </xf>
    <xf numFmtId="0" fontId="7" fillId="3" borderId="5" xfId="53" applyFont="1" applyFill="1" applyBorder="1"/>
    <xf numFmtId="0" fontId="7" fillId="3" borderId="5" xfId="53" applyFont="1" applyFill="1" applyBorder="1" applyAlignment="1">
      <alignment horizontal="center" vertical="center"/>
    </xf>
    <xf numFmtId="183" fontId="9" fillId="3" borderId="5" xfId="53" applyNumberFormat="1" applyFont="1" applyFill="1" applyBorder="1" applyAlignment="1">
      <alignment horizontal="center" vertical="center"/>
    </xf>
    <xf numFmtId="181" fontId="9" fillId="3" borderId="5" xfId="53" applyNumberFormat="1" applyFont="1" applyFill="1" applyBorder="1" applyAlignment="1">
      <alignment horizontal="center" vertical="center"/>
    </xf>
    <xf numFmtId="183" fontId="9" fillId="3" borderId="5" xfId="53" applyNumberFormat="1" applyFont="1" applyFill="1" applyBorder="1" applyAlignment="1">
      <alignment horizontal="left" vertical="center"/>
    </xf>
    <xf numFmtId="0" fontId="9" fillId="3" borderId="11" xfId="53" applyFont="1" applyFill="1" applyBorder="1"/>
    <xf numFmtId="0" fontId="9" fillId="3" borderId="11" xfId="53" applyFont="1" applyFill="1" applyBorder="1" applyAlignment="1">
      <alignment horizontal="center" vertical="center"/>
    </xf>
    <xf numFmtId="183" fontId="9" fillId="3" borderId="11" xfId="53" applyNumberFormat="1" applyFont="1" applyFill="1" applyBorder="1" applyAlignment="1">
      <alignment horizontal="center" vertical="center"/>
    </xf>
    <xf numFmtId="181" fontId="9" fillId="3" borderId="11" xfId="53" applyNumberFormat="1" applyFont="1" applyFill="1" applyBorder="1" applyAlignment="1">
      <alignment horizontal="center" vertical="center"/>
    </xf>
    <xf numFmtId="183" fontId="9" fillId="3" borderId="11" xfId="53" applyNumberFormat="1" applyFont="1" applyFill="1" applyBorder="1" applyAlignment="1">
      <alignment horizontal="left" vertical="center"/>
    </xf>
    <xf numFmtId="182" fontId="9" fillId="3" borderId="11" xfId="53" applyNumberFormat="1" applyFont="1" applyFill="1" applyBorder="1" applyAlignment="1">
      <alignment horizontal="center" vertical="center"/>
    </xf>
    <xf numFmtId="181" fontId="9" fillId="3" borderId="5" xfId="53" applyNumberFormat="1" applyFont="1" applyFill="1" applyBorder="1" applyAlignment="1">
      <alignment horizontal="center"/>
    </xf>
    <xf numFmtId="0" fontId="9" fillId="3" borderId="5" xfId="53" applyFont="1" applyFill="1" applyBorder="1" applyAlignment="1">
      <alignment horizontal="left"/>
    </xf>
    <xf numFmtId="0" fontId="9" fillId="3" borderId="5" xfId="53" applyFont="1" applyFill="1" applyBorder="1" applyAlignment="1">
      <alignment horizontal="left" vertical="center"/>
    </xf>
    <xf numFmtId="0" fontId="13" fillId="3" borderId="0" xfId="53" applyFont="1" applyFill="1" applyBorder="1" applyAlignment="1">
      <alignment vertical="center"/>
    </xf>
    <xf numFmtId="183" fontId="14" fillId="3" borderId="0" xfId="53" applyNumberFormat="1" applyFont="1" applyFill="1" applyBorder="1" applyAlignment="1">
      <alignment horizontal="center" vertical="center"/>
    </xf>
    <xf numFmtId="183" fontId="9" fillId="3" borderId="0" xfId="0" applyNumberFormat="1" applyFont="1" applyFill="1" applyBorder="1" applyAlignment="1">
      <alignment horizontal="center" vertical="center"/>
    </xf>
    <xf numFmtId="0" fontId="13" fillId="3" borderId="0" xfId="53" applyFont="1" applyFill="1" applyAlignment="1">
      <alignment vertical="center"/>
    </xf>
    <xf numFmtId="183" fontId="14" fillId="3" borderId="0" xfId="53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183" fontId="9" fillId="3" borderId="16" xfId="0" applyNumberFormat="1" applyFont="1" applyFill="1" applyBorder="1" applyAlignment="1">
      <alignment horizontal="center" vertical="center"/>
    </xf>
    <xf numFmtId="183" fontId="9" fillId="3" borderId="11" xfId="53" applyNumberFormat="1" applyFont="1" applyFill="1" applyBorder="1" applyAlignment="1">
      <alignment horizontal="center"/>
    </xf>
    <xf numFmtId="183" fontId="9" fillId="3" borderId="17" xfId="0" applyNumberFormat="1" applyFont="1" applyFill="1" applyBorder="1" applyAlignment="1">
      <alignment horizontal="center" vertical="center"/>
    </xf>
    <xf numFmtId="183" fontId="9" fillId="3" borderId="5" xfId="53" applyNumberFormat="1" applyFont="1" applyFill="1" applyBorder="1" applyAlignment="1">
      <alignment horizontal="center"/>
    </xf>
    <xf numFmtId="183" fontId="9" fillId="3" borderId="5" xfId="0" applyNumberFormat="1" applyFont="1" applyFill="1" applyBorder="1" applyAlignment="1">
      <alignment horizontal="center" vertical="center"/>
    </xf>
    <xf numFmtId="0" fontId="9" fillId="3" borderId="11" xfId="53" applyFont="1" applyFill="1" applyBorder="1" applyAlignment="1">
      <alignment horizontal="left" vertical="center"/>
    </xf>
    <xf numFmtId="183" fontId="9" fillId="3" borderId="5" xfId="0" applyNumberFormat="1" applyFont="1" applyFill="1" applyBorder="1" applyAlignment="1">
      <alignment horizontal="center"/>
    </xf>
    <xf numFmtId="0" fontId="12" fillId="3" borderId="0" xfId="53" applyFont="1" applyFill="1" applyAlignment="1">
      <alignment vertical="center"/>
    </xf>
    <xf numFmtId="183" fontId="22" fillId="3" borderId="11" xfId="53" applyNumberFormat="1" applyFont="1" applyFill="1" applyBorder="1" applyAlignment="1">
      <alignment horizontal="center" vertical="center"/>
    </xf>
    <xf numFmtId="9" fontId="9" fillId="3" borderId="11" xfId="53" applyNumberFormat="1" applyFont="1" applyFill="1" applyBorder="1" applyAlignment="1">
      <alignment horizontal="center" vertical="center"/>
    </xf>
    <xf numFmtId="9" fontId="9" fillId="3" borderId="5" xfId="53" applyNumberFormat="1" applyFont="1" applyFill="1" applyBorder="1" applyAlignment="1">
      <alignment horizontal="center" vertical="center"/>
    </xf>
    <xf numFmtId="0" fontId="12" fillId="3" borderId="0" xfId="53" applyFont="1" applyFill="1" applyAlignment="1">
      <alignment horizontal="center" vertical="center"/>
    </xf>
    <xf numFmtId="184" fontId="9" fillId="3" borderId="5" xfId="53" applyNumberFormat="1" applyFont="1" applyFill="1" applyBorder="1" applyAlignment="1">
      <alignment horizontal="center" vertical="center"/>
    </xf>
    <xf numFmtId="184" fontId="9" fillId="3" borderId="11" xfId="53" applyNumberFormat="1" applyFont="1" applyFill="1" applyBorder="1" applyAlignment="1">
      <alignment horizontal="center" vertical="center"/>
    </xf>
    <xf numFmtId="0" fontId="12" fillId="3" borderId="0" xfId="53" applyFont="1" applyFill="1" applyBorder="1" applyAlignment="1">
      <alignment horizontal="center" vertical="center"/>
    </xf>
    <xf numFmtId="0" fontId="25" fillId="3" borderId="21" xfId="53" applyFont="1" applyFill="1" applyBorder="1" applyAlignment="1">
      <alignment horizontal="center" vertical="center"/>
    </xf>
    <xf numFmtId="0" fontId="6" fillId="3" borderId="0" xfId="53" applyFont="1" applyFill="1" applyBorder="1" applyAlignment="1">
      <alignment horizontal="center"/>
    </xf>
    <xf numFmtId="0" fontId="25" fillId="3" borderId="22" xfId="53" applyFont="1" applyFill="1" applyBorder="1" applyAlignment="1">
      <alignment horizontal="center" vertical="center"/>
    </xf>
    <xf numFmtId="0" fontId="25" fillId="3" borderId="20" xfId="53" applyFont="1" applyFill="1" applyBorder="1" applyAlignment="1">
      <alignment horizontal="center" vertical="center"/>
    </xf>
    <xf numFmtId="0" fontId="25" fillId="3" borderId="23" xfId="53" applyFont="1" applyFill="1" applyBorder="1" applyAlignment="1">
      <alignment horizontal="center" vertical="center"/>
    </xf>
    <xf numFmtId="0" fontId="7" fillId="3" borderId="0" xfId="53" applyFont="1" applyFill="1" applyBorder="1" applyAlignment="1">
      <alignment horizontal="center"/>
    </xf>
    <xf numFmtId="0" fontId="7" fillId="3" borderId="15" xfId="53" applyFont="1" applyFill="1" applyBorder="1" applyAlignment="1">
      <alignment horizontal="center" vertical="center"/>
    </xf>
    <xf numFmtId="0" fontId="9" fillId="3" borderId="15" xfId="53" applyFont="1" applyFill="1" applyBorder="1" applyAlignment="1">
      <alignment horizontal="center" vertical="center"/>
    </xf>
    <xf numFmtId="0" fontId="8" fillId="3" borderId="5" xfId="53" applyFont="1" applyFill="1" applyBorder="1" applyAlignment="1">
      <alignment horizontal="center" wrapText="1"/>
    </xf>
    <xf numFmtId="0" fontId="10" fillId="3" borderId="5" xfId="53" applyFont="1" applyFill="1" applyBorder="1" applyAlignment="1">
      <alignment horizontal="center" wrapText="1"/>
    </xf>
    <xf numFmtId="0" fontId="11" fillId="3" borderId="5" xfId="53" applyFont="1" applyFill="1" applyBorder="1" applyAlignment="1">
      <alignment horizontal="center" wrapText="1"/>
    </xf>
    <xf numFmtId="0" fontId="9" fillId="3" borderId="5" xfId="53" applyFont="1" applyFill="1" applyBorder="1" applyAlignment="1">
      <alignment horizontal="center" vertical="center" wrapText="1"/>
    </xf>
    <xf numFmtId="0" fontId="9" fillId="3" borderId="15" xfId="53" applyFont="1" applyFill="1" applyBorder="1" applyAlignment="1">
      <alignment horizontal="center"/>
    </xf>
    <xf numFmtId="182" fontId="9" fillId="3" borderId="5" xfId="53" applyNumberFormat="1" applyFont="1" applyFill="1" applyBorder="1" applyAlignment="1" quotePrefix="1">
      <alignment horizontal="center" vertical="center"/>
    </xf>
    <xf numFmtId="183" fontId="9" fillId="3" borderId="5" xfId="53" applyNumberFormat="1" applyFont="1" applyFill="1" applyBorder="1" applyAlignment="1" quotePrefix="1">
      <alignment horizontal="center" vertical="center"/>
    </xf>
    <xf numFmtId="0" fontId="9" fillId="3" borderId="5" xfId="53" applyFont="1" applyFill="1" applyBorder="1" applyAlignment="1" quotePrefix="1">
      <alignment horizontal="center" wrapText="1"/>
    </xf>
    <xf numFmtId="183" fontId="9" fillId="3" borderId="11" xfId="53" applyNumberFormat="1" applyFont="1" applyFill="1" applyBorder="1" applyAlignment="1" quotePrefix="1">
      <alignment horizontal="center" vertical="center"/>
    </xf>
    <xf numFmtId="183" fontId="9" fillId="3" borderId="5" xfId="53" applyNumberFormat="1" applyFont="1" applyFill="1" applyBorder="1" applyAlignment="1" quotePrefix="1">
      <alignment horizontal="center"/>
    </xf>
    <xf numFmtId="182" fontId="9" fillId="3" borderId="11" xfId="53" applyNumberFormat="1" applyFont="1" applyFill="1" applyBorder="1" applyAlignment="1" quotePrefix="1">
      <alignment horizontal="center" vertical="center"/>
    </xf>
    <xf numFmtId="184" fontId="9" fillId="3" borderId="5" xfId="53" applyNumberFormat="1" applyFont="1" applyFill="1" applyBorder="1" applyAlignment="1" quotePrefix="1">
      <alignment horizontal="center" vertical="center"/>
    </xf>
    <xf numFmtId="0" fontId="9" fillId="3" borderId="5" xfId="53" applyFont="1" applyFill="1" applyBorder="1" applyAlignment="1" quotePrefix="1">
      <alignment horizontal="center"/>
    </xf>
    <xf numFmtId="182" fontId="18" fillId="0" borderId="5" xfId="53" applyNumberFormat="1" applyFont="1" applyFill="1" applyBorder="1" applyAlignment="1" quotePrefix="1">
      <alignment horizontal="center" vertical="center"/>
    </xf>
    <xf numFmtId="183" fontId="18" fillId="0" borderId="5" xfId="53" applyNumberFormat="1" applyFont="1" applyFill="1" applyBorder="1" applyAlignment="1" quotePrefix="1">
      <alignment horizontal="center" vertical="center"/>
    </xf>
    <xf numFmtId="183" fontId="18" fillId="0" borderId="11" xfId="53" applyNumberFormat="1" applyFont="1" applyFill="1" applyBorder="1" applyAlignment="1" quotePrefix="1">
      <alignment horizontal="center" vertical="center"/>
    </xf>
    <xf numFmtId="183" fontId="18" fillId="0" borderId="5" xfId="53" applyNumberFormat="1" applyFont="1" applyFill="1" applyBorder="1" applyAlignment="1" quotePrefix="1">
      <alignment horizontal="center"/>
    </xf>
    <xf numFmtId="182" fontId="18" fillId="0" borderId="11" xfId="53" applyNumberFormat="1" applyFont="1" applyFill="1" applyBorder="1" applyAlignment="1" quotePrefix="1">
      <alignment horizontal="center" vertical="center"/>
    </xf>
    <xf numFmtId="184" fontId="18" fillId="0" borderId="5" xfId="53" applyNumberFormat="1" applyFont="1" applyFill="1" applyBorder="1" applyAlignment="1" quotePrefix="1">
      <alignment horizontal="center" vertical="center"/>
    </xf>
    <xf numFmtId="0" fontId="18" fillId="0" borderId="5" xfId="53" applyFont="1" applyFill="1" applyBorder="1" applyAlignment="1" quotePrefix="1">
      <alignment horizontal="center"/>
    </xf>
    <xf numFmtId="0" fontId="4" fillId="0" borderId="11" xfId="0" applyFont="1" applyFill="1" applyBorder="1" applyAlignment="1" quotePrefix="1">
      <alignment horizontal="center" vertical="center"/>
    </xf>
    <xf numFmtId="0" fontId="4" fillId="0" borderId="12" xfId="0" applyFont="1" applyFill="1" applyBorder="1" applyAlignment="1" quotePrefix="1">
      <alignment horizontal="center" vertical="center"/>
    </xf>
    <xf numFmtId="0" fontId="3" fillId="0" borderId="11" xfId="0" applyFont="1" applyFill="1" applyBorder="1" applyAlignment="1" quotePrefix="1">
      <alignment horizontal="center" vertical="center"/>
    </xf>
    <xf numFmtId="0" fontId="3" fillId="0" borderId="5" xfId="0" applyFont="1" applyFill="1" applyBorder="1" applyAlignment="1" quotePrefix="1">
      <alignment horizontal="center" vertical="center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cel Built-in Normal" xfId="49"/>
    <cellStyle name="Heading" xfId="50"/>
    <cellStyle name="Heading1" xfId="51"/>
    <cellStyle name="Normal 2" xfId="52"/>
    <cellStyle name="Normal 3" xfId="53"/>
    <cellStyle name="Result" xfId="54"/>
    <cellStyle name="Result2" xfId="55"/>
  </cellStyles>
  <dxfs count="1">
    <dxf>
      <fill>
        <patternFill patternType="solid">
          <bgColor theme="9" tint="0.79998168889431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Y1048575"/>
  <sheetViews>
    <sheetView tabSelected="1" zoomScale="40" zoomScaleNormal="40" workbookViewId="0">
      <pane xSplit="8" ySplit="6" topLeftCell="AT56" activePane="bottomRight" state="frozen"/>
      <selection/>
      <selection pane="topRight"/>
      <selection pane="bottomLeft"/>
      <selection pane="bottomRight" activeCell="C74" sqref="C74"/>
    </sheetView>
  </sheetViews>
  <sheetFormatPr defaultColWidth="4.72380952380952" defaultRowHeight="26.25"/>
  <cols>
    <col min="1" max="1" width="26.8190476190476" style="34" customWidth="1"/>
    <col min="2" max="2" width="10.5428571428571" style="35" customWidth="1"/>
    <col min="3" max="3" width="24.8190476190476" style="36" customWidth="1"/>
    <col min="4" max="4" width="59.8190476190476" style="36" customWidth="1"/>
    <col min="5" max="5" width="17.7238095238095" style="37" customWidth="1"/>
    <col min="6" max="6" width="13.1809523809524" style="36" customWidth="1"/>
    <col min="7" max="7" width="18.4571428571429" style="38" customWidth="1"/>
    <col min="8" max="8" width="107.266666666667" style="36" customWidth="1"/>
    <col min="9" max="9" width="33" style="36" customWidth="1"/>
    <col min="10" max="10" width="40.1809523809524" style="39" customWidth="1"/>
    <col min="11" max="11" width="34.4571428571429" style="36" customWidth="1"/>
    <col min="12" max="13" width="21.2666666666667" style="40" customWidth="1"/>
    <col min="14" max="15" width="52.7238095238095" style="41" customWidth="1"/>
    <col min="16" max="18" width="20.1809523809524" style="40" customWidth="1"/>
    <col min="19" max="20" width="25.5428571428571" style="36" customWidth="1"/>
    <col min="21" max="22" width="24.8190476190476" style="36" customWidth="1"/>
    <col min="23" max="28" width="23.4571428571429" style="36" customWidth="1"/>
    <col min="29" max="29" width="26.2666666666667" style="36" customWidth="1"/>
    <col min="30" max="30" width="40.2666666666667" style="36" customWidth="1"/>
    <col min="31" max="32" width="25.8190476190476" style="36" customWidth="1"/>
    <col min="33" max="34" width="23.4571428571429" style="36" customWidth="1"/>
    <col min="35" max="35" width="20.8190476190476" style="36" customWidth="1"/>
    <col min="36" max="36" width="21.2666666666667" style="36" customWidth="1"/>
    <col min="37" max="37" width="26.2666666666667" style="36" customWidth="1"/>
    <col min="38" max="38" width="41.2666666666667" style="36" customWidth="1"/>
    <col min="39" max="39" width="30.5428571428571" style="36" customWidth="1"/>
    <col min="40" max="40" width="38" style="36" customWidth="1"/>
    <col min="41" max="41" width="27.2666666666667" style="36" customWidth="1"/>
    <col min="42" max="42" width="47.2666666666667" style="36" customWidth="1"/>
    <col min="43" max="44" width="18" style="36" customWidth="1"/>
    <col min="45" max="45" width="22.7238095238095" style="36" customWidth="1"/>
    <col min="46" max="46" width="23.7238095238095" style="36" customWidth="1"/>
    <col min="47" max="47" width="22.7238095238095" style="36" customWidth="1"/>
    <col min="48" max="48" width="24.8190476190476" style="35" customWidth="1"/>
    <col min="49" max="49" width="57.7238095238095" style="36" customWidth="1"/>
    <col min="50" max="50" width="60.1809523809524" style="36" customWidth="1"/>
    <col min="51" max="51" width="45.5428571428571" style="42" customWidth="1"/>
    <col min="52" max="16384" width="4.72380952380952" style="34"/>
  </cols>
  <sheetData>
    <row r="1" s="110" customFormat="1" ht="46.5" spans="2:51">
      <c r="B1" s="112" t="s">
        <v>0</v>
      </c>
      <c r="C1" s="113"/>
      <c r="D1" s="113"/>
      <c r="E1" s="112"/>
      <c r="F1" s="113"/>
      <c r="G1" s="113"/>
      <c r="H1" s="113"/>
      <c r="I1" s="113"/>
      <c r="J1" s="138"/>
      <c r="K1" s="113"/>
      <c r="L1" s="139"/>
      <c r="M1" s="139"/>
      <c r="N1" s="140"/>
      <c r="O1" s="140"/>
      <c r="P1" s="139"/>
      <c r="Q1" s="139"/>
      <c r="R1" s="139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6"/>
      <c r="AW1" s="113"/>
      <c r="AX1" s="113"/>
      <c r="AY1" s="159"/>
    </row>
    <row r="2" s="110" customFormat="1" spans="2:51">
      <c r="B2" s="114"/>
      <c r="C2" s="115"/>
      <c r="D2" s="115"/>
      <c r="E2" s="114"/>
      <c r="F2" s="115"/>
      <c r="G2" s="115"/>
      <c r="H2" s="115"/>
      <c r="I2" s="115"/>
      <c r="J2" s="141"/>
      <c r="K2" s="115"/>
      <c r="L2" s="142"/>
      <c r="M2" s="142"/>
      <c r="N2" s="41"/>
      <c r="O2" s="41"/>
      <c r="P2" s="142"/>
      <c r="Q2" s="142"/>
      <c r="R2" s="14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6"/>
      <c r="AW2" s="115"/>
      <c r="AX2" s="115"/>
      <c r="AY2" s="159"/>
    </row>
    <row r="3" s="28" customFormat="1" ht="28.5" customHeight="1" spans="1:51">
      <c r="A3" s="116" t="s">
        <v>1</v>
      </c>
      <c r="B3" s="116" t="s">
        <v>2</v>
      </c>
      <c r="C3" s="116" t="s">
        <v>3</v>
      </c>
      <c r="D3" s="117" t="s">
        <v>4</v>
      </c>
      <c r="E3" s="116" t="s">
        <v>5</v>
      </c>
      <c r="F3" s="116" t="s">
        <v>6</v>
      </c>
      <c r="G3" s="116" t="s">
        <v>7</v>
      </c>
      <c r="H3" s="116" t="s">
        <v>8</v>
      </c>
      <c r="I3" s="116" t="s">
        <v>9</v>
      </c>
      <c r="J3" s="116" t="s">
        <v>10</v>
      </c>
      <c r="K3" s="116" t="s">
        <v>11</v>
      </c>
      <c r="L3" s="123" t="s">
        <v>12</v>
      </c>
      <c r="M3" s="123" t="s">
        <v>13</v>
      </c>
      <c r="N3" s="143" t="s">
        <v>14</v>
      </c>
      <c r="O3" s="143" t="s">
        <v>14</v>
      </c>
      <c r="P3" s="123" t="s">
        <v>15</v>
      </c>
      <c r="Q3" s="123" t="s">
        <v>16</v>
      </c>
      <c r="R3" s="123" t="s">
        <v>17</v>
      </c>
      <c r="S3" s="123" t="s">
        <v>18</v>
      </c>
      <c r="T3" s="123" t="s">
        <v>18</v>
      </c>
      <c r="U3" s="123" t="s">
        <v>19</v>
      </c>
      <c r="V3" s="123" t="s">
        <v>19</v>
      </c>
      <c r="W3" s="123" t="s">
        <v>20</v>
      </c>
      <c r="X3" s="123" t="s">
        <v>20</v>
      </c>
      <c r="Y3" s="123" t="s">
        <v>21</v>
      </c>
      <c r="Z3" s="123" t="s">
        <v>21</v>
      </c>
      <c r="AA3" s="123" t="s">
        <v>22</v>
      </c>
      <c r="AB3" s="123" t="s">
        <v>22</v>
      </c>
      <c r="AC3" s="123" t="s">
        <v>23</v>
      </c>
      <c r="AD3" s="123" t="s">
        <v>23</v>
      </c>
      <c r="AE3" s="123" t="s">
        <v>24</v>
      </c>
      <c r="AF3" s="123" t="s">
        <v>24</v>
      </c>
      <c r="AG3" s="123" t="s">
        <v>25</v>
      </c>
      <c r="AH3" s="123" t="s">
        <v>25</v>
      </c>
      <c r="AI3" s="116" t="s">
        <v>26</v>
      </c>
      <c r="AJ3" s="116" t="s">
        <v>27</v>
      </c>
      <c r="AK3" s="116" t="s">
        <v>28</v>
      </c>
      <c r="AL3" s="116" t="s">
        <v>29</v>
      </c>
      <c r="AM3" s="116" t="s">
        <v>30</v>
      </c>
      <c r="AN3" s="116" t="s">
        <v>31</v>
      </c>
      <c r="AO3" s="116" t="s">
        <v>32</v>
      </c>
      <c r="AP3" s="116" t="s">
        <v>33</v>
      </c>
      <c r="AQ3" s="116" t="s">
        <v>34</v>
      </c>
      <c r="AR3" s="116" t="s">
        <v>35</v>
      </c>
      <c r="AS3" s="116" t="s">
        <v>36</v>
      </c>
      <c r="AT3" s="116" t="s">
        <v>37</v>
      </c>
      <c r="AU3" s="116" t="s">
        <v>38</v>
      </c>
      <c r="AV3" s="116" t="s">
        <v>39</v>
      </c>
      <c r="AW3" s="117" t="s">
        <v>4</v>
      </c>
      <c r="AX3" s="160"/>
      <c r="AY3" s="161"/>
    </row>
    <row r="4" s="28" customFormat="1" ht="28.5" customHeight="1" spans="1:51">
      <c r="A4" s="118"/>
      <c r="B4" s="118"/>
      <c r="C4" s="118"/>
      <c r="D4" s="119"/>
      <c r="E4" s="118"/>
      <c r="F4" s="118"/>
      <c r="G4" s="118"/>
      <c r="H4" s="118"/>
      <c r="I4" s="118"/>
      <c r="J4" s="118"/>
      <c r="K4" s="118"/>
      <c r="L4" s="123" t="s">
        <v>40</v>
      </c>
      <c r="M4" s="123" t="s">
        <v>41</v>
      </c>
      <c r="N4" s="144" t="s">
        <v>42</v>
      </c>
      <c r="O4" s="144" t="s">
        <v>43</v>
      </c>
      <c r="P4" s="123" t="s">
        <v>44</v>
      </c>
      <c r="Q4" s="123" t="s">
        <v>44</v>
      </c>
      <c r="R4" s="123" t="s">
        <v>44</v>
      </c>
      <c r="S4" s="123" t="s">
        <v>45</v>
      </c>
      <c r="T4" s="123" t="s">
        <v>46</v>
      </c>
      <c r="U4" s="123" t="s">
        <v>45</v>
      </c>
      <c r="V4" s="123" t="s">
        <v>46</v>
      </c>
      <c r="W4" s="123" t="s">
        <v>45</v>
      </c>
      <c r="X4" s="123" t="s">
        <v>46</v>
      </c>
      <c r="Y4" s="123" t="s">
        <v>45</v>
      </c>
      <c r="Z4" s="123" t="s">
        <v>46</v>
      </c>
      <c r="AA4" s="123" t="s">
        <v>45</v>
      </c>
      <c r="AB4" s="123" t="s">
        <v>46</v>
      </c>
      <c r="AC4" s="123" t="s">
        <v>45</v>
      </c>
      <c r="AD4" s="123" t="s">
        <v>46</v>
      </c>
      <c r="AE4" s="123" t="s">
        <v>45</v>
      </c>
      <c r="AF4" s="123" t="s">
        <v>46</v>
      </c>
      <c r="AG4" s="123" t="s">
        <v>45</v>
      </c>
      <c r="AH4" s="123" t="s">
        <v>46</v>
      </c>
      <c r="AI4" s="118"/>
      <c r="AJ4" s="118"/>
      <c r="AK4" s="118"/>
      <c r="AL4" s="118"/>
      <c r="AM4" s="118"/>
      <c r="AN4" s="118"/>
      <c r="AO4" s="118"/>
      <c r="AP4" s="118"/>
      <c r="AQ4" s="118"/>
      <c r="AR4" s="118"/>
      <c r="AS4" s="118"/>
      <c r="AT4" s="118"/>
      <c r="AU4" s="118"/>
      <c r="AV4" s="118"/>
      <c r="AW4" s="119"/>
      <c r="AX4" s="162"/>
      <c r="AY4" s="161"/>
    </row>
    <row r="5" s="28" customFormat="1" ht="34.5" spans="1:51">
      <c r="A5" s="120"/>
      <c r="B5" s="121"/>
      <c r="C5" s="121"/>
      <c r="D5" s="122" t="s">
        <v>47</v>
      </c>
      <c r="E5" s="121"/>
      <c r="F5" s="121"/>
      <c r="G5" s="121"/>
      <c r="H5" s="123"/>
      <c r="I5" s="121"/>
      <c r="J5" s="121" t="s">
        <v>48</v>
      </c>
      <c r="K5" s="121" t="s">
        <v>49</v>
      </c>
      <c r="L5" s="121" t="s">
        <v>50</v>
      </c>
      <c r="M5" s="123" t="s">
        <v>50</v>
      </c>
      <c r="N5" s="144"/>
      <c r="O5" s="144"/>
      <c r="P5" s="123" t="s">
        <v>51</v>
      </c>
      <c r="Q5" s="123" t="s">
        <v>51</v>
      </c>
      <c r="R5" s="123" t="s">
        <v>51</v>
      </c>
      <c r="S5" s="123" t="s">
        <v>52</v>
      </c>
      <c r="T5" s="123" t="s">
        <v>52</v>
      </c>
      <c r="U5" s="123" t="s">
        <v>53</v>
      </c>
      <c r="V5" s="123" t="s">
        <v>53</v>
      </c>
      <c r="W5" s="123" t="s">
        <v>53</v>
      </c>
      <c r="X5" s="123" t="s">
        <v>53</v>
      </c>
      <c r="Y5" s="123" t="s">
        <v>53</v>
      </c>
      <c r="Z5" s="123" t="s">
        <v>53</v>
      </c>
      <c r="AA5" s="123" t="s">
        <v>53</v>
      </c>
      <c r="AB5" s="123" t="s">
        <v>53</v>
      </c>
      <c r="AC5" s="123" t="s">
        <v>53</v>
      </c>
      <c r="AD5" s="123" t="s">
        <v>53</v>
      </c>
      <c r="AE5" s="123" t="s">
        <v>54</v>
      </c>
      <c r="AF5" s="123" t="s">
        <v>54</v>
      </c>
      <c r="AG5" s="123" t="s">
        <v>55</v>
      </c>
      <c r="AH5" s="123" t="s">
        <v>55</v>
      </c>
      <c r="AI5" s="123" t="s">
        <v>56</v>
      </c>
      <c r="AJ5" s="123" t="s">
        <v>52</v>
      </c>
      <c r="AK5" s="123"/>
      <c r="AL5" s="123"/>
      <c r="AM5" s="123"/>
      <c r="AN5" s="123" t="s">
        <v>53</v>
      </c>
      <c r="AO5" s="123" t="s">
        <v>57</v>
      </c>
      <c r="AP5" s="123" t="s">
        <v>57</v>
      </c>
      <c r="AQ5" s="123" t="s">
        <v>52</v>
      </c>
      <c r="AR5" s="123" t="s">
        <v>52</v>
      </c>
      <c r="AS5" s="123" t="s">
        <v>52</v>
      </c>
      <c r="AT5" s="123" t="s">
        <v>52</v>
      </c>
      <c r="AU5" s="123" t="s">
        <v>52</v>
      </c>
      <c r="AV5" s="123" t="s">
        <v>52</v>
      </c>
      <c r="AW5" s="163" t="s">
        <v>58</v>
      </c>
      <c r="AX5" s="164" t="s">
        <v>59</v>
      </c>
      <c r="AY5" s="165" t="s">
        <v>60</v>
      </c>
    </row>
    <row r="6" s="29" customFormat="1" spans="1:51">
      <c r="A6" s="124">
        <v>1</v>
      </c>
      <c r="B6" s="125">
        <v>2</v>
      </c>
      <c r="C6" s="125">
        <v>3</v>
      </c>
      <c r="D6" s="125">
        <v>4</v>
      </c>
      <c r="E6" s="125">
        <v>5</v>
      </c>
      <c r="F6" s="125">
        <v>6</v>
      </c>
      <c r="G6" s="125">
        <v>7</v>
      </c>
      <c r="H6" s="125">
        <v>8</v>
      </c>
      <c r="I6" s="125">
        <v>9</v>
      </c>
      <c r="J6" s="125">
        <v>10</v>
      </c>
      <c r="K6" s="125">
        <v>11</v>
      </c>
      <c r="L6" s="125">
        <v>12</v>
      </c>
      <c r="M6" s="125">
        <v>13</v>
      </c>
      <c r="N6" s="125">
        <v>14</v>
      </c>
      <c r="O6" s="125">
        <v>15</v>
      </c>
      <c r="P6" s="125">
        <v>16</v>
      </c>
      <c r="Q6" s="125">
        <v>17</v>
      </c>
      <c r="R6" s="125">
        <v>18</v>
      </c>
      <c r="S6" s="125">
        <v>19</v>
      </c>
      <c r="T6" s="125">
        <v>20</v>
      </c>
      <c r="U6" s="125">
        <v>21</v>
      </c>
      <c r="V6" s="125">
        <v>22</v>
      </c>
      <c r="W6" s="125">
        <v>23</v>
      </c>
      <c r="X6" s="125">
        <v>24</v>
      </c>
      <c r="Y6" s="125">
        <v>25</v>
      </c>
      <c r="Z6" s="125">
        <v>26</v>
      </c>
      <c r="AA6" s="125">
        <v>27</v>
      </c>
      <c r="AB6" s="125">
        <v>28</v>
      </c>
      <c r="AC6" s="125">
        <v>29</v>
      </c>
      <c r="AD6" s="125">
        <v>30</v>
      </c>
      <c r="AE6" s="125">
        <v>31</v>
      </c>
      <c r="AF6" s="125">
        <v>32</v>
      </c>
      <c r="AG6" s="125">
        <v>33</v>
      </c>
      <c r="AH6" s="125">
        <v>34</v>
      </c>
      <c r="AI6" s="125">
        <v>35</v>
      </c>
      <c r="AJ6" s="125">
        <v>36</v>
      </c>
      <c r="AK6" s="125">
        <v>37</v>
      </c>
      <c r="AL6" s="125">
        <v>38</v>
      </c>
      <c r="AM6" s="125">
        <v>39</v>
      </c>
      <c r="AN6" s="125">
        <v>40</v>
      </c>
      <c r="AO6" s="125">
        <v>41</v>
      </c>
      <c r="AP6" s="125">
        <v>42</v>
      </c>
      <c r="AQ6" s="125">
        <v>43</v>
      </c>
      <c r="AR6" s="125">
        <v>44</v>
      </c>
      <c r="AS6" s="125">
        <v>45</v>
      </c>
      <c r="AT6" s="125">
        <v>46</v>
      </c>
      <c r="AU6" s="125">
        <v>47</v>
      </c>
      <c r="AV6" s="125">
        <v>48</v>
      </c>
      <c r="AW6" s="125">
        <v>49</v>
      </c>
      <c r="AX6" s="166">
        <v>50</v>
      </c>
      <c r="AY6" s="165">
        <v>51</v>
      </c>
    </row>
    <row r="7" s="30" customFormat="1" ht="32.25" customHeight="1" spans="1:51">
      <c r="A7" s="103" t="str">
        <f t="shared" ref="A7:A55" si="0">CONCATENATE(B7,"-",E7)</f>
        <v>1-0</v>
      </c>
      <c r="B7" s="108">
        <v>1</v>
      </c>
      <c r="C7" s="126" t="s">
        <v>61</v>
      </c>
      <c r="D7" s="108" t="s">
        <v>62</v>
      </c>
      <c r="E7" s="127">
        <v>0</v>
      </c>
      <c r="F7" s="128" t="s">
        <v>63</v>
      </c>
      <c r="G7" s="173" t="s">
        <v>64</v>
      </c>
      <c r="H7" s="128" t="str">
        <f t="shared" ref="H7:H55" si="1">CONCATENATE(I7,"; ",J7,"; ",K7," ")</f>
        <v>Hose, Breather; Ø 3.5 mm × 7.5 mm; TSM1649G-1 </v>
      </c>
      <c r="I7" s="128" t="s">
        <v>65</v>
      </c>
      <c r="J7" s="128" t="s">
        <v>66</v>
      </c>
      <c r="K7" s="128" t="s">
        <v>67</v>
      </c>
      <c r="L7" s="126" t="s">
        <v>68</v>
      </c>
      <c r="M7" s="126" t="s">
        <v>69</v>
      </c>
      <c r="N7" s="145" t="s">
        <v>70</v>
      </c>
      <c r="O7" s="145" t="s">
        <v>70</v>
      </c>
      <c r="P7" s="174" t="s">
        <v>71</v>
      </c>
      <c r="Q7" s="109" t="s">
        <v>72</v>
      </c>
      <c r="R7" s="109" t="s">
        <v>73</v>
      </c>
      <c r="S7" s="108" t="s">
        <v>74</v>
      </c>
      <c r="T7" s="108" t="s">
        <v>74</v>
      </c>
      <c r="U7" s="109" t="s">
        <v>75</v>
      </c>
      <c r="V7" s="109" t="s">
        <v>76</v>
      </c>
      <c r="W7" s="109" t="s">
        <v>77</v>
      </c>
      <c r="X7" s="109" t="s">
        <v>78</v>
      </c>
      <c r="Y7" s="109" t="s">
        <v>77</v>
      </c>
      <c r="Z7" s="109" t="s">
        <v>78</v>
      </c>
      <c r="AA7" s="108" t="s">
        <v>79</v>
      </c>
      <c r="AB7" s="108" t="s">
        <v>79</v>
      </c>
      <c r="AC7" s="109" t="s">
        <v>77</v>
      </c>
      <c r="AD7" s="109" t="s">
        <v>78</v>
      </c>
      <c r="AE7" s="108" t="s">
        <v>80</v>
      </c>
      <c r="AF7" s="108" t="s">
        <v>81</v>
      </c>
      <c r="AG7" s="108" t="s">
        <v>82</v>
      </c>
      <c r="AH7" s="108" t="s">
        <v>83</v>
      </c>
      <c r="AI7" s="108"/>
      <c r="AJ7" s="109" t="s">
        <v>84</v>
      </c>
      <c r="AK7" s="108" t="s">
        <v>85</v>
      </c>
      <c r="AL7" s="108" t="s">
        <v>86</v>
      </c>
      <c r="AM7" s="108" t="s">
        <v>87</v>
      </c>
      <c r="AN7" s="108" t="s">
        <v>88</v>
      </c>
      <c r="AO7" s="157" t="s">
        <v>89</v>
      </c>
      <c r="AP7" s="157" t="s">
        <v>89</v>
      </c>
      <c r="AQ7" s="109" t="s">
        <v>90</v>
      </c>
      <c r="AR7" s="109" t="s">
        <v>84</v>
      </c>
      <c r="AS7" s="109" t="s">
        <v>91</v>
      </c>
      <c r="AT7" s="109" t="s">
        <v>92</v>
      </c>
      <c r="AU7" s="109" t="s">
        <v>93</v>
      </c>
      <c r="AV7" s="109" t="s">
        <v>94</v>
      </c>
      <c r="AW7" s="167" t="s">
        <v>95</v>
      </c>
      <c r="AX7" s="108"/>
      <c r="AY7" s="168"/>
    </row>
    <row r="8" s="31" customFormat="1" spans="1:51">
      <c r="A8" s="103" t="str">
        <f t="shared" si="0"/>
        <v>2-0</v>
      </c>
      <c r="B8" s="108">
        <v>2</v>
      </c>
      <c r="C8" s="126" t="s">
        <v>61</v>
      </c>
      <c r="D8" s="108" t="s">
        <v>96</v>
      </c>
      <c r="E8" s="127">
        <v>0</v>
      </c>
      <c r="F8" s="128" t="s">
        <v>63</v>
      </c>
      <c r="G8" s="173" t="s">
        <v>64</v>
      </c>
      <c r="H8" s="128" t="str">
        <f t="shared" si="1"/>
        <v>Hose, Breather; Ø 3.5 mm × 7.5 mm; TSM1649G-1 </v>
      </c>
      <c r="I8" s="128" t="s">
        <v>65</v>
      </c>
      <c r="J8" s="128" t="s">
        <v>66</v>
      </c>
      <c r="K8" s="128" t="s">
        <v>67</v>
      </c>
      <c r="L8" s="126" t="s">
        <v>68</v>
      </c>
      <c r="M8" s="126" t="s">
        <v>69</v>
      </c>
      <c r="N8" s="145" t="s">
        <v>70</v>
      </c>
      <c r="O8" s="145" t="s">
        <v>70</v>
      </c>
      <c r="P8" s="174" t="s">
        <v>71</v>
      </c>
      <c r="Q8" s="109" t="s">
        <v>72</v>
      </c>
      <c r="R8" s="109" t="s">
        <v>73</v>
      </c>
      <c r="S8" s="108" t="s">
        <v>74</v>
      </c>
      <c r="T8" s="108" t="s">
        <v>74</v>
      </c>
      <c r="U8" s="109" t="s">
        <v>76</v>
      </c>
      <c r="V8" s="109" t="s">
        <v>76</v>
      </c>
      <c r="W8" s="109" t="s">
        <v>78</v>
      </c>
      <c r="X8" s="109" t="s">
        <v>78</v>
      </c>
      <c r="Y8" s="109" t="s">
        <v>78</v>
      </c>
      <c r="Z8" s="109" t="s">
        <v>78</v>
      </c>
      <c r="AA8" s="108" t="s">
        <v>79</v>
      </c>
      <c r="AB8" s="108" t="s">
        <v>79</v>
      </c>
      <c r="AC8" s="109" t="s">
        <v>78</v>
      </c>
      <c r="AD8" s="109" t="s">
        <v>78</v>
      </c>
      <c r="AE8" s="108" t="s">
        <v>80</v>
      </c>
      <c r="AF8" s="108" t="s">
        <v>81</v>
      </c>
      <c r="AG8" s="108" t="s">
        <v>82</v>
      </c>
      <c r="AH8" s="108" t="s">
        <v>83</v>
      </c>
      <c r="AI8" s="108"/>
      <c r="AJ8" s="109" t="s">
        <v>84</v>
      </c>
      <c r="AK8" s="108" t="s">
        <v>85</v>
      </c>
      <c r="AL8" s="108" t="s">
        <v>86</v>
      </c>
      <c r="AM8" s="108" t="s">
        <v>87</v>
      </c>
      <c r="AN8" s="108" t="s">
        <v>88</v>
      </c>
      <c r="AO8" s="157" t="s">
        <v>89</v>
      </c>
      <c r="AP8" s="157" t="s">
        <v>89</v>
      </c>
      <c r="AQ8" s="109" t="s">
        <v>90</v>
      </c>
      <c r="AR8" s="109" t="s">
        <v>84</v>
      </c>
      <c r="AS8" s="109" t="s">
        <v>91</v>
      </c>
      <c r="AT8" s="109" t="s">
        <v>92</v>
      </c>
      <c r="AU8" s="109" t="s">
        <v>93</v>
      </c>
      <c r="AV8" s="109" t="s">
        <v>94</v>
      </c>
      <c r="AW8" s="167" t="s">
        <v>97</v>
      </c>
      <c r="AX8" s="108"/>
      <c r="AY8" s="104"/>
    </row>
    <row r="9" s="30" customFormat="1" spans="1:51">
      <c r="A9" s="103" t="str">
        <f t="shared" si="0"/>
        <v>3-0</v>
      </c>
      <c r="B9" s="108">
        <v>3</v>
      </c>
      <c r="C9" s="126" t="s">
        <v>61</v>
      </c>
      <c r="D9" s="108" t="s">
        <v>98</v>
      </c>
      <c r="E9" s="127">
        <v>0</v>
      </c>
      <c r="F9" s="128" t="s">
        <v>63</v>
      </c>
      <c r="G9" s="173" t="s">
        <v>64</v>
      </c>
      <c r="H9" s="128" t="str">
        <f t="shared" si="1"/>
        <v>Hose, Breather; Ø 3.5 mm × 7.5 mm; TSM1649G-1 </v>
      </c>
      <c r="I9" s="128" t="s">
        <v>65</v>
      </c>
      <c r="J9" s="128" t="s">
        <v>66</v>
      </c>
      <c r="K9" s="128" t="s">
        <v>67</v>
      </c>
      <c r="L9" s="126" t="s">
        <v>68</v>
      </c>
      <c r="M9" s="126" t="s">
        <v>69</v>
      </c>
      <c r="N9" s="145" t="s">
        <v>70</v>
      </c>
      <c r="O9" s="145" t="s">
        <v>70</v>
      </c>
      <c r="P9" s="174" t="s">
        <v>71</v>
      </c>
      <c r="Q9" s="109" t="s">
        <v>72</v>
      </c>
      <c r="R9" s="109" t="s">
        <v>73</v>
      </c>
      <c r="S9" s="108" t="s">
        <v>74</v>
      </c>
      <c r="T9" s="108" t="s">
        <v>74</v>
      </c>
      <c r="U9" s="109" t="s">
        <v>76</v>
      </c>
      <c r="V9" s="109" t="s">
        <v>76</v>
      </c>
      <c r="W9" s="109" t="s">
        <v>78</v>
      </c>
      <c r="X9" s="109" t="s">
        <v>78</v>
      </c>
      <c r="Y9" s="109" t="s">
        <v>78</v>
      </c>
      <c r="Z9" s="109" t="s">
        <v>78</v>
      </c>
      <c r="AA9" s="108" t="s">
        <v>79</v>
      </c>
      <c r="AB9" s="108" t="s">
        <v>79</v>
      </c>
      <c r="AC9" s="109" t="s">
        <v>78</v>
      </c>
      <c r="AD9" s="109" t="s">
        <v>78</v>
      </c>
      <c r="AE9" s="108" t="s">
        <v>80</v>
      </c>
      <c r="AF9" s="108" t="s">
        <v>81</v>
      </c>
      <c r="AG9" s="108" t="s">
        <v>82</v>
      </c>
      <c r="AH9" s="108" t="s">
        <v>83</v>
      </c>
      <c r="AI9" s="108"/>
      <c r="AJ9" s="109" t="s">
        <v>84</v>
      </c>
      <c r="AK9" s="108" t="s">
        <v>85</v>
      </c>
      <c r="AL9" s="108" t="s">
        <v>86</v>
      </c>
      <c r="AM9" s="108" t="s">
        <v>87</v>
      </c>
      <c r="AN9" s="108" t="s">
        <v>88</v>
      </c>
      <c r="AO9" s="157" t="s">
        <v>89</v>
      </c>
      <c r="AP9" s="157" t="s">
        <v>89</v>
      </c>
      <c r="AQ9" s="109" t="s">
        <v>90</v>
      </c>
      <c r="AR9" s="109" t="s">
        <v>84</v>
      </c>
      <c r="AS9" s="109" t="s">
        <v>91</v>
      </c>
      <c r="AT9" s="109" t="s">
        <v>92</v>
      </c>
      <c r="AU9" s="109" t="s">
        <v>93</v>
      </c>
      <c r="AV9" s="109" t="s">
        <v>94</v>
      </c>
      <c r="AW9" s="167" t="s">
        <v>99</v>
      </c>
      <c r="AX9" s="108"/>
      <c r="AY9" s="168"/>
    </row>
    <row r="10" s="31" customFormat="1" spans="1:51">
      <c r="A10" s="103" t="str">
        <f t="shared" si="0"/>
        <v>4-0</v>
      </c>
      <c r="B10" s="108">
        <v>4</v>
      </c>
      <c r="C10" s="126" t="s">
        <v>100</v>
      </c>
      <c r="D10" s="108" t="s">
        <v>101</v>
      </c>
      <c r="E10" s="127">
        <v>0</v>
      </c>
      <c r="F10" s="128" t="s">
        <v>63</v>
      </c>
      <c r="G10" s="173" t="s">
        <v>64</v>
      </c>
      <c r="H10" s="128" t="str">
        <f t="shared" si="1"/>
        <v>Hose, Breather; Ø 3.5 mm × 7.5 mm; TSM1656G-2 </v>
      </c>
      <c r="I10" s="128" t="s">
        <v>65</v>
      </c>
      <c r="J10" s="128" t="s">
        <v>66</v>
      </c>
      <c r="K10" s="128" t="s">
        <v>102</v>
      </c>
      <c r="L10" s="126" t="s">
        <v>103</v>
      </c>
      <c r="M10" s="126" t="s">
        <v>79</v>
      </c>
      <c r="N10" s="145" t="s">
        <v>70</v>
      </c>
      <c r="O10" s="145" t="s">
        <v>79</v>
      </c>
      <c r="P10" s="174" t="s">
        <v>71</v>
      </c>
      <c r="Q10" s="126" t="s">
        <v>79</v>
      </c>
      <c r="R10" s="109" t="s">
        <v>73</v>
      </c>
      <c r="S10" s="108" t="s">
        <v>74</v>
      </c>
      <c r="T10" s="108" t="s">
        <v>79</v>
      </c>
      <c r="U10" s="109" t="s">
        <v>75</v>
      </c>
      <c r="V10" s="108" t="s">
        <v>79</v>
      </c>
      <c r="W10" s="109" t="s">
        <v>77</v>
      </c>
      <c r="X10" s="108" t="s">
        <v>79</v>
      </c>
      <c r="Y10" s="109" t="s">
        <v>77</v>
      </c>
      <c r="Z10" s="108" t="s">
        <v>79</v>
      </c>
      <c r="AA10" s="108" t="s">
        <v>79</v>
      </c>
      <c r="AB10" s="108" t="s">
        <v>79</v>
      </c>
      <c r="AC10" s="109" t="s">
        <v>77</v>
      </c>
      <c r="AD10" s="108" t="s">
        <v>79</v>
      </c>
      <c r="AE10" s="108" t="s">
        <v>80</v>
      </c>
      <c r="AF10" s="108" t="s">
        <v>79</v>
      </c>
      <c r="AG10" s="108" t="s">
        <v>82</v>
      </c>
      <c r="AH10" s="108" t="s">
        <v>79</v>
      </c>
      <c r="AI10" s="108"/>
      <c r="AJ10" s="109" t="s">
        <v>84</v>
      </c>
      <c r="AK10" s="108" t="s">
        <v>79</v>
      </c>
      <c r="AL10" s="108" t="s">
        <v>79</v>
      </c>
      <c r="AM10" s="108" t="s">
        <v>79</v>
      </c>
      <c r="AN10" s="108" t="s">
        <v>88</v>
      </c>
      <c r="AO10" s="157" t="s">
        <v>89</v>
      </c>
      <c r="AP10" s="157" t="s">
        <v>89</v>
      </c>
      <c r="AQ10" s="109" t="s">
        <v>90</v>
      </c>
      <c r="AR10" s="109" t="s">
        <v>84</v>
      </c>
      <c r="AS10" s="108" t="s">
        <v>79</v>
      </c>
      <c r="AT10" s="108" t="s">
        <v>79</v>
      </c>
      <c r="AU10" s="109" t="s">
        <v>93</v>
      </c>
      <c r="AV10" s="109" t="s">
        <v>94</v>
      </c>
      <c r="AW10" s="167" t="s">
        <v>104</v>
      </c>
      <c r="AX10" s="108"/>
      <c r="AY10" s="104"/>
    </row>
    <row r="11" s="31" customFormat="1" spans="1:51">
      <c r="A11" s="103" t="str">
        <f t="shared" si="0"/>
        <v>5-0</v>
      </c>
      <c r="B11" s="108">
        <v>5</v>
      </c>
      <c r="C11" s="126" t="s">
        <v>61</v>
      </c>
      <c r="D11" s="108" t="s">
        <v>105</v>
      </c>
      <c r="E11" s="127">
        <v>0</v>
      </c>
      <c r="F11" s="128" t="s">
        <v>106</v>
      </c>
      <c r="G11" s="173" t="s">
        <v>64</v>
      </c>
      <c r="H11" s="128" t="str">
        <f t="shared" si="1"/>
        <v>Hose, Vacuum; Ø 3.5 mm × 7.5 mm; - </v>
      </c>
      <c r="I11" s="128" t="s">
        <v>107</v>
      </c>
      <c r="J11" s="128" t="s">
        <v>66</v>
      </c>
      <c r="K11" s="126" t="s">
        <v>79</v>
      </c>
      <c r="L11" s="126" t="s">
        <v>108</v>
      </c>
      <c r="M11" s="126" t="s">
        <v>109</v>
      </c>
      <c r="N11" s="145" t="s">
        <v>70</v>
      </c>
      <c r="O11" s="145" t="s">
        <v>70</v>
      </c>
      <c r="P11" s="174" t="s">
        <v>71</v>
      </c>
      <c r="Q11" s="109" t="s">
        <v>72</v>
      </c>
      <c r="R11" s="109" t="s">
        <v>110</v>
      </c>
      <c r="S11" s="108" t="s">
        <v>74</v>
      </c>
      <c r="T11" s="108" t="s">
        <v>74</v>
      </c>
      <c r="U11" s="109" t="s">
        <v>111</v>
      </c>
      <c r="V11" s="109" t="s">
        <v>111</v>
      </c>
      <c r="W11" s="109" t="s">
        <v>76</v>
      </c>
      <c r="X11" s="109" t="s">
        <v>78</v>
      </c>
      <c r="Y11" s="109" t="s">
        <v>112</v>
      </c>
      <c r="Z11" s="109" t="s">
        <v>78</v>
      </c>
      <c r="AA11" s="109" t="s">
        <v>76</v>
      </c>
      <c r="AB11" s="108" t="s">
        <v>79</v>
      </c>
      <c r="AC11" s="109" t="s">
        <v>76</v>
      </c>
      <c r="AD11" s="109" t="s">
        <v>78</v>
      </c>
      <c r="AE11" s="108" t="s">
        <v>113</v>
      </c>
      <c r="AF11" s="108" t="s">
        <v>114</v>
      </c>
      <c r="AG11" s="108" t="s">
        <v>115</v>
      </c>
      <c r="AH11" s="108" t="s">
        <v>116</v>
      </c>
      <c r="AI11" s="108"/>
      <c r="AJ11" s="109" t="s">
        <v>84</v>
      </c>
      <c r="AK11" s="108" t="s">
        <v>85</v>
      </c>
      <c r="AL11" s="108" t="s">
        <v>117</v>
      </c>
      <c r="AM11" s="108" t="s">
        <v>87</v>
      </c>
      <c r="AN11" s="108" t="s">
        <v>88</v>
      </c>
      <c r="AO11" s="157" t="s">
        <v>89</v>
      </c>
      <c r="AP11" s="157" t="s">
        <v>89</v>
      </c>
      <c r="AQ11" s="109" t="s">
        <v>90</v>
      </c>
      <c r="AR11" s="109" t="s">
        <v>84</v>
      </c>
      <c r="AS11" s="109" t="s">
        <v>118</v>
      </c>
      <c r="AT11" s="109" t="s">
        <v>92</v>
      </c>
      <c r="AU11" s="109" t="s">
        <v>93</v>
      </c>
      <c r="AV11" s="109" t="s">
        <v>94</v>
      </c>
      <c r="AW11" s="167" t="s">
        <v>119</v>
      </c>
      <c r="AX11" s="108"/>
      <c r="AY11" s="104"/>
    </row>
    <row r="12" s="31" customFormat="1" spans="1:51">
      <c r="A12" s="103" t="str">
        <f t="shared" si="0"/>
        <v>6-0</v>
      </c>
      <c r="B12" s="108">
        <v>6</v>
      </c>
      <c r="C12" s="126" t="s">
        <v>61</v>
      </c>
      <c r="D12" s="108" t="s">
        <v>120</v>
      </c>
      <c r="E12" s="127">
        <v>0</v>
      </c>
      <c r="F12" s="128" t="s">
        <v>63</v>
      </c>
      <c r="G12" s="173" t="s">
        <v>64</v>
      </c>
      <c r="H12" s="128" t="str">
        <f t="shared" si="1"/>
        <v>Hose, Fuel; Ø 5.4 mm × 10.4 mm; TSM1651G-2 </v>
      </c>
      <c r="I12" s="128" t="s">
        <v>121</v>
      </c>
      <c r="J12" s="128" t="s">
        <v>122</v>
      </c>
      <c r="K12" s="137" t="s">
        <v>123</v>
      </c>
      <c r="L12" s="126" t="s">
        <v>124</v>
      </c>
      <c r="M12" s="126" t="s">
        <v>69</v>
      </c>
      <c r="N12" s="145" t="s">
        <v>70</v>
      </c>
      <c r="O12" s="145" t="s">
        <v>70</v>
      </c>
      <c r="P12" s="174" t="s">
        <v>125</v>
      </c>
      <c r="Q12" s="126" t="s">
        <v>126</v>
      </c>
      <c r="R12" s="109" t="s">
        <v>127</v>
      </c>
      <c r="S12" s="108" t="s">
        <v>74</v>
      </c>
      <c r="T12" s="108" t="s">
        <v>74</v>
      </c>
      <c r="U12" s="109" t="s">
        <v>76</v>
      </c>
      <c r="V12" s="109" t="s">
        <v>76</v>
      </c>
      <c r="W12" s="109" t="s">
        <v>78</v>
      </c>
      <c r="X12" s="109" t="s">
        <v>78</v>
      </c>
      <c r="Y12" s="109" t="s">
        <v>78</v>
      </c>
      <c r="Z12" s="109" t="s">
        <v>78</v>
      </c>
      <c r="AA12" s="108" t="s">
        <v>79</v>
      </c>
      <c r="AB12" s="108" t="s">
        <v>79</v>
      </c>
      <c r="AC12" s="109" t="s">
        <v>78</v>
      </c>
      <c r="AD12" s="109" t="s">
        <v>78</v>
      </c>
      <c r="AE12" s="108" t="s">
        <v>128</v>
      </c>
      <c r="AF12" s="108" t="s">
        <v>129</v>
      </c>
      <c r="AG12" s="108" t="s">
        <v>82</v>
      </c>
      <c r="AH12" s="108" t="s">
        <v>83</v>
      </c>
      <c r="AI12" s="108"/>
      <c r="AJ12" s="109" t="s">
        <v>130</v>
      </c>
      <c r="AK12" s="108" t="s">
        <v>85</v>
      </c>
      <c r="AL12" s="108" t="s">
        <v>131</v>
      </c>
      <c r="AM12" s="108" t="s">
        <v>132</v>
      </c>
      <c r="AN12" s="108" t="s">
        <v>88</v>
      </c>
      <c r="AO12" s="157" t="s">
        <v>89</v>
      </c>
      <c r="AP12" s="157" t="s">
        <v>89</v>
      </c>
      <c r="AQ12" s="109" t="s">
        <v>133</v>
      </c>
      <c r="AR12" s="109" t="s">
        <v>130</v>
      </c>
      <c r="AS12" s="109" t="s">
        <v>134</v>
      </c>
      <c r="AT12" s="109" t="s">
        <v>92</v>
      </c>
      <c r="AU12" s="109" t="s">
        <v>135</v>
      </c>
      <c r="AV12" s="109" t="s">
        <v>94</v>
      </c>
      <c r="AW12" s="167" t="s">
        <v>136</v>
      </c>
      <c r="AX12" s="108"/>
      <c r="AY12" s="104"/>
    </row>
    <row r="13" s="30" customFormat="1" spans="1:51">
      <c r="A13" s="103" t="str">
        <f t="shared" si="0"/>
        <v>7-0</v>
      </c>
      <c r="B13" s="108">
        <v>7</v>
      </c>
      <c r="C13" s="126" t="s">
        <v>61</v>
      </c>
      <c r="D13" s="108" t="s">
        <v>137</v>
      </c>
      <c r="E13" s="127">
        <v>0</v>
      </c>
      <c r="F13" s="128" t="s">
        <v>63</v>
      </c>
      <c r="G13" s="173" t="s">
        <v>138</v>
      </c>
      <c r="H13" s="128" t="str">
        <f t="shared" si="1"/>
        <v>Hose, Fuel; Ø 5.4 mm × 10.4 mm; TSM1651G-2 </v>
      </c>
      <c r="I13" s="128" t="s">
        <v>121</v>
      </c>
      <c r="J13" s="128" t="s">
        <v>122</v>
      </c>
      <c r="K13" s="137" t="s">
        <v>123</v>
      </c>
      <c r="L13" s="126" t="s">
        <v>124</v>
      </c>
      <c r="M13" s="126" t="s">
        <v>69</v>
      </c>
      <c r="N13" s="145" t="s">
        <v>70</v>
      </c>
      <c r="O13" s="145" t="s">
        <v>70</v>
      </c>
      <c r="P13" s="174" t="s">
        <v>125</v>
      </c>
      <c r="Q13" s="126" t="s">
        <v>126</v>
      </c>
      <c r="R13" s="109" t="s">
        <v>127</v>
      </c>
      <c r="S13" s="108" t="s">
        <v>74</v>
      </c>
      <c r="T13" s="108" t="s">
        <v>74</v>
      </c>
      <c r="U13" s="109" t="s">
        <v>76</v>
      </c>
      <c r="V13" s="109" t="s">
        <v>76</v>
      </c>
      <c r="W13" s="109" t="s">
        <v>78</v>
      </c>
      <c r="X13" s="109" t="s">
        <v>78</v>
      </c>
      <c r="Y13" s="109" t="s">
        <v>78</v>
      </c>
      <c r="Z13" s="109" t="s">
        <v>78</v>
      </c>
      <c r="AA13" s="108" t="s">
        <v>79</v>
      </c>
      <c r="AB13" s="108" t="s">
        <v>79</v>
      </c>
      <c r="AC13" s="109" t="s">
        <v>78</v>
      </c>
      <c r="AD13" s="109" t="s">
        <v>78</v>
      </c>
      <c r="AE13" s="108" t="s">
        <v>80</v>
      </c>
      <c r="AF13" s="108" t="s">
        <v>81</v>
      </c>
      <c r="AG13" s="108" t="s">
        <v>82</v>
      </c>
      <c r="AH13" s="108" t="s">
        <v>83</v>
      </c>
      <c r="AI13" s="108"/>
      <c r="AJ13" s="109" t="s">
        <v>130</v>
      </c>
      <c r="AK13" s="108" t="s">
        <v>85</v>
      </c>
      <c r="AL13" s="108" t="s">
        <v>131</v>
      </c>
      <c r="AM13" s="108" t="s">
        <v>132</v>
      </c>
      <c r="AN13" s="108" t="s">
        <v>88</v>
      </c>
      <c r="AO13" s="157" t="s">
        <v>89</v>
      </c>
      <c r="AP13" s="157" t="s">
        <v>89</v>
      </c>
      <c r="AQ13" s="109" t="s">
        <v>133</v>
      </c>
      <c r="AR13" s="109" t="s">
        <v>130</v>
      </c>
      <c r="AS13" s="109" t="s">
        <v>134</v>
      </c>
      <c r="AT13" s="109">
        <v>0.1</v>
      </c>
      <c r="AU13" s="109" t="s">
        <v>135</v>
      </c>
      <c r="AV13" s="109" t="s">
        <v>94</v>
      </c>
      <c r="AW13" s="167" t="s">
        <v>139</v>
      </c>
      <c r="AX13" s="108"/>
      <c r="AY13" s="168"/>
    </row>
    <row r="14" s="31" customFormat="1" spans="1:51">
      <c r="A14" s="103" t="str">
        <f t="shared" si="0"/>
        <v>8-0</v>
      </c>
      <c r="B14" s="108">
        <v>8</v>
      </c>
      <c r="C14" s="126" t="s">
        <v>61</v>
      </c>
      <c r="D14" s="108" t="s">
        <v>140</v>
      </c>
      <c r="E14" s="127">
        <v>0</v>
      </c>
      <c r="F14" s="128" t="s">
        <v>141</v>
      </c>
      <c r="G14" s="173" t="s">
        <v>64</v>
      </c>
      <c r="H14" s="128" t="str">
        <f t="shared" si="1"/>
        <v>Hose, Fuel; Ø 5.4 mm × 10.4 mm; DTSM1651G-2 </v>
      </c>
      <c r="I14" s="128" t="s">
        <v>121</v>
      </c>
      <c r="J14" s="128" t="s">
        <v>122</v>
      </c>
      <c r="K14" s="128" t="s">
        <v>142</v>
      </c>
      <c r="L14" s="126" t="s">
        <v>143</v>
      </c>
      <c r="M14" s="126" t="s">
        <v>109</v>
      </c>
      <c r="N14" s="145" t="s">
        <v>70</v>
      </c>
      <c r="O14" s="145" t="s">
        <v>70</v>
      </c>
      <c r="P14" s="174" t="s">
        <v>125</v>
      </c>
      <c r="Q14" s="126" t="s">
        <v>126</v>
      </c>
      <c r="R14" s="109" t="s">
        <v>144</v>
      </c>
      <c r="S14" s="108" t="s">
        <v>145</v>
      </c>
      <c r="T14" s="108" t="s">
        <v>145</v>
      </c>
      <c r="U14" s="109" t="s">
        <v>146</v>
      </c>
      <c r="V14" s="109" t="s">
        <v>111</v>
      </c>
      <c r="W14" s="109" t="s">
        <v>111</v>
      </c>
      <c r="X14" s="109" t="s">
        <v>76</v>
      </c>
      <c r="Y14" s="109" t="s">
        <v>111</v>
      </c>
      <c r="Z14" s="109" t="s">
        <v>76</v>
      </c>
      <c r="AA14" s="108" t="s">
        <v>79</v>
      </c>
      <c r="AB14" s="108" t="s">
        <v>79</v>
      </c>
      <c r="AC14" s="109" t="s">
        <v>111</v>
      </c>
      <c r="AD14" s="109" t="s">
        <v>76</v>
      </c>
      <c r="AE14" s="108" t="s">
        <v>147</v>
      </c>
      <c r="AF14" s="108" t="s">
        <v>148</v>
      </c>
      <c r="AG14" s="108" t="s">
        <v>149</v>
      </c>
      <c r="AH14" s="108" t="s">
        <v>150</v>
      </c>
      <c r="AI14" s="108"/>
      <c r="AJ14" s="109" t="s">
        <v>130</v>
      </c>
      <c r="AK14" s="108" t="s">
        <v>85</v>
      </c>
      <c r="AL14" s="108" t="s">
        <v>131</v>
      </c>
      <c r="AM14" s="108" t="s">
        <v>132</v>
      </c>
      <c r="AN14" s="108" t="s">
        <v>88</v>
      </c>
      <c r="AO14" s="157" t="s">
        <v>89</v>
      </c>
      <c r="AP14" s="157" t="s">
        <v>89</v>
      </c>
      <c r="AQ14" s="109" t="s">
        <v>151</v>
      </c>
      <c r="AR14" s="109" t="s">
        <v>152</v>
      </c>
      <c r="AS14" s="109" t="s">
        <v>134</v>
      </c>
      <c r="AT14" s="109" t="s">
        <v>94</v>
      </c>
      <c r="AU14" s="109" t="s">
        <v>135</v>
      </c>
      <c r="AV14" s="109" t="s">
        <v>94</v>
      </c>
      <c r="AW14" s="167" t="s">
        <v>153</v>
      </c>
      <c r="AX14" s="108"/>
      <c r="AY14" s="104"/>
    </row>
    <row r="15" s="30" customFormat="1" spans="1:51">
      <c r="A15" s="103" t="str">
        <f t="shared" si="0"/>
        <v>9-0</v>
      </c>
      <c r="B15" s="108">
        <v>9</v>
      </c>
      <c r="C15" s="126" t="s">
        <v>61</v>
      </c>
      <c r="D15" s="108" t="s">
        <v>154</v>
      </c>
      <c r="E15" s="127">
        <v>0</v>
      </c>
      <c r="F15" s="128" t="s">
        <v>63</v>
      </c>
      <c r="G15" s="173" t="s">
        <v>138</v>
      </c>
      <c r="H15" s="128" t="str">
        <f t="shared" si="1"/>
        <v>Hose, Fuel; Ø 7 mm × 12 mm; TSM1651G-2 </v>
      </c>
      <c r="I15" s="128" t="s">
        <v>121</v>
      </c>
      <c r="J15" s="128" t="s">
        <v>155</v>
      </c>
      <c r="K15" s="128" t="s">
        <v>123</v>
      </c>
      <c r="L15" s="126" t="s">
        <v>124</v>
      </c>
      <c r="M15" s="126" t="s">
        <v>69</v>
      </c>
      <c r="N15" s="145" t="s">
        <v>70</v>
      </c>
      <c r="O15" s="145" t="s">
        <v>70</v>
      </c>
      <c r="P15" s="174" t="s">
        <v>156</v>
      </c>
      <c r="Q15" s="126" t="s">
        <v>126</v>
      </c>
      <c r="R15" s="109" t="s">
        <v>157</v>
      </c>
      <c r="S15" s="108" t="s">
        <v>74</v>
      </c>
      <c r="T15" s="108" t="s">
        <v>74</v>
      </c>
      <c r="U15" s="109" t="s">
        <v>76</v>
      </c>
      <c r="V15" s="109" t="s">
        <v>76</v>
      </c>
      <c r="W15" s="109" t="s">
        <v>78</v>
      </c>
      <c r="X15" s="109" t="s">
        <v>78</v>
      </c>
      <c r="Y15" s="109" t="s">
        <v>78</v>
      </c>
      <c r="Z15" s="109" t="s">
        <v>78</v>
      </c>
      <c r="AA15" s="108" t="s">
        <v>79</v>
      </c>
      <c r="AB15" s="108" t="s">
        <v>79</v>
      </c>
      <c r="AC15" s="109" t="s">
        <v>78</v>
      </c>
      <c r="AD15" s="109" t="s">
        <v>78</v>
      </c>
      <c r="AE15" s="108" t="s">
        <v>80</v>
      </c>
      <c r="AF15" s="108" t="s">
        <v>81</v>
      </c>
      <c r="AG15" s="108" t="s">
        <v>82</v>
      </c>
      <c r="AH15" s="108" t="s">
        <v>83</v>
      </c>
      <c r="AI15" s="108"/>
      <c r="AJ15" s="109" t="s">
        <v>158</v>
      </c>
      <c r="AK15" s="108" t="s">
        <v>85</v>
      </c>
      <c r="AL15" s="108" t="s">
        <v>131</v>
      </c>
      <c r="AM15" s="108" t="s">
        <v>132</v>
      </c>
      <c r="AN15" s="108" t="s">
        <v>88</v>
      </c>
      <c r="AO15" s="157" t="s">
        <v>89</v>
      </c>
      <c r="AP15" s="157" t="s">
        <v>89</v>
      </c>
      <c r="AQ15" s="109" t="s">
        <v>159</v>
      </c>
      <c r="AR15" s="109" t="s">
        <v>158</v>
      </c>
      <c r="AS15" s="109" t="s">
        <v>134</v>
      </c>
      <c r="AT15" s="109" t="s">
        <v>92</v>
      </c>
      <c r="AU15" s="109" t="s">
        <v>135</v>
      </c>
      <c r="AV15" s="109" t="s">
        <v>94</v>
      </c>
      <c r="AW15" s="167" t="s">
        <v>160</v>
      </c>
      <c r="AX15" s="108"/>
      <c r="AY15" s="168"/>
    </row>
    <row r="16" s="31" customFormat="1" spans="1:51">
      <c r="A16" s="103" t="str">
        <f t="shared" si="0"/>
        <v>10-0</v>
      </c>
      <c r="B16" s="108">
        <v>10</v>
      </c>
      <c r="C16" s="126" t="s">
        <v>61</v>
      </c>
      <c r="D16" s="108" t="s">
        <v>161</v>
      </c>
      <c r="E16" s="127">
        <v>0</v>
      </c>
      <c r="F16" s="128" t="s">
        <v>63</v>
      </c>
      <c r="G16" s="173" t="s">
        <v>64</v>
      </c>
      <c r="H16" s="128" t="str">
        <f t="shared" si="1"/>
        <v>Hose, Fuel; Ø 7 mm × 12 mm; TSM1651G-2 </v>
      </c>
      <c r="I16" s="128" t="s">
        <v>121</v>
      </c>
      <c r="J16" s="128" t="s">
        <v>155</v>
      </c>
      <c r="K16" s="128" t="s">
        <v>123</v>
      </c>
      <c r="L16" s="126" t="s">
        <v>124</v>
      </c>
      <c r="M16" s="126" t="s">
        <v>69</v>
      </c>
      <c r="N16" s="145" t="s">
        <v>70</v>
      </c>
      <c r="O16" s="145" t="s">
        <v>70</v>
      </c>
      <c r="P16" s="174" t="s">
        <v>156</v>
      </c>
      <c r="Q16" s="126" t="s">
        <v>126</v>
      </c>
      <c r="R16" s="109" t="s">
        <v>157</v>
      </c>
      <c r="S16" s="108" t="s">
        <v>74</v>
      </c>
      <c r="T16" s="108" t="s">
        <v>74</v>
      </c>
      <c r="U16" s="109" t="s">
        <v>76</v>
      </c>
      <c r="V16" s="109" t="s">
        <v>76</v>
      </c>
      <c r="W16" s="109" t="s">
        <v>78</v>
      </c>
      <c r="X16" s="109" t="s">
        <v>78</v>
      </c>
      <c r="Y16" s="109" t="s">
        <v>78</v>
      </c>
      <c r="Z16" s="109" t="s">
        <v>78</v>
      </c>
      <c r="AA16" s="108" t="s">
        <v>79</v>
      </c>
      <c r="AB16" s="108" t="s">
        <v>79</v>
      </c>
      <c r="AC16" s="109" t="s">
        <v>78</v>
      </c>
      <c r="AD16" s="109" t="s">
        <v>78</v>
      </c>
      <c r="AE16" s="108" t="s">
        <v>80</v>
      </c>
      <c r="AF16" s="108" t="s">
        <v>81</v>
      </c>
      <c r="AG16" s="108" t="s">
        <v>82</v>
      </c>
      <c r="AH16" s="108" t="s">
        <v>83</v>
      </c>
      <c r="AI16" s="108"/>
      <c r="AJ16" s="109" t="s">
        <v>158</v>
      </c>
      <c r="AK16" s="108" t="s">
        <v>85</v>
      </c>
      <c r="AL16" s="108" t="s">
        <v>131</v>
      </c>
      <c r="AM16" s="108" t="s">
        <v>132</v>
      </c>
      <c r="AN16" s="108" t="s">
        <v>88</v>
      </c>
      <c r="AO16" s="157" t="s">
        <v>89</v>
      </c>
      <c r="AP16" s="157" t="s">
        <v>89</v>
      </c>
      <c r="AQ16" s="109" t="s">
        <v>159</v>
      </c>
      <c r="AR16" s="109" t="s">
        <v>158</v>
      </c>
      <c r="AS16" s="109" t="s">
        <v>134</v>
      </c>
      <c r="AT16" s="109" t="s">
        <v>92</v>
      </c>
      <c r="AU16" s="109" t="s">
        <v>135</v>
      </c>
      <c r="AV16" s="109" t="s">
        <v>94</v>
      </c>
      <c r="AW16" s="167" t="s">
        <v>162</v>
      </c>
      <c r="AX16" s="108"/>
      <c r="AY16" s="104"/>
    </row>
    <row r="17" s="31" customFormat="1" spans="1:51">
      <c r="A17" s="103" t="str">
        <f t="shared" si="0"/>
        <v>11-0</v>
      </c>
      <c r="B17" s="108">
        <v>11</v>
      </c>
      <c r="C17" s="126" t="s">
        <v>61</v>
      </c>
      <c r="D17" s="108" t="s">
        <v>163</v>
      </c>
      <c r="E17" s="127">
        <v>0</v>
      </c>
      <c r="F17" s="128" t="s">
        <v>63</v>
      </c>
      <c r="G17" s="173" t="s">
        <v>64</v>
      </c>
      <c r="H17" s="128" t="str">
        <f t="shared" si="1"/>
        <v>Hose, Fuel; Ø 7 mm × 14 mm; TSM1651G-2 </v>
      </c>
      <c r="I17" s="128" t="s">
        <v>121</v>
      </c>
      <c r="J17" s="128" t="s">
        <v>164</v>
      </c>
      <c r="K17" s="128" t="s">
        <v>123</v>
      </c>
      <c r="L17" s="126" t="s">
        <v>124</v>
      </c>
      <c r="M17" s="126" t="s">
        <v>69</v>
      </c>
      <c r="N17" s="145" t="s">
        <v>70</v>
      </c>
      <c r="O17" s="145" t="s">
        <v>70</v>
      </c>
      <c r="P17" s="174" t="s">
        <v>156</v>
      </c>
      <c r="Q17" s="126" t="s">
        <v>126</v>
      </c>
      <c r="R17" s="126" t="s">
        <v>165</v>
      </c>
      <c r="S17" s="108" t="s">
        <v>74</v>
      </c>
      <c r="T17" s="108" t="s">
        <v>74</v>
      </c>
      <c r="U17" s="109" t="s">
        <v>76</v>
      </c>
      <c r="V17" s="109" t="s">
        <v>76</v>
      </c>
      <c r="W17" s="109" t="s">
        <v>78</v>
      </c>
      <c r="X17" s="109" t="s">
        <v>78</v>
      </c>
      <c r="Y17" s="109" t="s">
        <v>78</v>
      </c>
      <c r="Z17" s="109" t="s">
        <v>78</v>
      </c>
      <c r="AA17" s="108" t="s">
        <v>79</v>
      </c>
      <c r="AB17" s="108" t="s">
        <v>79</v>
      </c>
      <c r="AC17" s="109" t="s">
        <v>78</v>
      </c>
      <c r="AD17" s="109" t="s">
        <v>78</v>
      </c>
      <c r="AE17" s="108" t="s">
        <v>80</v>
      </c>
      <c r="AF17" s="108" t="s">
        <v>81</v>
      </c>
      <c r="AG17" s="108" t="s">
        <v>82</v>
      </c>
      <c r="AH17" s="108" t="s">
        <v>83</v>
      </c>
      <c r="AI17" s="108"/>
      <c r="AJ17" s="109" t="s">
        <v>166</v>
      </c>
      <c r="AK17" s="108" t="s">
        <v>85</v>
      </c>
      <c r="AL17" s="108" t="s">
        <v>131</v>
      </c>
      <c r="AM17" s="108" t="s">
        <v>132</v>
      </c>
      <c r="AN17" s="108" t="s">
        <v>88</v>
      </c>
      <c r="AO17" s="157" t="s">
        <v>89</v>
      </c>
      <c r="AP17" s="157" t="s">
        <v>89</v>
      </c>
      <c r="AQ17" s="109" t="s">
        <v>159</v>
      </c>
      <c r="AR17" s="109" t="s">
        <v>166</v>
      </c>
      <c r="AS17" s="109" t="s">
        <v>167</v>
      </c>
      <c r="AT17" s="109" t="s">
        <v>92</v>
      </c>
      <c r="AU17" s="109" t="s">
        <v>90</v>
      </c>
      <c r="AV17" s="109" t="s">
        <v>94</v>
      </c>
      <c r="AW17" s="167" t="s">
        <v>168</v>
      </c>
      <c r="AX17" s="108"/>
      <c r="AY17" s="104"/>
    </row>
    <row r="18" s="30" customFormat="1" spans="1:51">
      <c r="A18" s="103" t="str">
        <f t="shared" si="0"/>
        <v>12-0</v>
      </c>
      <c r="B18" s="108">
        <v>12</v>
      </c>
      <c r="C18" s="126" t="s">
        <v>61</v>
      </c>
      <c r="D18" s="108" t="s">
        <v>169</v>
      </c>
      <c r="E18" s="127">
        <v>0</v>
      </c>
      <c r="F18" s="128" t="s">
        <v>63</v>
      </c>
      <c r="G18" s="173" t="s">
        <v>138</v>
      </c>
      <c r="H18" s="128" t="str">
        <f t="shared" si="1"/>
        <v>Hose, Fuel; Ø 7 mm × 14 mm; TSM1651G-2 </v>
      </c>
      <c r="I18" s="128" t="s">
        <v>121</v>
      </c>
      <c r="J18" s="128" t="s">
        <v>164</v>
      </c>
      <c r="K18" s="128" t="s">
        <v>123</v>
      </c>
      <c r="L18" s="126" t="s">
        <v>124</v>
      </c>
      <c r="M18" s="126" t="s">
        <v>69</v>
      </c>
      <c r="N18" s="145" t="s">
        <v>70</v>
      </c>
      <c r="O18" s="145" t="s">
        <v>70</v>
      </c>
      <c r="P18" s="174" t="s">
        <v>156</v>
      </c>
      <c r="Q18" s="126" t="s">
        <v>170</v>
      </c>
      <c r="R18" s="126" t="s">
        <v>170</v>
      </c>
      <c r="S18" s="108" t="s">
        <v>74</v>
      </c>
      <c r="T18" s="108" t="s">
        <v>74</v>
      </c>
      <c r="U18" s="109" t="s">
        <v>76</v>
      </c>
      <c r="V18" s="109" t="s">
        <v>76</v>
      </c>
      <c r="W18" s="109" t="s">
        <v>78</v>
      </c>
      <c r="X18" s="109" t="s">
        <v>78</v>
      </c>
      <c r="Y18" s="109" t="s">
        <v>78</v>
      </c>
      <c r="Z18" s="109" t="s">
        <v>78</v>
      </c>
      <c r="AA18" s="108" t="s">
        <v>79</v>
      </c>
      <c r="AB18" s="108" t="s">
        <v>79</v>
      </c>
      <c r="AC18" s="109" t="s">
        <v>78</v>
      </c>
      <c r="AD18" s="109" t="s">
        <v>78</v>
      </c>
      <c r="AE18" s="108" t="s">
        <v>80</v>
      </c>
      <c r="AF18" s="108" t="s">
        <v>81</v>
      </c>
      <c r="AG18" s="108" t="s">
        <v>82</v>
      </c>
      <c r="AH18" s="108" t="s">
        <v>83</v>
      </c>
      <c r="AI18" s="108"/>
      <c r="AJ18" s="109" t="s">
        <v>166</v>
      </c>
      <c r="AK18" s="108" t="s">
        <v>85</v>
      </c>
      <c r="AL18" s="108" t="s">
        <v>131</v>
      </c>
      <c r="AM18" s="108" t="s">
        <v>132</v>
      </c>
      <c r="AN18" s="108" t="s">
        <v>88</v>
      </c>
      <c r="AO18" s="157" t="s">
        <v>89</v>
      </c>
      <c r="AP18" s="157" t="s">
        <v>89</v>
      </c>
      <c r="AQ18" s="109" t="s">
        <v>159</v>
      </c>
      <c r="AR18" s="109" t="s">
        <v>166</v>
      </c>
      <c r="AS18" s="109" t="s">
        <v>167</v>
      </c>
      <c r="AT18" s="109">
        <v>0.1</v>
      </c>
      <c r="AU18" s="109" t="s">
        <v>90</v>
      </c>
      <c r="AV18" s="109" t="s">
        <v>94</v>
      </c>
      <c r="AW18" s="167" t="s">
        <v>171</v>
      </c>
      <c r="AX18" s="108"/>
      <c r="AY18" s="168"/>
    </row>
    <row r="19" s="31" customFormat="1" spans="1:51">
      <c r="A19" s="103" t="str">
        <f t="shared" si="0"/>
        <v>13-0</v>
      </c>
      <c r="B19" s="108">
        <v>13</v>
      </c>
      <c r="C19" s="126" t="s">
        <v>61</v>
      </c>
      <c r="D19" s="108" t="s">
        <v>172</v>
      </c>
      <c r="E19" s="127">
        <v>0</v>
      </c>
      <c r="F19" s="128" t="s">
        <v>141</v>
      </c>
      <c r="G19" s="173" t="s">
        <v>64</v>
      </c>
      <c r="H19" s="128" t="str">
        <f t="shared" si="1"/>
        <v>Hose, Fuel; Ø 7 mm × 14 mm; DTSM1651G-2 </v>
      </c>
      <c r="I19" s="128" t="s">
        <v>121</v>
      </c>
      <c r="J19" s="128" t="s">
        <v>164</v>
      </c>
      <c r="K19" s="128" t="s">
        <v>142</v>
      </c>
      <c r="L19" s="126" t="s">
        <v>143</v>
      </c>
      <c r="M19" s="126" t="s">
        <v>109</v>
      </c>
      <c r="N19" s="145" t="s">
        <v>70</v>
      </c>
      <c r="O19" s="145" t="s">
        <v>70</v>
      </c>
      <c r="P19" s="174" t="s">
        <v>156</v>
      </c>
      <c r="Q19" s="126" t="s">
        <v>173</v>
      </c>
      <c r="R19" s="126" t="s">
        <v>170</v>
      </c>
      <c r="S19" s="108" t="s">
        <v>74</v>
      </c>
      <c r="T19" s="108" t="s">
        <v>74</v>
      </c>
      <c r="U19" s="109" t="s">
        <v>111</v>
      </c>
      <c r="V19" s="109" t="s">
        <v>111</v>
      </c>
      <c r="W19" s="109" t="s">
        <v>76</v>
      </c>
      <c r="X19" s="109" t="s">
        <v>76</v>
      </c>
      <c r="Y19" s="109" t="s">
        <v>76</v>
      </c>
      <c r="Z19" s="109" t="s">
        <v>76</v>
      </c>
      <c r="AA19" s="126" t="s">
        <v>79</v>
      </c>
      <c r="AB19" s="126" t="s">
        <v>79</v>
      </c>
      <c r="AC19" s="109" t="s">
        <v>76</v>
      </c>
      <c r="AD19" s="109" t="s">
        <v>76</v>
      </c>
      <c r="AE19" s="108" t="s">
        <v>174</v>
      </c>
      <c r="AF19" s="108" t="s">
        <v>175</v>
      </c>
      <c r="AG19" s="108" t="s">
        <v>176</v>
      </c>
      <c r="AH19" s="108" t="s">
        <v>177</v>
      </c>
      <c r="AI19" s="108"/>
      <c r="AJ19" s="109" t="s">
        <v>166</v>
      </c>
      <c r="AK19" s="108" t="s">
        <v>85</v>
      </c>
      <c r="AL19" s="108" t="s">
        <v>131</v>
      </c>
      <c r="AM19" s="108" t="s">
        <v>132</v>
      </c>
      <c r="AN19" s="108" t="s">
        <v>88</v>
      </c>
      <c r="AO19" s="157" t="s">
        <v>89</v>
      </c>
      <c r="AP19" s="157" t="s">
        <v>89</v>
      </c>
      <c r="AQ19" s="109" t="s">
        <v>159</v>
      </c>
      <c r="AR19" s="109" t="s">
        <v>178</v>
      </c>
      <c r="AS19" s="109" t="s">
        <v>179</v>
      </c>
      <c r="AT19" s="109" t="s">
        <v>94</v>
      </c>
      <c r="AU19" s="109" t="s">
        <v>90</v>
      </c>
      <c r="AV19" s="109" t="s">
        <v>94</v>
      </c>
      <c r="AW19" s="167" t="s">
        <v>180</v>
      </c>
      <c r="AX19" s="108"/>
      <c r="AY19" s="104"/>
    </row>
    <row r="20" s="31" customFormat="1" spans="1:51">
      <c r="A20" s="103" t="str">
        <f t="shared" si="0"/>
        <v>14-0</v>
      </c>
      <c r="B20" s="108">
        <v>14</v>
      </c>
      <c r="C20" s="126" t="s">
        <v>100</v>
      </c>
      <c r="D20" s="108" t="s">
        <v>181</v>
      </c>
      <c r="E20" s="127">
        <v>0</v>
      </c>
      <c r="F20" s="128" t="s">
        <v>141</v>
      </c>
      <c r="G20" s="173" t="s">
        <v>64</v>
      </c>
      <c r="H20" s="128" t="str">
        <f t="shared" si="1"/>
        <v>Hose, Reservoir; Ø 8.5 mm × 16.6 mm; DTSM1650G-1 </v>
      </c>
      <c r="I20" s="137" t="s">
        <v>182</v>
      </c>
      <c r="J20" s="128" t="s">
        <v>183</v>
      </c>
      <c r="K20" s="137" t="s">
        <v>184</v>
      </c>
      <c r="L20" s="126" t="s">
        <v>185</v>
      </c>
      <c r="M20" s="126" t="s">
        <v>79</v>
      </c>
      <c r="N20" s="145" t="s">
        <v>70</v>
      </c>
      <c r="O20" s="145" t="s">
        <v>79</v>
      </c>
      <c r="P20" s="174" t="s">
        <v>186</v>
      </c>
      <c r="Q20" s="126" t="s">
        <v>79</v>
      </c>
      <c r="R20" s="126" t="s">
        <v>187</v>
      </c>
      <c r="S20" s="108" t="s">
        <v>74</v>
      </c>
      <c r="T20" s="108" t="s">
        <v>79</v>
      </c>
      <c r="U20" s="109" t="s">
        <v>111</v>
      </c>
      <c r="V20" s="108" t="s">
        <v>79</v>
      </c>
      <c r="W20" s="109" t="s">
        <v>78</v>
      </c>
      <c r="X20" s="108" t="s">
        <v>79</v>
      </c>
      <c r="Y20" s="109" t="s">
        <v>78</v>
      </c>
      <c r="Z20" s="108" t="s">
        <v>79</v>
      </c>
      <c r="AA20" s="108" t="s">
        <v>79</v>
      </c>
      <c r="AB20" s="108" t="s">
        <v>79</v>
      </c>
      <c r="AC20" s="109" t="s">
        <v>78</v>
      </c>
      <c r="AD20" s="108" t="s">
        <v>79</v>
      </c>
      <c r="AE20" s="108" t="s">
        <v>188</v>
      </c>
      <c r="AF20" s="108" t="s">
        <v>79</v>
      </c>
      <c r="AG20" s="108" t="s">
        <v>189</v>
      </c>
      <c r="AH20" s="108" t="s">
        <v>79</v>
      </c>
      <c r="AI20" s="108"/>
      <c r="AJ20" s="109" t="s">
        <v>190</v>
      </c>
      <c r="AK20" s="108" t="s">
        <v>79</v>
      </c>
      <c r="AL20" s="108" t="s">
        <v>79</v>
      </c>
      <c r="AM20" s="108" t="s">
        <v>79</v>
      </c>
      <c r="AN20" s="108" t="s">
        <v>88</v>
      </c>
      <c r="AO20" s="157" t="s">
        <v>89</v>
      </c>
      <c r="AP20" s="157" t="s">
        <v>89</v>
      </c>
      <c r="AQ20" s="109" t="s">
        <v>191</v>
      </c>
      <c r="AR20" s="109" t="s">
        <v>192</v>
      </c>
      <c r="AS20" s="108" t="s">
        <v>79</v>
      </c>
      <c r="AT20" s="108" t="s">
        <v>79</v>
      </c>
      <c r="AU20" s="109" t="s">
        <v>193</v>
      </c>
      <c r="AV20" s="109" t="s">
        <v>94</v>
      </c>
      <c r="AW20" s="167" t="s">
        <v>194</v>
      </c>
      <c r="AX20" s="108"/>
      <c r="AY20" s="104"/>
    </row>
    <row r="21" s="31" customFormat="1" spans="1:51">
      <c r="A21" s="103" t="str">
        <f t="shared" si="0"/>
        <v>15-0</v>
      </c>
      <c r="B21" s="108">
        <v>15</v>
      </c>
      <c r="C21" s="126" t="s">
        <v>100</v>
      </c>
      <c r="D21" s="108" t="s">
        <v>195</v>
      </c>
      <c r="E21" s="127">
        <v>0</v>
      </c>
      <c r="F21" s="128" t="s">
        <v>63</v>
      </c>
      <c r="G21" s="173" t="s">
        <v>64</v>
      </c>
      <c r="H21" s="128" t="str">
        <f t="shared" si="1"/>
        <v>Hose, Clutch; Ø 8.5 mm × 17 mm; TSM1650G-1 </v>
      </c>
      <c r="I21" s="137" t="s">
        <v>196</v>
      </c>
      <c r="J21" s="128" t="s">
        <v>197</v>
      </c>
      <c r="K21" s="137" t="s">
        <v>198</v>
      </c>
      <c r="L21" s="126" t="s">
        <v>185</v>
      </c>
      <c r="M21" s="126" t="s">
        <v>79</v>
      </c>
      <c r="N21" s="145" t="s">
        <v>70</v>
      </c>
      <c r="O21" s="145" t="s">
        <v>79</v>
      </c>
      <c r="P21" s="174" t="s">
        <v>186</v>
      </c>
      <c r="Q21" s="126" t="s">
        <v>79</v>
      </c>
      <c r="R21" s="126" t="s">
        <v>199</v>
      </c>
      <c r="S21" s="108" t="s">
        <v>74</v>
      </c>
      <c r="T21" s="108" t="s">
        <v>79</v>
      </c>
      <c r="U21" s="109" t="s">
        <v>146</v>
      </c>
      <c r="V21" s="108" t="s">
        <v>79</v>
      </c>
      <c r="W21" s="109" t="s">
        <v>111</v>
      </c>
      <c r="X21" s="108" t="s">
        <v>79</v>
      </c>
      <c r="Y21" s="109" t="s">
        <v>111</v>
      </c>
      <c r="Z21" s="108" t="s">
        <v>79</v>
      </c>
      <c r="AA21" s="108" t="s">
        <v>79</v>
      </c>
      <c r="AB21" s="108" t="s">
        <v>79</v>
      </c>
      <c r="AC21" s="109" t="s">
        <v>111</v>
      </c>
      <c r="AD21" s="108" t="s">
        <v>79</v>
      </c>
      <c r="AE21" s="108" t="s">
        <v>200</v>
      </c>
      <c r="AF21" s="108" t="s">
        <v>79</v>
      </c>
      <c r="AG21" s="108" t="s">
        <v>201</v>
      </c>
      <c r="AH21" s="108" t="s">
        <v>79</v>
      </c>
      <c r="AI21" s="108"/>
      <c r="AJ21" s="109" t="s">
        <v>202</v>
      </c>
      <c r="AK21" s="108" t="s">
        <v>79</v>
      </c>
      <c r="AL21" s="108" t="s">
        <v>79</v>
      </c>
      <c r="AM21" s="108" t="s">
        <v>79</v>
      </c>
      <c r="AN21" s="108" t="s">
        <v>88</v>
      </c>
      <c r="AO21" s="157" t="s">
        <v>89</v>
      </c>
      <c r="AP21" s="157" t="s">
        <v>89</v>
      </c>
      <c r="AQ21" s="109" t="s">
        <v>203</v>
      </c>
      <c r="AR21" s="109" t="s">
        <v>202</v>
      </c>
      <c r="AS21" s="108" t="s">
        <v>79</v>
      </c>
      <c r="AT21" s="108" t="s">
        <v>79</v>
      </c>
      <c r="AU21" s="109" t="s">
        <v>204</v>
      </c>
      <c r="AV21" s="109" t="s">
        <v>94</v>
      </c>
      <c r="AW21" s="167" t="s">
        <v>205</v>
      </c>
      <c r="AX21" s="108"/>
      <c r="AY21" s="104"/>
    </row>
    <row r="22" s="31" customFormat="1" ht="32.25" customHeight="1" spans="1:51">
      <c r="A22" s="103" t="str">
        <f t="shared" si="0"/>
        <v>16-0</v>
      </c>
      <c r="B22" s="108">
        <v>16</v>
      </c>
      <c r="C22" s="126" t="s">
        <v>61</v>
      </c>
      <c r="D22" s="108" t="s">
        <v>206</v>
      </c>
      <c r="E22" s="127">
        <v>0</v>
      </c>
      <c r="F22" s="128" t="s">
        <v>141</v>
      </c>
      <c r="G22" s="173" t="s">
        <v>64</v>
      </c>
      <c r="H22" s="128" t="str">
        <f t="shared" si="1"/>
        <v>Hose, Ventilation; Ø 9 mm × 17 mm; DTSM1670G-1 </v>
      </c>
      <c r="I22" s="128" t="s">
        <v>207</v>
      </c>
      <c r="J22" s="128" t="s">
        <v>208</v>
      </c>
      <c r="K22" s="128" t="s">
        <v>209</v>
      </c>
      <c r="L22" s="126" t="s">
        <v>210</v>
      </c>
      <c r="M22" s="126" t="s">
        <v>69</v>
      </c>
      <c r="N22" s="145" t="s">
        <v>70</v>
      </c>
      <c r="O22" s="145" t="s">
        <v>70</v>
      </c>
      <c r="P22" s="174" t="s">
        <v>186</v>
      </c>
      <c r="Q22" s="126" t="s">
        <v>211</v>
      </c>
      <c r="R22" s="126" t="s">
        <v>212</v>
      </c>
      <c r="S22" s="108" t="s">
        <v>74</v>
      </c>
      <c r="T22" s="108" t="s">
        <v>74</v>
      </c>
      <c r="U22" s="109" t="s">
        <v>111</v>
      </c>
      <c r="V22" s="109" t="s">
        <v>111</v>
      </c>
      <c r="W22" s="109" t="s">
        <v>78</v>
      </c>
      <c r="X22" s="109" t="s">
        <v>78</v>
      </c>
      <c r="Y22" s="109" t="s">
        <v>78</v>
      </c>
      <c r="Z22" s="109" t="s">
        <v>78</v>
      </c>
      <c r="AA22" s="108" t="s">
        <v>79</v>
      </c>
      <c r="AB22" s="108" t="s">
        <v>79</v>
      </c>
      <c r="AC22" s="109" t="s">
        <v>78</v>
      </c>
      <c r="AD22" s="109" t="s">
        <v>78</v>
      </c>
      <c r="AE22" s="108" t="s">
        <v>213</v>
      </c>
      <c r="AF22" s="108" t="s">
        <v>214</v>
      </c>
      <c r="AG22" s="108" t="s">
        <v>215</v>
      </c>
      <c r="AH22" s="108" t="s">
        <v>216</v>
      </c>
      <c r="AI22" s="108"/>
      <c r="AJ22" s="109" t="s">
        <v>217</v>
      </c>
      <c r="AK22" s="108" t="s">
        <v>85</v>
      </c>
      <c r="AL22" s="108" t="s">
        <v>131</v>
      </c>
      <c r="AM22" s="108" t="s">
        <v>132</v>
      </c>
      <c r="AN22" s="108" t="s">
        <v>88</v>
      </c>
      <c r="AO22" s="157" t="s">
        <v>89</v>
      </c>
      <c r="AP22" s="157" t="s">
        <v>89</v>
      </c>
      <c r="AQ22" s="109" t="s">
        <v>218</v>
      </c>
      <c r="AR22" s="109" t="s">
        <v>219</v>
      </c>
      <c r="AS22" s="109" t="s">
        <v>193</v>
      </c>
      <c r="AT22" s="109" t="s">
        <v>94</v>
      </c>
      <c r="AU22" s="109" t="s">
        <v>220</v>
      </c>
      <c r="AV22" s="109" t="s">
        <v>94</v>
      </c>
      <c r="AW22" s="167" t="s">
        <v>221</v>
      </c>
      <c r="AX22" s="108"/>
      <c r="AY22" s="104"/>
    </row>
    <row r="23" s="31" customFormat="1" spans="1:51">
      <c r="A23" s="103" t="str">
        <f t="shared" si="0"/>
        <v>17-0</v>
      </c>
      <c r="B23" s="108">
        <v>17</v>
      </c>
      <c r="C23" s="126" t="s">
        <v>61</v>
      </c>
      <c r="D23" s="108" t="s">
        <v>222</v>
      </c>
      <c r="E23" s="127">
        <v>0</v>
      </c>
      <c r="F23" s="128" t="s">
        <v>63</v>
      </c>
      <c r="G23" s="173" t="s">
        <v>64</v>
      </c>
      <c r="H23" s="128" t="str">
        <f t="shared" si="1"/>
        <v>Hose, Ventilation; Ø 9 mm × 17 mm; TSM1671G-1A </v>
      </c>
      <c r="I23" s="128" t="s">
        <v>207</v>
      </c>
      <c r="J23" s="128" t="s">
        <v>208</v>
      </c>
      <c r="K23" s="128" t="s">
        <v>223</v>
      </c>
      <c r="L23" s="126" t="s">
        <v>210</v>
      </c>
      <c r="M23" s="126" t="s">
        <v>69</v>
      </c>
      <c r="N23" s="145" t="s">
        <v>70</v>
      </c>
      <c r="O23" s="145" t="s">
        <v>70</v>
      </c>
      <c r="P23" s="174" t="s">
        <v>186</v>
      </c>
      <c r="Q23" s="126" t="s">
        <v>224</v>
      </c>
      <c r="R23" s="126" t="s">
        <v>225</v>
      </c>
      <c r="S23" s="108" t="s">
        <v>226</v>
      </c>
      <c r="T23" s="108" t="s">
        <v>226</v>
      </c>
      <c r="U23" s="109" t="s">
        <v>78</v>
      </c>
      <c r="V23" s="109" t="s">
        <v>78</v>
      </c>
      <c r="W23" s="109" t="s">
        <v>78</v>
      </c>
      <c r="X23" s="109" t="s">
        <v>78</v>
      </c>
      <c r="Y23" s="109" t="s">
        <v>78</v>
      </c>
      <c r="Z23" s="109" t="s">
        <v>78</v>
      </c>
      <c r="AA23" s="108" t="s">
        <v>79</v>
      </c>
      <c r="AB23" s="108" t="s">
        <v>79</v>
      </c>
      <c r="AC23" s="109" t="s">
        <v>78</v>
      </c>
      <c r="AD23" s="109" t="s">
        <v>78</v>
      </c>
      <c r="AE23" s="108" t="s">
        <v>227</v>
      </c>
      <c r="AF23" s="108" t="s">
        <v>228</v>
      </c>
      <c r="AG23" s="108" t="s">
        <v>229</v>
      </c>
      <c r="AH23" s="108" t="s">
        <v>230</v>
      </c>
      <c r="AI23" s="108"/>
      <c r="AJ23" s="109" t="s">
        <v>231</v>
      </c>
      <c r="AK23" s="108" t="s">
        <v>85</v>
      </c>
      <c r="AL23" s="108" t="s">
        <v>131</v>
      </c>
      <c r="AM23" s="108" t="s">
        <v>132</v>
      </c>
      <c r="AN23" s="108" t="s">
        <v>88</v>
      </c>
      <c r="AO23" s="157" t="s">
        <v>232</v>
      </c>
      <c r="AP23" s="157" t="s">
        <v>233</v>
      </c>
      <c r="AQ23" s="109" t="s">
        <v>203</v>
      </c>
      <c r="AR23" s="109" t="s">
        <v>234</v>
      </c>
      <c r="AS23" s="109" t="s">
        <v>235</v>
      </c>
      <c r="AT23" s="109" t="s">
        <v>94</v>
      </c>
      <c r="AU23" s="109" t="s">
        <v>193</v>
      </c>
      <c r="AV23" s="109" t="s">
        <v>94</v>
      </c>
      <c r="AW23" s="167" t="s">
        <v>236</v>
      </c>
      <c r="AX23" s="108"/>
      <c r="AY23" s="175" t="s">
        <v>237</v>
      </c>
    </row>
    <row r="24" s="31" customFormat="1" spans="1:51">
      <c r="A24" s="103" t="str">
        <f t="shared" si="0"/>
        <v>18-0</v>
      </c>
      <c r="B24" s="108">
        <v>18</v>
      </c>
      <c r="C24" s="126" t="s">
        <v>100</v>
      </c>
      <c r="D24" s="108" t="s">
        <v>238</v>
      </c>
      <c r="E24" s="127">
        <v>0</v>
      </c>
      <c r="F24" s="128" t="s">
        <v>141</v>
      </c>
      <c r="G24" s="173" t="s">
        <v>239</v>
      </c>
      <c r="H24" s="128" t="str">
        <f t="shared" si="1"/>
        <v>Hose, Fuel Tank; Ø 13.5 mm × 21.5 mm; DTSM1647G-1C </v>
      </c>
      <c r="I24" s="128" t="s">
        <v>240</v>
      </c>
      <c r="J24" s="128" t="s">
        <v>241</v>
      </c>
      <c r="K24" s="128" t="s">
        <v>242</v>
      </c>
      <c r="L24" s="126" t="s">
        <v>243</v>
      </c>
      <c r="M24" s="126" t="s">
        <v>79</v>
      </c>
      <c r="N24" s="145" t="s">
        <v>70</v>
      </c>
      <c r="O24" s="145" t="s">
        <v>70</v>
      </c>
      <c r="P24" s="174" t="s">
        <v>244</v>
      </c>
      <c r="Q24" s="126" t="s">
        <v>79</v>
      </c>
      <c r="R24" s="109" t="s">
        <v>245</v>
      </c>
      <c r="S24" s="108" t="s">
        <v>74</v>
      </c>
      <c r="T24" s="108" t="s">
        <v>79</v>
      </c>
      <c r="U24" s="109" t="s">
        <v>111</v>
      </c>
      <c r="V24" s="109" t="s">
        <v>79</v>
      </c>
      <c r="W24" s="109" t="s">
        <v>78</v>
      </c>
      <c r="X24" s="109" t="s">
        <v>79</v>
      </c>
      <c r="Y24" s="109" t="s">
        <v>78</v>
      </c>
      <c r="Z24" s="109" t="s">
        <v>79</v>
      </c>
      <c r="AA24" s="108" t="s">
        <v>79</v>
      </c>
      <c r="AB24" s="108" t="s">
        <v>79</v>
      </c>
      <c r="AC24" s="109" t="s">
        <v>78</v>
      </c>
      <c r="AD24" s="109" t="s">
        <v>79</v>
      </c>
      <c r="AE24" s="108" t="s">
        <v>246</v>
      </c>
      <c r="AF24" s="108" t="s">
        <v>79</v>
      </c>
      <c r="AG24" s="108" t="s">
        <v>247</v>
      </c>
      <c r="AH24" s="108" t="s">
        <v>79</v>
      </c>
      <c r="AI24" s="108"/>
      <c r="AJ24" s="109" t="s">
        <v>248</v>
      </c>
      <c r="AK24" s="108" t="s">
        <v>85</v>
      </c>
      <c r="AL24" s="108" t="s">
        <v>249</v>
      </c>
      <c r="AM24" s="108" t="s">
        <v>250</v>
      </c>
      <c r="AN24" s="108" t="s">
        <v>88</v>
      </c>
      <c r="AO24" s="157" t="s">
        <v>251</v>
      </c>
      <c r="AP24" s="157" t="s">
        <v>252</v>
      </c>
      <c r="AQ24" s="109" t="s">
        <v>253</v>
      </c>
      <c r="AR24" s="109" t="s">
        <v>254</v>
      </c>
      <c r="AS24" s="108" t="s">
        <v>79</v>
      </c>
      <c r="AT24" s="108" t="s">
        <v>79</v>
      </c>
      <c r="AU24" s="109" t="s">
        <v>255</v>
      </c>
      <c r="AV24" s="109" t="s">
        <v>94</v>
      </c>
      <c r="AW24" s="167" t="s">
        <v>256</v>
      </c>
      <c r="AX24" s="108"/>
      <c r="AY24" s="104"/>
    </row>
    <row r="25" s="32" customFormat="1" spans="1:51">
      <c r="A25" s="103" t="str">
        <f t="shared" si="0"/>
        <v>19-0</v>
      </c>
      <c r="B25" s="108">
        <v>19</v>
      </c>
      <c r="C25" s="126" t="s">
        <v>100</v>
      </c>
      <c r="D25" s="108" t="s">
        <v>257</v>
      </c>
      <c r="E25" s="127">
        <v>0</v>
      </c>
      <c r="F25" s="128" t="s">
        <v>141</v>
      </c>
      <c r="G25" s="173" t="s">
        <v>239</v>
      </c>
      <c r="H25" s="128" t="str">
        <f t="shared" si="1"/>
        <v>EPDM Solid; Ø 15 mm × 19 mm; DTSM1500G-N708 </v>
      </c>
      <c r="I25" s="128" t="s">
        <v>258</v>
      </c>
      <c r="J25" s="128" t="s">
        <v>259</v>
      </c>
      <c r="K25" s="128" t="s">
        <v>260</v>
      </c>
      <c r="L25" s="126" t="s">
        <v>261</v>
      </c>
      <c r="M25" s="126" t="s">
        <v>79</v>
      </c>
      <c r="N25" s="145" t="s">
        <v>70</v>
      </c>
      <c r="O25" s="145" t="s">
        <v>70</v>
      </c>
      <c r="P25" s="174" t="s">
        <v>262</v>
      </c>
      <c r="Q25" s="126" t="s">
        <v>79</v>
      </c>
      <c r="R25" s="126" t="s">
        <v>263</v>
      </c>
      <c r="S25" s="108" t="s">
        <v>74</v>
      </c>
      <c r="T25" s="108" t="s">
        <v>79</v>
      </c>
      <c r="U25" s="109" t="s">
        <v>76</v>
      </c>
      <c r="V25" s="109" t="s">
        <v>79</v>
      </c>
      <c r="W25" s="109" t="s">
        <v>264</v>
      </c>
      <c r="X25" s="109" t="s">
        <v>79</v>
      </c>
      <c r="Y25" s="109" t="s">
        <v>264</v>
      </c>
      <c r="Z25" s="109" t="s">
        <v>79</v>
      </c>
      <c r="AA25" s="108" t="s">
        <v>79</v>
      </c>
      <c r="AB25" s="108" t="s">
        <v>79</v>
      </c>
      <c r="AC25" s="109" t="s">
        <v>264</v>
      </c>
      <c r="AD25" s="109" t="s">
        <v>79</v>
      </c>
      <c r="AE25" s="108" t="s">
        <v>265</v>
      </c>
      <c r="AF25" s="108" t="s">
        <v>79</v>
      </c>
      <c r="AG25" s="108" t="s">
        <v>266</v>
      </c>
      <c r="AH25" s="108" t="s">
        <v>79</v>
      </c>
      <c r="AI25" s="108"/>
      <c r="AJ25" s="109" t="s">
        <v>267</v>
      </c>
      <c r="AK25" s="108" t="s">
        <v>79</v>
      </c>
      <c r="AL25" s="108" t="s">
        <v>79</v>
      </c>
      <c r="AM25" s="108" t="s">
        <v>79</v>
      </c>
      <c r="AN25" s="108" t="s">
        <v>88</v>
      </c>
      <c r="AO25" s="157" t="s">
        <v>89</v>
      </c>
      <c r="AP25" s="157" t="s">
        <v>89</v>
      </c>
      <c r="AQ25" s="109" t="s">
        <v>268</v>
      </c>
      <c r="AR25" s="109" t="s">
        <v>269</v>
      </c>
      <c r="AS25" s="108" t="s">
        <v>79</v>
      </c>
      <c r="AT25" s="108" t="s">
        <v>79</v>
      </c>
      <c r="AU25" s="109" t="s">
        <v>118</v>
      </c>
      <c r="AV25" s="109" t="s">
        <v>94</v>
      </c>
      <c r="AW25" s="167" t="s">
        <v>270</v>
      </c>
      <c r="AX25" s="108"/>
      <c r="AY25" s="169"/>
    </row>
    <row r="26" s="32" customFormat="1" spans="1:51">
      <c r="A26" s="103" t="str">
        <f t="shared" si="0"/>
        <v>20-0</v>
      </c>
      <c r="B26" s="108">
        <v>20</v>
      </c>
      <c r="C26" s="126" t="s">
        <v>100</v>
      </c>
      <c r="D26" s="108" t="s">
        <v>271</v>
      </c>
      <c r="E26" s="127">
        <v>0</v>
      </c>
      <c r="F26" s="128" t="s">
        <v>63</v>
      </c>
      <c r="G26" s="173" t="s">
        <v>239</v>
      </c>
      <c r="H26" s="128" t="str">
        <f t="shared" si="1"/>
        <v>EPDM Solid; Ø 15.5 mm × 19.5 mm; TSM1500G-N708 </v>
      </c>
      <c r="I26" s="128" t="s">
        <v>258</v>
      </c>
      <c r="J26" s="128" t="s">
        <v>272</v>
      </c>
      <c r="K26" s="128" t="s">
        <v>273</v>
      </c>
      <c r="L26" s="126" t="s">
        <v>261</v>
      </c>
      <c r="M26" s="126" t="s">
        <v>79</v>
      </c>
      <c r="N26" s="145" t="s">
        <v>70</v>
      </c>
      <c r="O26" s="145" t="s">
        <v>79</v>
      </c>
      <c r="P26" s="174" t="s">
        <v>262</v>
      </c>
      <c r="Q26" s="126" t="s">
        <v>79</v>
      </c>
      <c r="R26" s="126" t="s">
        <v>274</v>
      </c>
      <c r="S26" s="108" t="s">
        <v>74</v>
      </c>
      <c r="T26" s="108" t="s">
        <v>79</v>
      </c>
      <c r="U26" s="109" t="s">
        <v>76</v>
      </c>
      <c r="V26" s="109" t="s">
        <v>79</v>
      </c>
      <c r="W26" s="109" t="s">
        <v>264</v>
      </c>
      <c r="X26" s="109" t="s">
        <v>79</v>
      </c>
      <c r="Y26" s="109" t="s">
        <v>264</v>
      </c>
      <c r="Z26" s="109" t="s">
        <v>79</v>
      </c>
      <c r="AA26" s="108" t="s">
        <v>79</v>
      </c>
      <c r="AB26" s="108" t="s">
        <v>79</v>
      </c>
      <c r="AC26" s="109" t="s">
        <v>264</v>
      </c>
      <c r="AD26" s="109" t="s">
        <v>79</v>
      </c>
      <c r="AE26" s="108" t="s">
        <v>265</v>
      </c>
      <c r="AF26" s="108" t="s">
        <v>79</v>
      </c>
      <c r="AG26" s="108" t="s">
        <v>266</v>
      </c>
      <c r="AH26" s="108" t="s">
        <v>79</v>
      </c>
      <c r="AI26" s="108"/>
      <c r="AJ26" s="109" t="s">
        <v>275</v>
      </c>
      <c r="AK26" s="108" t="s">
        <v>79</v>
      </c>
      <c r="AL26" s="108" t="s">
        <v>79</v>
      </c>
      <c r="AM26" s="108" t="s">
        <v>79</v>
      </c>
      <c r="AN26" s="108" t="s">
        <v>88</v>
      </c>
      <c r="AO26" s="157" t="s">
        <v>89</v>
      </c>
      <c r="AP26" s="157" t="s">
        <v>89</v>
      </c>
      <c r="AQ26" s="109" t="s">
        <v>276</v>
      </c>
      <c r="AR26" s="109" t="s">
        <v>277</v>
      </c>
      <c r="AS26" s="108" t="s">
        <v>79</v>
      </c>
      <c r="AT26" s="108" t="s">
        <v>79</v>
      </c>
      <c r="AU26" s="109" t="s">
        <v>118</v>
      </c>
      <c r="AV26" s="109" t="s">
        <v>94</v>
      </c>
      <c r="AW26" s="167" t="s">
        <v>278</v>
      </c>
      <c r="AX26" s="108"/>
      <c r="AY26" s="169"/>
    </row>
    <row r="27" s="31" customFormat="1" ht="32.25" customHeight="1" spans="1:51">
      <c r="A27" s="103" t="str">
        <f t="shared" si="0"/>
        <v>21-0</v>
      </c>
      <c r="B27" s="108">
        <v>21</v>
      </c>
      <c r="C27" s="126" t="s">
        <v>61</v>
      </c>
      <c r="D27" s="108" t="s">
        <v>279</v>
      </c>
      <c r="E27" s="127">
        <v>0</v>
      </c>
      <c r="F27" s="128" t="s">
        <v>63</v>
      </c>
      <c r="G27" s="173" t="s">
        <v>64</v>
      </c>
      <c r="H27" s="128" t="str">
        <f t="shared" si="1"/>
        <v>Hose, Ventilation; Ø 15 mm × 22 mm; TSM1670G-1B </v>
      </c>
      <c r="I27" s="128" t="s">
        <v>207</v>
      </c>
      <c r="J27" s="128" t="s">
        <v>280</v>
      </c>
      <c r="K27" s="128" t="s">
        <v>281</v>
      </c>
      <c r="L27" s="126" t="s">
        <v>210</v>
      </c>
      <c r="M27" s="126" t="s">
        <v>69</v>
      </c>
      <c r="N27" s="145" t="s">
        <v>70</v>
      </c>
      <c r="O27" s="145" t="s">
        <v>70</v>
      </c>
      <c r="P27" s="174" t="s">
        <v>244</v>
      </c>
      <c r="Q27" s="109" t="s">
        <v>282</v>
      </c>
      <c r="R27" s="109" t="s">
        <v>283</v>
      </c>
      <c r="S27" s="108" t="s">
        <v>74</v>
      </c>
      <c r="T27" s="108" t="s">
        <v>74</v>
      </c>
      <c r="U27" s="109" t="s">
        <v>76</v>
      </c>
      <c r="V27" s="109" t="s">
        <v>76</v>
      </c>
      <c r="W27" s="109" t="s">
        <v>264</v>
      </c>
      <c r="X27" s="109" t="s">
        <v>264</v>
      </c>
      <c r="Y27" s="109" t="s">
        <v>264</v>
      </c>
      <c r="Z27" s="109" t="s">
        <v>264</v>
      </c>
      <c r="AA27" s="108" t="s">
        <v>79</v>
      </c>
      <c r="AB27" s="108" t="s">
        <v>79</v>
      </c>
      <c r="AC27" s="109" t="s">
        <v>264</v>
      </c>
      <c r="AD27" s="109" t="s">
        <v>264</v>
      </c>
      <c r="AE27" s="108" t="s">
        <v>265</v>
      </c>
      <c r="AF27" s="108" t="s">
        <v>284</v>
      </c>
      <c r="AG27" s="108" t="s">
        <v>285</v>
      </c>
      <c r="AH27" s="108" t="s">
        <v>286</v>
      </c>
      <c r="AI27" s="108"/>
      <c r="AJ27" s="109" t="s">
        <v>287</v>
      </c>
      <c r="AK27" s="108" t="s">
        <v>85</v>
      </c>
      <c r="AL27" s="108" t="s">
        <v>131</v>
      </c>
      <c r="AM27" s="108" t="s">
        <v>132</v>
      </c>
      <c r="AN27" s="108" t="s">
        <v>88</v>
      </c>
      <c r="AO27" s="157" t="s">
        <v>89</v>
      </c>
      <c r="AP27" s="157" t="s">
        <v>89</v>
      </c>
      <c r="AQ27" s="109" t="s">
        <v>166</v>
      </c>
      <c r="AR27" s="109" t="s">
        <v>288</v>
      </c>
      <c r="AS27" s="109" t="s">
        <v>179</v>
      </c>
      <c r="AT27" s="109" t="s">
        <v>92</v>
      </c>
      <c r="AU27" s="109" t="s">
        <v>289</v>
      </c>
      <c r="AV27" s="109" t="s">
        <v>94</v>
      </c>
      <c r="AW27" s="167" t="s">
        <v>290</v>
      </c>
      <c r="AX27" s="108"/>
      <c r="AY27" s="104"/>
    </row>
    <row r="28" s="31" customFormat="1" spans="1:51">
      <c r="A28" s="103" t="str">
        <f t="shared" si="0"/>
        <v>22-0</v>
      </c>
      <c r="B28" s="108">
        <v>22</v>
      </c>
      <c r="C28" s="126" t="s">
        <v>61</v>
      </c>
      <c r="D28" s="108" t="s">
        <v>291</v>
      </c>
      <c r="E28" s="127">
        <v>0</v>
      </c>
      <c r="F28" s="128" t="s">
        <v>141</v>
      </c>
      <c r="G28" s="173" t="s">
        <v>64</v>
      </c>
      <c r="H28" s="128" t="str">
        <f t="shared" si="1"/>
        <v>Hose, Ventilation; Ø 15 mm × 22 mm; DTSM1670G-1 </v>
      </c>
      <c r="I28" s="128" t="s">
        <v>207</v>
      </c>
      <c r="J28" s="128" t="s">
        <v>280</v>
      </c>
      <c r="K28" s="128" t="s">
        <v>209</v>
      </c>
      <c r="L28" s="126" t="s">
        <v>210</v>
      </c>
      <c r="M28" s="126" t="s">
        <v>69</v>
      </c>
      <c r="N28" s="145" t="s">
        <v>70</v>
      </c>
      <c r="O28" s="145" t="s">
        <v>70</v>
      </c>
      <c r="P28" s="174" t="s">
        <v>244</v>
      </c>
      <c r="Q28" s="109" t="s">
        <v>282</v>
      </c>
      <c r="R28" s="109" t="s">
        <v>283</v>
      </c>
      <c r="S28" s="108" t="s">
        <v>74</v>
      </c>
      <c r="T28" s="108" t="s">
        <v>74</v>
      </c>
      <c r="U28" s="109" t="s">
        <v>76</v>
      </c>
      <c r="V28" s="109" t="s">
        <v>76</v>
      </c>
      <c r="W28" s="109" t="s">
        <v>264</v>
      </c>
      <c r="X28" s="109" t="s">
        <v>264</v>
      </c>
      <c r="Y28" s="109" t="s">
        <v>264</v>
      </c>
      <c r="Z28" s="109" t="s">
        <v>264</v>
      </c>
      <c r="AA28" s="108" t="s">
        <v>79</v>
      </c>
      <c r="AB28" s="108" t="s">
        <v>79</v>
      </c>
      <c r="AC28" s="109" t="s">
        <v>264</v>
      </c>
      <c r="AD28" s="109" t="s">
        <v>264</v>
      </c>
      <c r="AE28" s="108" t="s">
        <v>265</v>
      </c>
      <c r="AF28" s="108" t="s">
        <v>284</v>
      </c>
      <c r="AG28" s="108" t="s">
        <v>285</v>
      </c>
      <c r="AH28" s="108" t="s">
        <v>286</v>
      </c>
      <c r="AI28" s="108"/>
      <c r="AJ28" s="109" t="s">
        <v>292</v>
      </c>
      <c r="AK28" s="108" t="s">
        <v>85</v>
      </c>
      <c r="AL28" s="108" t="s">
        <v>131</v>
      </c>
      <c r="AM28" s="108" t="s">
        <v>132</v>
      </c>
      <c r="AN28" s="108" t="s">
        <v>88</v>
      </c>
      <c r="AO28" s="157" t="s">
        <v>89</v>
      </c>
      <c r="AP28" s="157" t="s">
        <v>89</v>
      </c>
      <c r="AQ28" s="109" t="s">
        <v>166</v>
      </c>
      <c r="AR28" s="109" t="s">
        <v>288</v>
      </c>
      <c r="AS28" s="109" t="s">
        <v>179</v>
      </c>
      <c r="AT28" s="109" t="s">
        <v>92</v>
      </c>
      <c r="AU28" s="109" t="s">
        <v>289</v>
      </c>
      <c r="AV28" s="109" t="s">
        <v>94</v>
      </c>
      <c r="AW28" s="167" t="s">
        <v>293</v>
      </c>
      <c r="AX28" s="108"/>
      <c r="AY28" s="104"/>
    </row>
    <row r="29" s="32" customFormat="1" spans="1:51">
      <c r="A29" s="103" t="str">
        <f t="shared" si="0"/>
        <v>23-0</v>
      </c>
      <c r="B29" s="108">
        <v>23</v>
      </c>
      <c r="C29" s="126" t="s">
        <v>100</v>
      </c>
      <c r="D29" s="108" t="s">
        <v>294</v>
      </c>
      <c r="E29" s="127">
        <v>0</v>
      </c>
      <c r="F29" s="128" t="s">
        <v>141</v>
      </c>
      <c r="G29" s="173" t="s">
        <v>239</v>
      </c>
      <c r="H29" s="128" t="str">
        <f t="shared" si="1"/>
        <v>EPDM Solid; Ø 17 mm × 20 mm; DTSM1500G-N708 </v>
      </c>
      <c r="I29" s="128" t="s">
        <v>258</v>
      </c>
      <c r="J29" s="128" t="s">
        <v>295</v>
      </c>
      <c r="K29" s="128" t="s">
        <v>260</v>
      </c>
      <c r="L29" s="126" t="s">
        <v>261</v>
      </c>
      <c r="M29" s="126" t="s">
        <v>79</v>
      </c>
      <c r="N29" s="145" t="s">
        <v>70</v>
      </c>
      <c r="O29" s="145" t="s">
        <v>70</v>
      </c>
      <c r="P29" s="174" t="s">
        <v>262</v>
      </c>
      <c r="Q29" s="126" t="s">
        <v>79</v>
      </c>
      <c r="R29" s="109" t="s">
        <v>296</v>
      </c>
      <c r="S29" s="108" t="s">
        <v>74</v>
      </c>
      <c r="T29" s="108" t="s">
        <v>79</v>
      </c>
      <c r="U29" s="109" t="s">
        <v>111</v>
      </c>
      <c r="V29" s="109" t="s">
        <v>111</v>
      </c>
      <c r="W29" s="109" t="s">
        <v>78</v>
      </c>
      <c r="X29" s="109" t="s">
        <v>78</v>
      </c>
      <c r="Y29" s="109" t="s">
        <v>78</v>
      </c>
      <c r="Z29" s="109" t="s">
        <v>78</v>
      </c>
      <c r="AA29" s="108" t="s">
        <v>79</v>
      </c>
      <c r="AB29" s="108" t="s">
        <v>79</v>
      </c>
      <c r="AC29" s="109" t="s">
        <v>78</v>
      </c>
      <c r="AD29" s="109" t="s">
        <v>78</v>
      </c>
      <c r="AE29" s="108" t="s">
        <v>297</v>
      </c>
      <c r="AF29" s="108" t="s">
        <v>79</v>
      </c>
      <c r="AG29" s="108" t="s">
        <v>298</v>
      </c>
      <c r="AH29" s="108" t="s">
        <v>79</v>
      </c>
      <c r="AI29" s="108"/>
      <c r="AJ29" s="109" t="s">
        <v>299</v>
      </c>
      <c r="AK29" s="108" t="s">
        <v>79</v>
      </c>
      <c r="AL29" s="108" t="s">
        <v>79</v>
      </c>
      <c r="AM29" s="108" t="s">
        <v>79</v>
      </c>
      <c r="AN29" s="108" t="s">
        <v>88</v>
      </c>
      <c r="AO29" s="157" t="s">
        <v>89</v>
      </c>
      <c r="AP29" s="157" t="s">
        <v>89</v>
      </c>
      <c r="AQ29" s="109" t="s">
        <v>300</v>
      </c>
      <c r="AR29" s="109" t="s">
        <v>301</v>
      </c>
      <c r="AS29" s="108" t="s">
        <v>79</v>
      </c>
      <c r="AT29" s="108" t="s">
        <v>79</v>
      </c>
      <c r="AU29" s="109" t="s">
        <v>91</v>
      </c>
      <c r="AV29" s="109" t="s">
        <v>94</v>
      </c>
      <c r="AW29" s="167" t="s">
        <v>302</v>
      </c>
      <c r="AX29" s="108"/>
      <c r="AY29" s="169"/>
    </row>
    <row r="30" s="31" customFormat="1" spans="1:51">
      <c r="A30" s="103" t="str">
        <f t="shared" si="0"/>
        <v>24-0</v>
      </c>
      <c r="B30" s="108">
        <v>24</v>
      </c>
      <c r="C30" s="126" t="s">
        <v>61</v>
      </c>
      <c r="D30" s="108" t="s">
        <v>303</v>
      </c>
      <c r="E30" s="127">
        <v>0</v>
      </c>
      <c r="F30" s="128" t="s">
        <v>63</v>
      </c>
      <c r="G30" s="173" t="s">
        <v>239</v>
      </c>
      <c r="H30" s="128" t="str">
        <f t="shared" si="1"/>
        <v>Hose, Air; Ø 18 mm × 25 mm; TSM1671G-1A </v>
      </c>
      <c r="I30" s="128" t="s">
        <v>304</v>
      </c>
      <c r="J30" s="128" t="s">
        <v>305</v>
      </c>
      <c r="K30" s="128" t="s">
        <v>223</v>
      </c>
      <c r="L30" s="126" t="s">
        <v>210</v>
      </c>
      <c r="M30" s="126" t="s">
        <v>69</v>
      </c>
      <c r="N30" s="145" t="s">
        <v>70</v>
      </c>
      <c r="O30" s="145" t="s">
        <v>70</v>
      </c>
      <c r="P30" s="174" t="s">
        <v>306</v>
      </c>
      <c r="Q30" s="126" t="s">
        <v>307</v>
      </c>
      <c r="R30" s="109" t="s">
        <v>308</v>
      </c>
      <c r="S30" s="108" t="s">
        <v>145</v>
      </c>
      <c r="T30" s="108" t="s">
        <v>145</v>
      </c>
      <c r="U30" s="109" t="s">
        <v>76</v>
      </c>
      <c r="V30" s="109" t="s">
        <v>76</v>
      </c>
      <c r="W30" s="109" t="s">
        <v>78</v>
      </c>
      <c r="X30" s="109" t="s">
        <v>78</v>
      </c>
      <c r="Y30" s="109" t="s">
        <v>78</v>
      </c>
      <c r="Z30" s="109" t="s">
        <v>78</v>
      </c>
      <c r="AA30" s="108" t="s">
        <v>79</v>
      </c>
      <c r="AB30" s="108" t="s">
        <v>79</v>
      </c>
      <c r="AC30" s="109" t="s">
        <v>78</v>
      </c>
      <c r="AD30" s="109" t="s">
        <v>78</v>
      </c>
      <c r="AE30" s="108" t="s">
        <v>80</v>
      </c>
      <c r="AF30" s="108" t="s">
        <v>81</v>
      </c>
      <c r="AG30" s="108" t="s">
        <v>82</v>
      </c>
      <c r="AH30" s="108" t="s">
        <v>83</v>
      </c>
      <c r="AI30" s="108"/>
      <c r="AJ30" s="109" t="s">
        <v>309</v>
      </c>
      <c r="AK30" s="108" t="s">
        <v>85</v>
      </c>
      <c r="AL30" s="108" t="s">
        <v>131</v>
      </c>
      <c r="AM30" s="108" t="s">
        <v>132</v>
      </c>
      <c r="AN30" s="108" t="s">
        <v>88</v>
      </c>
      <c r="AO30" s="157" t="s">
        <v>89</v>
      </c>
      <c r="AP30" s="157" t="s">
        <v>89</v>
      </c>
      <c r="AQ30" s="109" t="s">
        <v>310</v>
      </c>
      <c r="AR30" s="109" t="s">
        <v>311</v>
      </c>
      <c r="AS30" s="109" t="s">
        <v>312</v>
      </c>
      <c r="AT30" s="109" t="s">
        <v>313</v>
      </c>
      <c r="AU30" s="109" t="s">
        <v>90</v>
      </c>
      <c r="AV30" s="109" t="s">
        <v>94</v>
      </c>
      <c r="AW30" s="167" t="s">
        <v>314</v>
      </c>
      <c r="AX30" s="108"/>
      <c r="AY30" s="104"/>
    </row>
    <row r="31" s="32" customFormat="1" spans="1:51">
      <c r="A31" s="103" t="str">
        <f t="shared" si="0"/>
        <v>25-0</v>
      </c>
      <c r="B31" s="108">
        <v>25</v>
      </c>
      <c r="C31" s="126" t="s">
        <v>100</v>
      </c>
      <c r="D31" s="108" t="s">
        <v>315</v>
      </c>
      <c r="E31" s="127">
        <v>0</v>
      </c>
      <c r="F31" s="128" t="s">
        <v>141</v>
      </c>
      <c r="G31" s="173" t="s">
        <v>239</v>
      </c>
      <c r="H31" s="128" t="str">
        <f t="shared" si="1"/>
        <v>EPDM Solid; Ø 23 mm × 27 mm; DTSM1500G-N708 </v>
      </c>
      <c r="I31" s="128" t="s">
        <v>258</v>
      </c>
      <c r="J31" s="128" t="s">
        <v>316</v>
      </c>
      <c r="K31" s="128" t="s">
        <v>260</v>
      </c>
      <c r="L31" s="126" t="s">
        <v>261</v>
      </c>
      <c r="M31" s="126" t="s">
        <v>79</v>
      </c>
      <c r="N31" s="145" t="s">
        <v>70</v>
      </c>
      <c r="O31" s="145" t="s">
        <v>70</v>
      </c>
      <c r="P31" s="174" t="s">
        <v>317</v>
      </c>
      <c r="Q31" s="126" t="s">
        <v>79</v>
      </c>
      <c r="R31" s="109" t="s">
        <v>318</v>
      </c>
      <c r="S31" s="108" t="s">
        <v>74</v>
      </c>
      <c r="T31" s="108" t="s">
        <v>79</v>
      </c>
      <c r="U31" s="109" t="s">
        <v>76</v>
      </c>
      <c r="V31" s="109" t="s">
        <v>79</v>
      </c>
      <c r="W31" s="109" t="s">
        <v>264</v>
      </c>
      <c r="X31" s="109" t="s">
        <v>79</v>
      </c>
      <c r="Y31" s="109" t="s">
        <v>264</v>
      </c>
      <c r="Z31" s="109" t="s">
        <v>79</v>
      </c>
      <c r="AA31" s="108" t="s">
        <v>79</v>
      </c>
      <c r="AB31" s="108" t="s">
        <v>79</v>
      </c>
      <c r="AC31" s="109" t="s">
        <v>264</v>
      </c>
      <c r="AD31" s="109" t="s">
        <v>79</v>
      </c>
      <c r="AE31" s="108" t="s">
        <v>319</v>
      </c>
      <c r="AF31" s="108" t="s">
        <v>79</v>
      </c>
      <c r="AG31" s="108" t="s">
        <v>320</v>
      </c>
      <c r="AH31" s="108" t="s">
        <v>79</v>
      </c>
      <c r="AI31" s="108"/>
      <c r="AJ31" s="109" t="s">
        <v>321</v>
      </c>
      <c r="AK31" s="108" t="s">
        <v>79</v>
      </c>
      <c r="AL31" s="108" t="s">
        <v>79</v>
      </c>
      <c r="AM31" s="108" t="s">
        <v>79</v>
      </c>
      <c r="AN31" s="108" t="s">
        <v>88</v>
      </c>
      <c r="AO31" s="157" t="s">
        <v>89</v>
      </c>
      <c r="AP31" s="157" t="s">
        <v>89</v>
      </c>
      <c r="AQ31" s="109" t="s">
        <v>322</v>
      </c>
      <c r="AR31" s="109" t="s">
        <v>323</v>
      </c>
      <c r="AS31" s="108" t="s">
        <v>79</v>
      </c>
      <c r="AT31" s="108" t="s">
        <v>79</v>
      </c>
      <c r="AU31" s="109" t="s">
        <v>118</v>
      </c>
      <c r="AV31" s="109" t="s">
        <v>94</v>
      </c>
      <c r="AW31" s="167" t="s">
        <v>324</v>
      </c>
      <c r="AX31" s="108"/>
      <c r="AY31" s="169"/>
    </row>
    <row r="32" s="31" customFormat="1" spans="1:51">
      <c r="A32" s="103" t="str">
        <f t="shared" si="0"/>
        <v>26-0</v>
      </c>
      <c r="B32" s="108">
        <v>26</v>
      </c>
      <c r="C32" s="126" t="s">
        <v>61</v>
      </c>
      <c r="D32" s="108" t="s">
        <v>325</v>
      </c>
      <c r="E32" s="127">
        <v>0</v>
      </c>
      <c r="F32" s="128" t="s">
        <v>63</v>
      </c>
      <c r="G32" s="173" t="s">
        <v>239</v>
      </c>
      <c r="H32" s="128" t="str">
        <f t="shared" si="1"/>
        <v>Hose, Air; Ø 24.5 mm × 31.5 mm; TSM1671G-1A </v>
      </c>
      <c r="I32" s="128" t="s">
        <v>304</v>
      </c>
      <c r="J32" s="128" t="s">
        <v>326</v>
      </c>
      <c r="K32" s="128" t="s">
        <v>223</v>
      </c>
      <c r="L32" s="126" t="s">
        <v>210</v>
      </c>
      <c r="M32" s="126" t="s">
        <v>69</v>
      </c>
      <c r="N32" s="145" t="s">
        <v>70</v>
      </c>
      <c r="O32" s="145" t="s">
        <v>70</v>
      </c>
      <c r="P32" s="174" t="s">
        <v>327</v>
      </c>
      <c r="Q32" s="126" t="s">
        <v>328</v>
      </c>
      <c r="R32" s="109" t="s">
        <v>329</v>
      </c>
      <c r="S32" s="108" t="s">
        <v>145</v>
      </c>
      <c r="T32" s="108" t="s">
        <v>145</v>
      </c>
      <c r="U32" s="109" t="s">
        <v>111</v>
      </c>
      <c r="V32" s="109" t="s">
        <v>111</v>
      </c>
      <c r="W32" s="109" t="s">
        <v>78</v>
      </c>
      <c r="X32" s="109" t="s">
        <v>78</v>
      </c>
      <c r="Y32" s="109" t="s">
        <v>78</v>
      </c>
      <c r="Z32" s="109" t="s">
        <v>78</v>
      </c>
      <c r="AA32" s="108" t="s">
        <v>79</v>
      </c>
      <c r="AB32" s="108" t="s">
        <v>79</v>
      </c>
      <c r="AC32" s="109" t="s">
        <v>78</v>
      </c>
      <c r="AD32" s="109" t="s">
        <v>78</v>
      </c>
      <c r="AE32" s="108" t="s">
        <v>80</v>
      </c>
      <c r="AF32" s="108" t="s">
        <v>81</v>
      </c>
      <c r="AG32" s="108" t="s">
        <v>82</v>
      </c>
      <c r="AH32" s="108" t="s">
        <v>83</v>
      </c>
      <c r="AI32" s="108"/>
      <c r="AJ32" s="109" t="s">
        <v>330</v>
      </c>
      <c r="AK32" s="108" t="s">
        <v>85</v>
      </c>
      <c r="AL32" s="108" t="s">
        <v>131</v>
      </c>
      <c r="AM32" s="108" t="s">
        <v>132</v>
      </c>
      <c r="AN32" s="108" t="s">
        <v>88</v>
      </c>
      <c r="AO32" s="157" t="s">
        <v>89</v>
      </c>
      <c r="AP32" s="157" t="s">
        <v>89</v>
      </c>
      <c r="AQ32" s="109" t="s">
        <v>331</v>
      </c>
      <c r="AR32" s="109" t="s">
        <v>332</v>
      </c>
      <c r="AS32" s="109" t="s">
        <v>167</v>
      </c>
      <c r="AT32" s="109" t="s">
        <v>94</v>
      </c>
      <c r="AU32" s="109" t="s">
        <v>235</v>
      </c>
      <c r="AV32" s="109" t="s">
        <v>94</v>
      </c>
      <c r="AW32" s="167" t="s">
        <v>333</v>
      </c>
      <c r="AX32" s="108"/>
      <c r="AY32" s="104"/>
    </row>
    <row r="33" s="31" customFormat="1" spans="1:51">
      <c r="A33" s="103" t="str">
        <f t="shared" si="0"/>
        <v>27-0</v>
      </c>
      <c r="B33" s="108">
        <v>27</v>
      </c>
      <c r="C33" s="126" t="s">
        <v>100</v>
      </c>
      <c r="D33" s="108" t="s">
        <v>334</v>
      </c>
      <c r="E33" s="127">
        <v>0</v>
      </c>
      <c r="F33" s="128" t="s">
        <v>141</v>
      </c>
      <c r="G33" s="173" t="s">
        <v>239</v>
      </c>
      <c r="H33" s="128" t="str">
        <f t="shared" si="1"/>
        <v>Hose, Fuel Tank; Ø 34 mm × 42 mm; DTSM1647G-1C </v>
      </c>
      <c r="I33" s="128" t="s">
        <v>240</v>
      </c>
      <c r="J33" s="128" t="s">
        <v>335</v>
      </c>
      <c r="K33" s="128" t="s">
        <v>242</v>
      </c>
      <c r="L33" s="126" t="s">
        <v>243</v>
      </c>
      <c r="M33" s="126" t="s">
        <v>79</v>
      </c>
      <c r="N33" s="145" t="s">
        <v>70</v>
      </c>
      <c r="O33" s="145" t="s">
        <v>70</v>
      </c>
      <c r="P33" s="174" t="s">
        <v>336</v>
      </c>
      <c r="Q33" s="126" t="s">
        <v>79</v>
      </c>
      <c r="R33" s="109" t="s">
        <v>337</v>
      </c>
      <c r="S33" s="108" t="s">
        <v>74</v>
      </c>
      <c r="T33" s="108" t="s">
        <v>79</v>
      </c>
      <c r="U33" s="109" t="s">
        <v>111</v>
      </c>
      <c r="V33" s="109" t="s">
        <v>79</v>
      </c>
      <c r="W33" s="109" t="s">
        <v>78</v>
      </c>
      <c r="X33" s="109" t="s">
        <v>79</v>
      </c>
      <c r="Y33" s="109" t="s">
        <v>78</v>
      </c>
      <c r="Z33" s="109" t="s">
        <v>79</v>
      </c>
      <c r="AA33" s="108" t="s">
        <v>79</v>
      </c>
      <c r="AB33" s="108" t="s">
        <v>79</v>
      </c>
      <c r="AC33" s="109" t="s">
        <v>78</v>
      </c>
      <c r="AD33" s="109" t="s">
        <v>79</v>
      </c>
      <c r="AE33" s="108" t="s">
        <v>338</v>
      </c>
      <c r="AF33" s="108" t="s">
        <v>79</v>
      </c>
      <c r="AG33" s="108" t="s">
        <v>339</v>
      </c>
      <c r="AH33" s="108" t="s">
        <v>79</v>
      </c>
      <c r="AI33" s="108"/>
      <c r="AJ33" s="109" t="s">
        <v>340</v>
      </c>
      <c r="AK33" s="108" t="s">
        <v>85</v>
      </c>
      <c r="AL33" s="108" t="s">
        <v>249</v>
      </c>
      <c r="AM33" s="108" t="s">
        <v>250</v>
      </c>
      <c r="AN33" s="108" t="s">
        <v>88</v>
      </c>
      <c r="AO33" s="157" t="s">
        <v>341</v>
      </c>
      <c r="AP33" s="157" t="s">
        <v>342</v>
      </c>
      <c r="AQ33" s="109" t="s">
        <v>343</v>
      </c>
      <c r="AR33" s="109" t="s">
        <v>344</v>
      </c>
      <c r="AS33" s="108" t="s">
        <v>79</v>
      </c>
      <c r="AT33" s="108" t="s">
        <v>79</v>
      </c>
      <c r="AU33" s="109" t="s">
        <v>193</v>
      </c>
      <c r="AV33" s="109" t="s">
        <v>94</v>
      </c>
      <c r="AW33" s="167" t="s">
        <v>345</v>
      </c>
      <c r="AX33" s="108"/>
      <c r="AY33" s="104"/>
    </row>
    <row r="34" s="31" customFormat="1" spans="1:51">
      <c r="A34" s="103" t="str">
        <f t="shared" si="0"/>
        <v>28-0</v>
      </c>
      <c r="B34" s="108">
        <v>28</v>
      </c>
      <c r="C34" s="126" t="s">
        <v>100</v>
      </c>
      <c r="D34" s="108" t="s">
        <v>346</v>
      </c>
      <c r="E34" s="127">
        <v>0</v>
      </c>
      <c r="F34" s="128" t="s">
        <v>141</v>
      </c>
      <c r="G34" s="173" t="s">
        <v>239</v>
      </c>
      <c r="H34" s="128" t="str">
        <f t="shared" si="1"/>
        <v>Hose, Fuel Tank; Ø 34 mm × 42 mm; DTSE7351G-1 </v>
      </c>
      <c r="I34" s="128" t="s">
        <v>240</v>
      </c>
      <c r="J34" s="128" t="s">
        <v>335</v>
      </c>
      <c r="K34" s="137" t="s">
        <v>347</v>
      </c>
      <c r="L34" s="126" t="s">
        <v>243</v>
      </c>
      <c r="M34" s="126" t="s">
        <v>79</v>
      </c>
      <c r="N34" s="145" t="s">
        <v>70</v>
      </c>
      <c r="O34" s="145" t="s">
        <v>70</v>
      </c>
      <c r="P34" s="174" t="s">
        <v>348</v>
      </c>
      <c r="Q34" s="126" t="s">
        <v>79</v>
      </c>
      <c r="R34" s="109" t="s">
        <v>349</v>
      </c>
      <c r="S34" s="108" t="s">
        <v>74</v>
      </c>
      <c r="T34" s="108" t="s">
        <v>79</v>
      </c>
      <c r="U34" s="109" t="s">
        <v>111</v>
      </c>
      <c r="V34" s="108" t="s">
        <v>79</v>
      </c>
      <c r="W34" s="109" t="s">
        <v>78</v>
      </c>
      <c r="X34" s="108" t="s">
        <v>79</v>
      </c>
      <c r="Y34" s="109" t="s">
        <v>78</v>
      </c>
      <c r="Z34" s="108" t="s">
        <v>79</v>
      </c>
      <c r="AA34" s="108" t="s">
        <v>79</v>
      </c>
      <c r="AB34" s="108" t="s">
        <v>79</v>
      </c>
      <c r="AC34" s="109" t="s">
        <v>78</v>
      </c>
      <c r="AD34" s="108" t="s">
        <v>79</v>
      </c>
      <c r="AE34" s="108" t="s">
        <v>350</v>
      </c>
      <c r="AF34" s="108" t="s">
        <v>79</v>
      </c>
      <c r="AG34" s="108" t="s">
        <v>351</v>
      </c>
      <c r="AH34" s="108" t="s">
        <v>79</v>
      </c>
      <c r="AI34" s="108"/>
      <c r="AJ34" s="109" t="s">
        <v>352</v>
      </c>
      <c r="AK34" s="108" t="s">
        <v>85</v>
      </c>
      <c r="AL34" s="108" t="s">
        <v>249</v>
      </c>
      <c r="AM34" s="108" t="s">
        <v>250</v>
      </c>
      <c r="AN34" s="108" t="s">
        <v>88</v>
      </c>
      <c r="AO34" s="157" t="s">
        <v>353</v>
      </c>
      <c r="AP34" s="157" t="s">
        <v>354</v>
      </c>
      <c r="AQ34" s="109" t="s">
        <v>343</v>
      </c>
      <c r="AR34" s="109" t="s">
        <v>344</v>
      </c>
      <c r="AS34" s="108" t="s">
        <v>79</v>
      </c>
      <c r="AT34" s="108" t="s">
        <v>79</v>
      </c>
      <c r="AU34" s="109" t="s">
        <v>193</v>
      </c>
      <c r="AV34" s="109" t="s">
        <v>94</v>
      </c>
      <c r="AW34" s="167" t="s">
        <v>355</v>
      </c>
      <c r="AX34" s="108"/>
      <c r="AY34" s="104"/>
    </row>
    <row r="35" s="31" customFormat="1" spans="1:51">
      <c r="A35" s="103" t="str">
        <f t="shared" si="0"/>
        <v>29-0</v>
      </c>
      <c r="B35" s="108">
        <v>29</v>
      </c>
      <c r="C35" s="126" t="s">
        <v>100</v>
      </c>
      <c r="D35" s="108" t="s">
        <v>356</v>
      </c>
      <c r="E35" s="127">
        <v>0</v>
      </c>
      <c r="F35" s="128" t="s">
        <v>357</v>
      </c>
      <c r="G35" s="173" t="s">
        <v>358</v>
      </c>
      <c r="H35" s="128" t="str">
        <f t="shared" si="1"/>
        <v>Hose, Vacuum; Ø 7.5 mm × 14.5 mm; - </v>
      </c>
      <c r="I35" s="128" t="s">
        <v>107</v>
      </c>
      <c r="J35" s="128" t="s">
        <v>359</v>
      </c>
      <c r="K35" s="137" t="s">
        <v>79</v>
      </c>
      <c r="L35" s="126" t="s">
        <v>360</v>
      </c>
      <c r="M35" s="126" t="s">
        <v>79</v>
      </c>
      <c r="N35" s="145" t="s">
        <v>70</v>
      </c>
      <c r="O35" s="145" t="s">
        <v>79</v>
      </c>
      <c r="P35" s="174" t="s">
        <v>361</v>
      </c>
      <c r="Q35" s="126" t="s">
        <v>79</v>
      </c>
      <c r="R35" s="109" t="s">
        <v>362</v>
      </c>
      <c r="S35" s="108" t="s">
        <v>74</v>
      </c>
      <c r="T35" s="108" t="s">
        <v>79</v>
      </c>
      <c r="U35" s="109" t="s">
        <v>146</v>
      </c>
      <c r="V35" s="108" t="s">
        <v>79</v>
      </c>
      <c r="W35" s="109" t="s">
        <v>77</v>
      </c>
      <c r="X35" s="108" t="s">
        <v>79</v>
      </c>
      <c r="Y35" s="109" t="s">
        <v>77</v>
      </c>
      <c r="Z35" s="108" t="s">
        <v>79</v>
      </c>
      <c r="AA35" s="108" t="s">
        <v>79</v>
      </c>
      <c r="AB35" s="108" t="s">
        <v>79</v>
      </c>
      <c r="AC35" s="109" t="s">
        <v>77</v>
      </c>
      <c r="AD35" s="108" t="s">
        <v>79</v>
      </c>
      <c r="AE35" s="108" t="s">
        <v>363</v>
      </c>
      <c r="AF35" s="108" t="s">
        <v>79</v>
      </c>
      <c r="AG35" s="108" t="s">
        <v>364</v>
      </c>
      <c r="AH35" s="108" t="s">
        <v>79</v>
      </c>
      <c r="AI35" s="108"/>
      <c r="AJ35" s="109" t="s">
        <v>365</v>
      </c>
      <c r="AK35" s="108" t="s">
        <v>85</v>
      </c>
      <c r="AL35" s="108" t="s">
        <v>366</v>
      </c>
      <c r="AM35" s="108" t="s">
        <v>250</v>
      </c>
      <c r="AN35" s="108" t="s">
        <v>88</v>
      </c>
      <c r="AO35" s="157" t="s">
        <v>367</v>
      </c>
      <c r="AP35" s="157" t="s">
        <v>367</v>
      </c>
      <c r="AQ35" s="109" t="s">
        <v>368</v>
      </c>
      <c r="AR35" s="109" t="s">
        <v>369</v>
      </c>
      <c r="AS35" s="108" t="s">
        <v>79</v>
      </c>
      <c r="AT35" s="108" t="s">
        <v>79</v>
      </c>
      <c r="AU35" s="109" t="s">
        <v>90</v>
      </c>
      <c r="AV35" s="109" t="s">
        <v>94</v>
      </c>
      <c r="AW35" s="167" t="s">
        <v>370</v>
      </c>
      <c r="AX35" s="108"/>
      <c r="AY35" s="104"/>
    </row>
    <row r="36" s="31" customFormat="1" spans="1:51">
      <c r="A36" s="103" t="str">
        <f t="shared" si="0"/>
        <v>30-0</v>
      </c>
      <c r="B36" s="108">
        <v>30</v>
      </c>
      <c r="C36" s="126" t="s">
        <v>100</v>
      </c>
      <c r="D36" s="108" t="s">
        <v>371</v>
      </c>
      <c r="E36" s="127">
        <v>0</v>
      </c>
      <c r="F36" s="128" t="s">
        <v>372</v>
      </c>
      <c r="G36" s="173" t="s">
        <v>373</v>
      </c>
      <c r="H36" s="103" t="str">
        <f t="shared" si="1"/>
        <v>Hose, Fuel Tank; Ø 34 mm × 44 mm; TSM1647G-1C </v>
      </c>
      <c r="I36" s="103" t="s">
        <v>240</v>
      </c>
      <c r="J36" s="128" t="s">
        <v>374</v>
      </c>
      <c r="K36" s="129" t="s">
        <v>375</v>
      </c>
      <c r="L36" s="146" t="s">
        <v>376</v>
      </c>
      <c r="M36" s="146" t="s">
        <v>79</v>
      </c>
      <c r="N36" s="147" t="s">
        <v>70</v>
      </c>
      <c r="O36" s="147" t="s">
        <v>79</v>
      </c>
      <c r="P36" s="176" t="s">
        <v>348</v>
      </c>
      <c r="Q36" s="146" t="s">
        <v>79</v>
      </c>
      <c r="R36" s="153" t="s">
        <v>377</v>
      </c>
      <c r="S36" s="130" t="s">
        <v>74</v>
      </c>
      <c r="T36" s="130" t="s">
        <v>79</v>
      </c>
      <c r="U36" s="153" t="s">
        <v>77</v>
      </c>
      <c r="V36" s="130" t="s">
        <v>79</v>
      </c>
      <c r="W36" s="153" t="s">
        <v>111</v>
      </c>
      <c r="X36" s="130" t="s">
        <v>79</v>
      </c>
      <c r="Y36" s="153" t="s">
        <v>111</v>
      </c>
      <c r="Z36" s="130" t="s">
        <v>79</v>
      </c>
      <c r="AA36" s="130" t="s">
        <v>79</v>
      </c>
      <c r="AB36" s="130" t="s">
        <v>79</v>
      </c>
      <c r="AC36" s="153" t="s">
        <v>111</v>
      </c>
      <c r="AD36" s="130" t="s">
        <v>79</v>
      </c>
      <c r="AE36" s="130" t="s">
        <v>378</v>
      </c>
      <c r="AF36" s="130" t="s">
        <v>79</v>
      </c>
      <c r="AG36" s="130" t="s">
        <v>379</v>
      </c>
      <c r="AH36" s="130" t="s">
        <v>79</v>
      </c>
      <c r="AI36" s="154">
        <v>0.5</v>
      </c>
      <c r="AJ36" s="153" t="s">
        <v>380</v>
      </c>
      <c r="AK36" s="130" t="s">
        <v>85</v>
      </c>
      <c r="AL36" s="130" t="s">
        <v>381</v>
      </c>
      <c r="AM36" s="130" t="s">
        <v>382</v>
      </c>
      <c r="AN36" s="130" t="s">
        <v>88</v>
      </c>
      <c r="AO36" s="158" t="s">
        <v>341</v>
      </c>
      <c r="AP36" s="158" t="s">
        <v>383</v>
      </c>
      <c r="AQ36" s="153" t="s">
        <v>384</v>
      </c>
      <c r="AR36" s="130" t="s">
        <v>79</v>
      </c>
      <c r="AS36" s="130" t="s">
        <v>79</v>
      </c>
      <c r="AT36" s="130" t="s">
        <v>79</v>
      </c>
      <c r="AU36" s="153" t="s">
        <v>385</v>
      </c>
      <c r="AV36" s="153" t="s">
        <v>94</v>
      </c>
      <c r="AW36" s="167" t="s">
        <v>386</v>
      </c>
      <c r="AX36" s="108"/>
      <c r="AY36" s="104"/>
    </row>
    <row r="37" s="30" customFormat="1" spans="1:51">
      <c r="A37" s="103" t="str">
        <f t="shared" si="0"/>
        <v>30-1</v>
      </c>
      <c r="B37" s="108">
        <v>30</v>
      </c>
      <c r="C37" s="126" t="s">
        <v>100</v>
      </c>
      <c r="D37" s="108" t="s">
        <v>79</v>
      </c>
      <c r="E37" s="127">
        <v>1</v>
      </c>
      <c r="F37" s="128" t="s">
        <v>372</v>
      </c>
      <c r="G37" s="173" t="s">
        <v>387</v>
      </c>
      <c r="H37" s="103" t="str">
        <f t="shared" si="1"/>
        <v>Hose, Fuel Tank; Ø 34 mm × 44 mm; TSM1647G-1C </v>
      </c>
      <c r="I37" s="103" t="s">
        <v>240</v>
      </c>
      <c r="J37" s="128" t="s">
        <v>374</v>
      </c>
      <c r="K37" s="103" t="s">
        <v>375</v>
      </c>
      <c r="L37" s="148" t="s">
        <v>243</v>
      </c>
      <c r="M37" s="148" t="s">
        <v>79</v>
      </c>
      <c r="N37" s="149" t="s">
        <v>70</v>
      </c>
      <c r="O37" s="149" t="s">
        <v>79</v>
      </c>
      <c r="P37" s="174" t="s">
        <v>348</v>
      </c>
      <c r="Q37" s="148" t="s">
        <v>79</v>
      </c>
      <c r="R37" s="109" t="s">
        <v>388</v>
      </c>
      <c r="S37" s="108" t="s">
        <v>74</v>
      </c>
      <c r="T37" s="108" t="s">
        <v>79</v>
      </c>
      <c r="U37" s="109" t="s">
        <v>77</v>
      </c>
      <c r="V37" s="108" t="s">
        <v>79</v>
      </c>
      <c r="W37" s="109" t="s">
        <v>111</v>
      </c>
      <c r="X37" s="108" t="s">
        <v>79</v>
      </c>
      <c r="Y37" s="109" t="s">
        <v>111</v>
      </c>
      <c r="Z37" s="108" t="s">
        <v>79</v>
      </c>
      <c r="AA37" s="108" t="s">
        <v>79</v>
      </c>
      <c r="AB37" s="108" t="s">
        <v>79</v>
      </c>
      <c r="AC37" s="109" t="s">
        <v>111</v>
      </c>
      <c r="AD37" s="108" t="s">
        <v>79</v>
      </c>
      <c r="AE37" s="108" t="s">
        <v>378</v>
      </c>
      <c r="AF37" s="108" t="s">
        <v>79</v>
      </c>
      <c r="AG37" s="108" t="s">
        <v>379</v>
      </c>
      <c r="AH37" s="108" t="s">
        <v>79</v>
      </c>
      <c r="AI37" s="155">
        <v>0.5</v>
      </c>
      <c r="AJ37" s="109" t="s">
        <v>380</v>
      </c>
      <c r="AK37" s="108" t="s">
        <v>85</v>
      </c>
      <c r="AL37" s="108" t="s">
        <v>381</v>
      </c>
      <c r="AM37" s="108" t="s">
        <v>382</v>
      </c>
      <c r="AN37" s="108" t="s">
        <v>88</v>
      </c>
      <c r="AO37" s="157" t="s">
        <v>341</v>
      </c>
      <c r="AP37" s="157" t="s">
        <v>383</v>
      </c>
      <c r="AQ37" s="109" t="s">
        <v>384</v>
      </c>
      <c r="AR37" s="108" t="s">
        <v>79</v>
      </c>
      <c r="AS37" s="108" t="s">
        <v>79</v>
      </c>
      <c r="AT37" s="108" t="s">
        <v>79</v>
      </c>
      <c r="AU37" s="109" t="s">
        <v>385</v>
      </c>
      <c r="AV37" s="109" t="s">
        <v>94</v>
      </c>
      <c r="AW37" s="167" t="s">
        <v>79</v>
      </c>
      <c r="AX37" s="108"/>
      <c r="AY37" s="168"/>
    </row>
    <row r="38" s="30" customFormat="1" spans="1:51">
      <c r="A38" s="103" t="str">
        <f t="shared" si="0"/>
        <v>31-0</v>
      </c>
      <c r="B38" s="105">
        <v>31</v>
      </c>
      <c r="C38" s="126" t="s">
        <v>61</v>
      </c>
      <c r="D38" s="108" t="s">
        <v>389</v>
      </c>
      <c r="E38" s="127">
        <v>0</v>
      </c>
      <c r="F38" s="128" t="s">
        <v>372</v>
      </c>
      <c r="G38" s="173" t="s">
        <v>373</v>
      </c>
      <c r="H38" s="103" t="str">
        <f t="shared" si="1"/>
        <v>Hose, Fuel; Ø 7 mm × 12 mm; TSM1651G-2 </v>
      </c>
      <c r="I38" s="31" t="s">
        <v>121</v>
      </c>
      <c r="J38" s="128" t="s">
        <v>155</v>
      </c>
      <c r="K38" s="103" t="s">
        <v>123</v>
      </c>
      <c r="L38" s="148" t="s">
        <v>124</v>
      </c>
      <c r="M38" s="148" t="s">
        <v>69</v>
      </c>
      <c r="N38" s="149" t="s">
        <v>70</v>
      </c>
      <c r="O38" s="149" t="s">
        <v>70</v>
      </c>
      <c r="P38" s="174" t="s">
        <v>156</v>
      </c>
      <c r="Q38" s="126" t="s">
        <v>126</v>
      </c>
      <c r="R38" s="109" t="s">
        <v>157</v>
      </c>
      <c r="S38" s="108" t="s">
        <v>74</v>
      </c>
      <c r="T38" s="108" t="s">
        <v>74</v>
      </c>
      <c r="U38" s="109" t="s">
        <v>76</v>
      </c>
      <c r="V38" s="109" t="s">
        <v>76</v>
      </c>
      <c r="W38" s="109" t="s">
        <v>78</v>
      </c>
      <c r="X38" s="109" t="s">
        <v>78</v>
      </c>
      <c r="Y38" s="109" t="s">
        <v>78</v>
      </c>
      <c r="Z38" s="109" t="s">
        <v>78</v>
      </c>
      <c r="AA38" s="108" t="s">
        <v>79</v>
      </c>
      <c r="AB38" s="108" t="s">
        <v>79</v>
      </c>
      <c r="AC38" s="109" t="s">
        <v>78</v>
      </c>
      <c r="AD38" s="109" t="s">
        <v>78</v>
      </c>
      <c r="AE38" s="108" t="s">
        <v>390</v>
      </c>
      <c r="AF38" s="108" t="s">
        <v>391</v>
      </c>
      <c r="AG38" s="108" t="s">
        <v>82</v>
      </c>
      <c r="AH38" s="108" t="s">
        <v>83</v>
      </c>
      <c r="AI38" s="108"/>
      <c r="AJ38" s="109" t="s">
        <v>158</v>
      </c>
      <c r="AK38" s="108" t="s">
        <v>85</v>
      </c>
      <c r="AL38" s="108" t="s">
        <v>392</v>
      </c>
      <c r="AM38" s="108" t="s">
        <v>132</v>
      </c>
      <c r="AN38" s="108" t="s">
        <v>88</v>
      </c>
      <c r="AO38" s="157" t="s">
        <v>89</v>
      </c>
      <c r="AP38" s="157" t="s">
        <v>89</v>
      </c>
      <c r="AQ38" s="109" t="s">
        <v>159</v>
      </c>
      <c r="AR38" s="109" t="s">
        <v>158</v>
      </c>
      <c r="AS38" s="109" t="s">
        <v>134</v>
      </c>
      <c r="AT38" s="109" t="s">
        <v>92</v>
      </c>
      <c r="AU38" s="109" t="s">
        <v>135</v>
      </c>
      <c r="AV38" s="109" t="s">
        <v>94</v>
      </c>
      <c r="AW38" s="167" t="s">
        <v>393</v>
      </c>
      <c r="AX38" s="108"/>
      <c r="AY38" s="168"/>
    </row>
    <row r="39" s="31" customFormat="1" spans="1:51">
      <c r="A39" s="103" t="str">
        <f t="shared" si="0"/>
        <v>32-0</v>
      </c>
      <c r="B39" s="105">
        <v>32</v>
      </c>
      <c r="C39" s="126" t="s">
        <v>61</v>
      </c>
      <c r="D39" s="108" t="s">
        <v>394</v>
      </c>
      <c r="E39" s="127">
        <v>0</v>
      </c>
      <c r="F39" s="128" t="s">
        <v>372</v>
      </c>
      <c r="G39" s="173" t="s">
        <v>373</v>
      </c>
      <c r="H39" s="103" t="str">
        <f t="shared" si="1"/>
        <v>Hose, Fuel; Ø 9 mm × 14 mm; TSM1651G-2 </v>
      </c>
      <c r="I39" s="31" t="s">
        <v>121</v>
      </c>
      <c r="J39" s="128" t="s">
        <v>395</v>
      </c>
      <c r="K39" s="103" t="s">
        <v>123</v>
      </c>
      <c r="L39" s="148" t="s">
        <v>124</v>
      </c>
      <c r="M39" s="148" t="s">
        <v>69</v>
      </c>
      <c r="N39" s="149" t="s">
        <v>70</v>
      </c>
      <c r="O39" s="149" t="s">
        <v>70</v>
      </c>
      <c r="P39" s="177" t="s">
        <v>186</v>
      </c>
      <c r="Q39" s="109" t="s">
        <v>396</v>
      </c>
      <c r="R39" s="109" t="s">
        <v>397</v>
      </c>
      <c r="S39" s="108" t="s">
        <v>74</v>
      </c>
      <c r="T39" s="108" t="s">
        <v>74</v>
      </c>
      <c r="U39" s="109" t="s">
        <v>76</v>
      </c>
      <c r="V39" s="109" t="s">
        <v>76</v>
      </c>
      <c r="W39" s="109" t="s">
        <v>264</v>
      </c>
      <c r="X39" s="109" t="s">
        <v>264</v>
      </c>
      <c r="Y39" s="109" t="s">
        <v>264</v>
      </c>
      <c r="Z39" s="109" t="s">
        <v>264</v>
      </c>
      <c r="AA39" s="108" t="s">
        <v>79</v>
      </c>
      <c r="AB39" s="108" t="s">
        <v>79</v>
      </c>
      <c r="AC39" s="109" t="s">
        <v>264</v>
      </c>
      <c r="AD39" s="109" t="s">
        <v>264</v>
      </c>
      <c r="AE39" s="108" t="s">
        <v>398</v>
      </c>
      <c r="AF39" s="108" t="s">
        <v>399</v>
      </c>
      <c r="AG39" s="108" t="s">
        <v>364</v>
      </c>
      <c r="AH39" s="108" t="s">
        <v>400</v>
      </c>
      <c r="AI39" s="108">
        <v>30</v>
      </c>
      <c r="AJ39" s="109" t="s">
        <v>401</v>
      </c>
      <c r="AK39" s="108" t="s">
        <v>85</v>
      </c>
      <c r="AL39" s="108" t="s">
        <v>392</v>
      </c>
      <c r="AM39" s="108" t="s">
        <v>132</v>
      </c>
      <c r="AN39" s="108" t="s">
        <v>88</v>
      </c>
      <c r="AO39" s="157" t="s">
        <v>204</v>
      </c>
      <c r="AP39" s="157" t="s">
        <v>402</v>
      </c>
      <c r="AQ39" s="109" t="s">
        <v>403</v>
      </c>
      <c r="AR39" s="109" t="s">
        <v>404</v>
      </c>
      <c r="AS39" s="109" t="s">
        <v>135</v>
      </c>
      <c r="AT39" s="109" t="s">
        <v>92</v>
      </c>
      <c r="AU39" s="109" t="s">
        <v>405</v>
      </c>
      <c r="AV39" s="109" t="s">
        <v>94</v>
      </c>
      <c r="AW39" s="167" t="s">
        <v>406</v>
      </c>
      <c r="AX39" s="108"/>
      <c r="AY39" s="104"/>
    </row>
    <row r="40" s="31" customFormat="1" spans="1:51">
      <c r="A40" s="103" t="str">
        <f t="shared" si="0"/>
        <v>33-0</v>
      </c>
      <c r="B40" s="108">
        <v>33</v>
      </c>
      <c r="C40" s="126" t="s">
        <v>100</v>
      </c>
      <c r="D40" s="108" t="s">
        <v>407</v>
      </c>
      <c r="E40" s="127">
        <v>0</v>
      </c>
      <c r="F40" s="128" t="s">
        <v>372</v>
      </c>
      <c r="G40" s="173" t="s">
        <v>408</v>
      </c>
      <c r="H40" s="103" t="str">
        <f t="shared" si="1"/>
        <v>Hose, Fuel Tank; Ø 34 mm × 44 mm; TSM1647G-1C </v>
      </c>
      <c r="I40" s="103" t="s">
        <v>240</v>
      </c>
      <c r="J40" s="128" t="s">
        <v>374</v>
      </c>
      <c r="K40" s="103" t="s">
        <v>375</v>
      </c>
      <c r="L40" s="148" t="s">
        <v>376</v>
      </c>
      <c r="M40" s="148" t="s">
        <v>79</v>
      </c>
      <c r="N40" s="149" t="s">
        <v>70</v>
      </c>
      <c r="O40" s="149" t="s">
        <v>79</v>
      </c>
      <c r="P40" s="174" t="s">
        <v>348</v>
      </c>
      <c r="Q40" s="148" t="s">
        <v>79</v>
      </c>
      <c r="R40" s="109" t="s">
        <v>409</v>
      </c>
      <c r="S40" s="108" t="s">
        <v>74</v>
      </c>
      <c r="T40" s="108" t="s">
        <v>79</v>
      </c>
      <c r="U40" s="109" t="s">
        <v>77</v>
      </c>
      <c r="V40" s="108" t="s">
        <v>79</v>
      </c>
      <c r="W40" s="109" t="s">
        <v>111</v>
      </c>
      <c r="X40" s="108" t="s">
        <v>79</v>
      </c>
      <c r="Y40" s="109" t="s">
        <v>111</v>
      </c>
      <c r="Z40" s="108" t="s">
        <v>79</v>
      </c>
      <c r="AA40" s="108" t="s">
        <v>79</v>
      </c>
      <c r="AB40" s="108" t="s">
        <v>79</v>
      </c>
      <c r="AC40" s="109" t="s">
        <v>111</v>
      </c>
      <c r="AD40" s="108" t="s">
        <v>79</v>
      </c>
      <c r="AE40" s="108" t="s">
        <v>410</v>
      </c>
      <c r="AF40" s="108" t="s">
        <v>79</v>
      </c>
      <c r="AG40" s="108" t="s">
        <v>379</v>
      </c>
      <c r="AH40" s="108" t="s">
        <v>79</v>
      </c>
      <c r="AI40" s="155">
        <v>0.5</v>
      </c>
      <c r="AJ40" s="109" t="s">
        <v>411</v>
      </c>
      <c r="AK40" s="108" t="s">
        <v>85</v>
      </c>
      <c r="AL40" s="108" t="s">
        <v>381</v>
      </c>
      <c r="AM40" s="108" t="s">
        <v>250</v>
      </c>
      <c r="AN40" s="108" t="s">
        <v>88</v>
      </c>
      <c r="AO40" s="157" t="s">
        <v>341</v>
      </c>
      <c r="AP40" s="157" t="s">
        <v>412</v>
      </c>
      <c r="AQ40" s="109" t="s">
        <v>413</v>
      </c>
      <c r="AR40" s="108" t="s">
        <v>79</v>
      </c>
      <c r="AS40" s="108" t="s">
        <v>79</v>
      </c>
      <c r="AT40" s="108" t="s">
        <v>79</v>
      </c>
      <c r="AU40" s="109" t="s">
        <v>367</v>
      </c>
      <c r="AV40" s="109" t="s">
        <v>94</v>
      </c>
      <c r="AW40" s="167" t="s">
        <v>414</v>
      </c>
      <c r="AX40" s="108"/>
      <c r="AY40" s="104"/>
    </row>
    <row r="41" s="33" customFormat="1" spans="1:51">
      <c r="A41" s="103" t="str">
        <f t="shared" si="0"/>
        <v>34-0</v>
      </c>
      <c r="B41" s="108">
        <v>34</v>
      </c>
      <c r="C41" s="126" t="s">
        <v>61</v>
      </c>
      <c r="D41" s="108" t="s">
        <v>415</v>
      </c>
      <c r="E41" s="127">
        <v>0</v>
      </c>
      <c r="F41" s="128" t="s">
        <v>416</v>
      </c>
      <c r="G41" s="173" t="s">
        <v>417</v>
      </c>
      <c r="H41" s="103" t="str">
        <f t="shared" si="1"/>
        <v>Hose, Fuel; Ø 7 mm × 14 mm; TSM1651G-2 </v>
      </c>
      <c r="I41" s="103" t="s">
        <v>121</v>
      </c>
      <c r="J41" s="128" t="s">
        <v>164</v>
      </c>
      <c r="K41" s="128" t="s">
        <v>123</v>
      </c>
      <c r="L41" s="148" t="s">
        <v>124</v>
      </c>
      <c r="M41" s="148" t="s">
        <v>69</v>
      </c>
      <c r="N41" s="149" t="s">
        <v>70</v>
      </c>
      <c r="O41" s="149" t="s">
        <v>70</v>
      </c>
      <c r="P41" s="174" t="s">
        <v>156</v>
      </c>
      <c r="Q41" s="109" t="s">
        <v>418</v>
      </c>
      <c r="R41" s="109" t="s">
        <v>419</v>
      </c>
      <c r="S41" s="108" t="s">
        <v>74</v>
      </c>
      <c r="T41" s="108" t="s">
        <v>74</v>
      </c>
      <c r="U41" s="109" t="s">
        <v>76</v>
      </c>
      <c r="V41" s="109" t="s">
        <v>76</v>
      </c>
      <c r="W41" s="109" t="s">
        <v>78</v>
      </c>
      <c r="X41" s="109" t="s">
        <v>78</v>
      </c>
      <c r="Y41" s="109" t="s">
        <v>78</v>
      </c>
      <c r="Z41" s="109" t="s">
        <v>78</v>
      </c>
      <c r="AA41" s="108" t="s">
        <v>79</v>
      </c>
      <c r="AB41" s="108" t="s">
        <v>79</v>
      </c>
      <c r="AC41" s="109" t="s">
        <v>78</v>
      </c>
      <c r="AD41" s="109" t="s">
        <v>78</v>
      </c>
      <c r="AE41" s="108" t="s">
        <v>420</v>
      </c>
      <c r="AF41" s="108" t="s">
        <v>421</v>
      </c>
      <c r="AG41" s="108" t="s">
        <v>422</v>
      </c>
      <c r="AH41" s="108" t="s">
        <v>423</v>
      </c>
      <c r="AI41" s="108">
        <v>30</v>
      </c>
      <c r="AJ41" s="109" t="s">
        <v>424</v>
      </c>
      <c r="AK41" s="108" t="s">
        <v>85</v>
      </c>
      <c r="AL41" s="108" t="s">
        <v>392</v>
      </c>
      <c r="AM41" s="108" t="s">
        <v>132</v>
      </c>
      <c r="AN41" s="108" t="s">
        <v>88</v>
      </c>
      <c r="AO41" s="157" t="s">
        <v>89</v>
      </c>
      <c r="AP41" s="157" t="s">
        <v>89</v>
      </c>
      <c r="AQ41" s="109" t="s">
        <v>159</v>
      </c>
      <c r="AR41" s="109" t="s">
        <v>166</v>
      </c>
      <c r="AS41" s="109" t="s">
        <v>167</v>
      </c>
      <c r="AT41" s="109" t="s">
        <v>425</v>
      </c>
      <c r="AU41" s="109" t="s">
        <v>235</v>
      </c>
      <c r="AV41" s="109" t="s">
        <v>94</v>
      </c>
      <c r="AW41" s="167" t="s">
        <v>426</v>
      </c>
      <c r="AX41" s="108"/>
      <c r="AY41" s="170"/>
    </row>
    <row r="42" s="31" customFormat="1" spans="1:51">
      <c r="A42" s="103" t="str">
        <f t="shared" si="0"/>
        <v>35-0</v>
      </c>
      <c r="B42" s="108">
        <v>35</v>
      </c>
      <c r="C42" s="126" t="s">
        <v>61</v>
      </c>
      <c r="D42" s="108" t="s">
        <v>427</v>
      </c>
      <c r="E42" s="127">
        <v>0</v>
      </c>
      <c r="F42" s="128" t="s">
        <v>428</v>
      </c>
      <c r="G42" s="173" t="s">
        <v>417</v>
      </c>
      <c r="H42" s="103" t="str">
        <f t="shared" si="1"/>
        <v>Hose, Fuel Tank; Ø 13.5 mm × 21.5 mm; TSM1648G-3 </v>
      </c>
      <c r="I42" s="103" t="s">
        <v>240</v>
      </c>
      <c r="J42" s="128" t="s">
        <v>241</v>
      </c>
      <c r="K42" s="103" t="s">
        <v>429</v>
      </c>
      <c r="L42" s="148" t="s">
        <v>430</v>
      </c>
      <c r="M42" s="148" t="s">
        <v>431</v>
      </c>
      <c r="N42" s="149" t="s">
        <v>70</v>
      </c>
      <c r="O42" s="149" t="s">
        <v>70</v>
      </c>
      <c r="P42" s="174" t="s">
        <v>244</v>
      </c>
      <c r="Q42" s="109" t="s">
        <v>202</v>
      </c>
      <c r="R42" s="109" t="s">
        <v>267</v>
      </c>
      <c r="S42" s="108" t="s">
        <v>74</v>
      </c>
      <c r="T42" s="108" t="s">
        <v>74</v>
      </c>
      <c r="U42" s="109" t="s">
        <v>76</v>
      </c>
      <c r="V42" s="109" t="s">
        <v>111</v>
      </c>
      <c r="W42" s="109" t="s">
        <v>264</v>
      </c>
      <c r="X42" s="109" t="s">
        <v>78</v>
      </c>
      <c r="Y42" s="109" t="s">
        <v>264</v>
      </c>
      <c r="Z42" s="109" t="s">
        <v>78</v>
      </c>
      <c r="AA42" s="108" t="s">
        <v>79</v>
      </c>
      <c r="AB42" s="108" t="s">
        <v>79</v>
      </c>
      <c r="AC42" s="109" t="s">
        <v>264</v>
      </c>
      <c r="AD42" s="109" t="s">
        <v>78</v>
      </c>
      <c r="AE42" s="108" t="s">
        <v>432</v>
      </c>
      <c r="AF42" s="108" t="s">
        <v>433</v>
      </c>
      <c r="AG42" s="108" t="s">
        <v>434</v>
      </c>
      <c r="AH42" s="108" t="s">
        <v>435</v>
      </c>
      <c r="AI42" s="108">
        <v>30</v>
      </c>
      <c r="AJ42" s="109" t="s">
        <v>436</v>
      </c>
      <c r="AK42" s="108" t="s">
        <v>85</v>
      </c>
      <c r="AL42" s="108" t="s">
        <v>437</v>
      </c>
      <c r="AM42" s="108" t="s">
        <v>250</v>
      </c>
      <c r="AN42" s="108" t="s">
        <v>88</v>
      </c>
      <c r="AO42" s="157" t="s">
        <v>204</v>
      </c>
      <c r="AP42" s="157" t="s">
        <v>204</v>
      </c>
      <c r="AQ42" s="109" t="s">
        <v>438</v>
      </c>
      <c r="AR42" s="109" t="s">
        <v>439</v>
      </c>
      <c r="AS42" s="109" t="s">
        <v>440</v>
      </c>
      <c r="AT42" s="109" t="s">
        <v>441</v>
      </c>
      <c r="AU42" s="109" t="s">
        <v>442</v>
      </c>
      <c r="AV42" s="109" t="s">
        <v>94</v>
      </c>
      <c r="AW42" s="167" t="s">
        <v>443</v>
      </c>
      <c r="AX42" s="108"/>
      <c r="AY42" s="104"/>
    </row>
    <row r="43" s="33" customFormat="1" spans="1:51">
      <c r="A43" s="103" t="str">
        <f t="shared" si="0"/>
        <v>36-0</v>
      </c>
      <c r="B43" s="108">
        <v>36</v>
      </c>
      <c r="C43" s="126" t="s">
        <v>61</v>
      </c>
      <c r="D43" s="108" t="s">
        <v>444</v>
      </c>
      <c r="E43" s="127">
        <v>0</v>
      </c>
      <c r="F43" s="128" t="s">
        <v>63</v>
      </c>
      <c r="G43" s="173" t="s">
        <v>445</v>
      </c>
      <c r="H43" s="128" t="str">
        <f t="shared" si="1"/>
        <v>Hose, Fuel; Ø 7 mm × 14 mm; TSM1651G-2 </v>
      </c>
      <c r="I43" s="128" t="s">
        <v>121</v>
      </c>
      <c r="J43" s="128" t="s">
        <v>164</v>
      </c>
      <c r="K43" s="128" t="s">
        <v>123</v>
      </c>
      <c r="L43" s="126" t="s">
        <v>124</v>
      </c>
      <c r="M43" s="126" t="s">
        <v>69</v>
      </c>
      <c r="N43" s="145" t="s">
        <v>70</v>
      </c>
      <c r="O43" s="145" t="s">
        <v>70</v>
      </c>
      <c r="P43" s="174" t="s">
        <v>156</v>
      </c>
      <c r="Q43" s="126" t="s">
        <v>170</v>
      </c>
      <c r="R43" s="126" t="s">
        <v>170</v>
      </c>
      <c r="S43" s="108" t="s">
        <v>74</v>
      </c>
      <c r="T43" s="108" t="s">
        <v>74</v>
      </c>
      <c r="U43" s="109" t="s">
        <v>76</v>
      </c>
      <c r="V43" s="109" t="s">
        <v>76</v>
      </c>
      <c r="W43" s="109" t="s">
        <v>78</v>
      </c>
      <c r="X43" s="109" t="s">
        <v>78</v>
      </c>
      <c r="Y43" s="109" t="s">
        <v>78</v>
      </c>
      <c r="Z43" s="109" t="s">
        <v>78</v>
      </c>
      <c r="AA43" s="108" t="s">
        <v>79</v>
      </c>
      <c r="AB43" s="108" t="s">
        <v>79</v>
      </c>
      <c r="AC43" s="109" t="s">
        <v>78</v>
      </c>
      <c r="AD43" s="109" t="s">
        <v>78</v>
      </c>
      <c r="AE43" s="108" t="s">
        <v>80</v>
      </c>
      <c r="AF43" s="108" t="s">
        <v>81</v>
      </c>
      <c r="AG43" s="108" t="s">
        <v>82</v>
      </c>
      <c r="AH43" s="108" t="s">
        <v>83</v>
      </c>
      <c r="AI43" s="108"/>
      <c r="AJ43" s="109" t="s">
        <v>166</v>
      </c>
      <c r="AK43" s="108" t="s">
        <v>85</v>
      </c>
      <c r="AL43" s="108" t="s">
        <v>392</v>
      </c>
      <c r="AM43" s="108" t="s">
        <v>132</v>
      </c>
      <c r="AN43" s="108" t="s">
        <v>88</v>
      </c>
      <c r="AO43" s="157" t="s">
        <v>89</v>
      </c>
      <c r="AP43" s="157" t="s">
        <v>89</v>
      </c>
      <c r="AQ43" s="109" t="s">
        <v>159</v>
      </c>
      <c r="AR43" s="109" t="s">
        <v>166</v>
      </c>
      <c r="AS43" s="109" t="s">
        <v>167</v>
      </c>
      <c r="AT43" s="109">
        <v>0.1</v>
      </c>
      <c r="AU43" s="109" t="s">
        <v>90</v>
      </c>
      <c r="AV43" s="109" t="s">
        <v>94</v>
      </c>
      <c r="AW43" s="167" t="s">
        <v>446</v>
      </c>
      <c r="AX43" s="108"/>
      <c r="AY43" s="170"/>
    </row>
    <row r="44" s="33" customFormat="1" spans="1:51">
      <c r="A44" s="103" t="str">
        <f t="shared" si="0"/>
        <v>36-1</v>
      </c>
      <c r="B44" s="108">
        <v>36</v>
      </c>
      <c r="C44" s="126" t="s">
        <v>61</v>
      </c>
      <c r="D44" s="108"/>
      <c r="E44" s="127">
        <v>1</v>
      </c>
      <c r="F44" s="128" t="s">
        <v>63</v>
      </c>
      <c r="G44" s="173" t="s">
        <v>447</v>
      </c>
      <c r="H44" s="128" t="str">
        <f t="shared" si="1"/>
        <v>Hose, Fuel; Ø 7 mm × 14 mm; TSM1651G-2 </v>
      </c>
      <c r="I44" s="128" t="s">
        <v>121</v>
      </c>
      <c r="J44" s="128" t="s">
        <v>164</v>
      </c>
      <c r="K44" s="128" t="s">
        <v>123</v>
      </c>
      <c r="L44" s="126" t="s">
        <v>124</v>
      </c>
      <c r="M44" s="126" t="s">
        <v>69</v>
      </c>
      <c r="N44" s="149" t="s">
        <v>70</v>
      </c>
      <c r="O44" s="149" t="s">
        <v>70</v>
      </c>
      <c r="P44" s="174" t="s">
        <v>156</v>
      </c>
      <c r="Q44" s="126" t="s">
        <v>170</v>
      </c>
      <c r="R44" s="126" t="s">
        <v>170</v>
      </c>
      <c r="S44" s="108" t="s">
        <v>74</v>
      </c>
      <c r="T44" s="108" t="s">
        <v>74</v>
      </c>
      <c r="U44" s="109" t="s">
        <v>76</v>
      </c>
      <c r="V44" s="109" t="s">
        <v>76</v>
      </c>
      <c r="W44" s="109" t="s">
        <v>78</v>
      </c>
      <c r="X44" s="109" t="s">
        <v>78</v>
      </c>
      <c r="Y44" s="109" t="s">
        <v>78</v>
      </c>
      <c r="Z44" s="109" t="s">
        <v>78</v>
      </c>
      <c r="AA44" s="108" t="s">
        <v>79</v>
      </c>
      <c r="AB44" s="108" t="s">
        <v>79</v>
      </c>
      <c r="AC44" s="109" t="s">
        <v>78</v>
      </c>
      <c r="AD44" s="109" t="s">
        <v>78</v>
      </c>
      <c r="AE44" s="108" t="s">
        <v>448</v>
      </c>
      <c r="AF44" s="108" t="s">
        <v>449</v>
      </c>
      <c r="AG44" s="108" t="s">
        <v>82</v>
      </c>
      <c r="AH44" s="108" t="s">
        <v>83</v>
      </c>
      <c r="AI44" s="108"/>
      <c r="AJ44" s="109" t="s">
        <v>166</v>
      </c>
      <c r="AK44" s="108" t="s">
        <v>85</v>
      </c>
      <c r="AL44" s="108" t="s">
        <v>392</v>
      </c>
      <c r="AM44" s="108" t="s">
        <v>132</v>
      </c>
      <c r="AN44" s="108" t="s">
        <v>88</v>
      </c>
      <c r="AO44" s="157" t="s">
        <v>89</v>
      </c>
      <c r="AP44" s="157" t="s">
        <v>89</v>
      </c>
      <c r="AQ44" s="109" t="s">
        <v>450</v>
      </c>
      <c r="AR44" s="109" t="s">
        <v>166</v>
      </c>
      <c r="AS44" s="109" t="s">
        <v>167</v>
      </c>
      <c r="AT44" s="109">
        <v>0.1</v>
      </c>
      <c r="AU44" s="109" t="s">
        <v>90</v>
      </c>
      <c r="AV44" s="109" t="s">
        <v>94</v>
      </c>
      <c r="AW44" s="167" t="s">
        <v>79</v>
      </c>
      <c r="AX44" s="167"/>
      <c r="AY44" s="170"/>
    </row>
    <row r="45" s="31" customFormat="1" spans="1:51">
      <c r="A45" s="103" t="str">
        <f t="shared" si="0"/>
        <v>27-1</v>
      </c>
      <c r="B45" s="108">
        <v>27</v>
      </c>
      <c r="C45" s="126" t="s">
        <v>100</v>
      </c>
      <c r="D45" s="108"/>
      <c r="E45" s="127">
        <v>1</v>
      </c>
      <c r="F45" s="128" t="s">
        <v>141</v>
      </c>
      <c r="G45" s="173" t="s">
        <v>451</v>
      </c>
      <c r="H45" s="128" t="str">
        <f t="shared" si="1"/>
        <v>Hose, Fuel Tank; Ø 34 mm × 42 mm; DTSM1647G-1C </v>
      </c>
      <c r="I45" s="128" t="s">
        <v>240</v>
      </c>
      <c r="J45" s="128" t="s">
        <v>335</v>
      </c>
      <c r="K45" s="128" t="s">
        <v>242</v>
      </c>
      <c r="L45" s="126" t="s">
        <v>243</v>
      </c>
      <c r="M45" s="126" t="s">
        <v>79</v>
      </c>
      <c r="N45" s="145" t="s">
        <v>70</v>
      </c>
      <c r="O45" s="145" t="s">
        <v>70</v>
      </c>
      <c r="P45" s="174" t="s">
        <v>336</v>
      </c>
      <c r="Q45" s="126" t="s">
        <v>79</v>
      </c>
      <c r="R45" s="109" t="s">
        <v>337</v>
      </c>
      <c r="S45" s="108" t="s">
        <v>74</v>
      </c>
      <c r="T45" s="108" t="s">
        <v>79</v>
      </c>
      <c r="U45" s="109" t="s">
        <v>111</v>
      </c>
      <c r="V45" s="109" t="s">
        <v>79</v>
      </c>
      <c r="W45" s="109" t="s">
        <v>78</v>
      </c>
      <c r="X45" s="109" t="s">
        <v>79</v>
      </c>
      <c r="Y45" s="109" t="s">
        <v>78</v>
      </c>
      <c r="Z45" s="109" t="s">
        <v>79</v>
      </c>
      <c r="AA45" s="108" t="s">
        <v>79</v>
      </c>
      <c r="AB45" s="108" t="s">
        <v>79</v>
      </c>
      <c r="AC45" s="109" t="s">
        <v>78</v>
      </c>
      <c r="AD45" s="109" t="s">
        <v>79</v>
      </c>
      <c r="AE45" s="108" t="s">
        <v>452</v>
      </c>
      <c r="AF45" s="108" t="s">
        <v>79</v>
      </c>
      <c r="AG45" s="108" t="s">
        <v>453</v>
      </c>
      <c r="AH45" s="108" t="s">
        <v>79</v>
      </c>
      <c r="AI45" s="108"/>
      <c r="AJ45" s="109" t="s">
        <v>340</v>
      </c>
      <c r="AK45" s="108" t="s">
        <v>85</v>
      </c>
      <c r="AL45" s="108" t="s">
        <v>249</v>
      </c>
      <c r="AM45" s="108" t="s">
        <v>250</v>
      </c>
      <c r="AN45" s="108" t="s">
        <v>88</v>
      </c>
      <c r="AO45" s="157" t="s">
        <v>341</v>
      </c>
      <c r="AP45" s="157" t="s">
        <v>342</v>
      </c>
      <c r="AQ45" s="109" t="s">
        <v>343</v>
      </c>
      <c r="AR45" s="109" t="s">
        <v>344</v>
      </c>
      <c r="AS45" s="108" t="s">
        <v>79</v>
      </c>
      <c r="AT45" s="108" t="s">
        <v>79</v>
      </c>
      <c r="AU45" s="109" t="s">
        <v>193</v>
      </c>
      <c r="AV45" s="109" t="s">
        <v>94</v>
      </c>
      <c r="AW45" s="167" t="s">
        <v>79</v>
      </c>
      <c r="AX45" s="167"/>
      <c r="AY45" s="104"/>
    </row>
    <row r="46" s="31" customFormat="1" spans="1:51">
      <c r="A46" s="129" t="str">
        <f t="shared" si="0"/>
        <v>28-1</v>
      </c>
      <c r="B46" s="130">
        <v>28</v>
      </c>
      <c r="C46" s="131" t="s">
        <v>100</v>
      </c>
      <c r="D46" s="108" t="s">
        <v>346</v>
      </c>
      <c r="E46" s="132">
        <v>1</v>
      </c>
      <c r="F46" s="133" t="s">
        <v>141</v>
      </c>
      <c r="G46" s="178" t="s">
        <v>451</v>
      </c>
      <c r="H46" s="133" t="str">
        <f t="shared" si="1"/>
        <v>Hose, Fuel Tank; Ø 34 mm × 42 mm; DTSE7351G-1 </v>
      </c>
      <c r="I46" s="133" t="s">
        <v>240</v>
      </c>
      <c r="J46" s="133" t="s">
        <v>335</v>
      </c>
      <c r="K46" s="150" t="s">
        <v>347</v>
      </c>
      <c r="L46" s="131" t="s">
        <v>243</v>
      </c>
      <c r="M46" s="131" t="s">
        <v>79</v>
      </c>
      <c r="N46" s="147" t="s">
        <v>70</v>
      </c>
      <c r="O46" s="147" t="s">
        <v>70</v>
      </c>
      <c r="P46" s="176" t="s">
        <v>348</v>
      </c>
      <c r="Q46" s="131" t="s">
        <v>79</v>
      </c>
      <c r="R46" s="153" t="s">
        <v>454</v>
      </c>
      <c r="S46" s="130" t="s">
        <v>74</v>
      </c>
      <c r="T46" s="130" t="s">
        <v>79</v>
      </c>
      <c r="U46" s="153" t="s">
        <v>111</v>
      </c>
      <c r="V46" s="130" t="s">
        <v>79</v>
      </c>
      <c r="W46" s="153" t="s">
        <v>78</v>
      </c>
      <c r="X46" s="130" t="s">
        <v>79</v>
      </c>
      <c r="Y46" s="153" t="s">
        <v>78</v>
      </c>
      <c r="Z46" s="130" t="s">
        <v>79</v>
      </c>
      <c r="AA46" s="130" t="s">
        <v>79</v>
      </c>
      <c r="AB46" s="130" t="s">
        <v>79</v>
      </c>
      <c r="AC46" s="153" t="s">
        <v>78</v>
      </c>
      <c r="AD46" s="130" t="s">
        <v>79</v>
      </c>
      <c r="AE46" s="130" t="s">
        <v>452</v>
      </c>
      <c r="AF46" s="130" t="s">
        <v>79</v>
      </c>
      <c r="AG46" s="130" t="s">
        <v>455</v>
      </c>
      <c r="AH46" s="130" t="s">
        <v>79</v>
      </c>
      <c r="AI46" s="130"/>
      <c r="AJ46" s="153" t="s">
        <v>352</v>
      </c>
      <c r="AK46" s="130" t="s">
        <v>85</v>
      </c>
      <c r="AL46" s="130" t="s">
        <v>249</v>
      </c>
      <c r="AM46" s="130" t="s">
        <v>250</v>
      </c>
      <c r="AN46" s="130" t="s">
        <v>88</v>
      </c>
      <c r="AO46" s="158" t="s">
        <v>353</v>
      </c>
      <c r="AP46" s="158" t="s">
        <v>354</v>
      </c>
      <c r="AQ46" s="153" t="s">
        <v>343</v>
      </c>
      <c r="AR46" s="153" t="s">
        <v>344</v>
      </c>
      <c r="AS46" s="130" t="s">
        <v>79</v>
      </c>
      <c r="AT46" s="130" t="s">
        <v>79</v>
      </c>
      <c r="AU46" s="153" t="s">
        <v>193</v>
      </c>
      <c r="AV46" s="153" t="s">
        <v>94</v>
      </c>
      <c r="AW46" s="167" t="s">
        <v>355</v>
      </c>
      <c r="AX46" s="108"/>
      <c r="AY46" s="104" t="s">
        <v>456</v>
      </c>
    </row>
    <row r="47" s="31" customFormat="1" spans="1:51">
      <c r="A47" s="103" t="str">
        <f t="shared" si="0"/>
        <v>37-0</v>
      </c>
      <c r="B47" s="105">
        <v>37</v>
      </c>
      <c r="C47" s="126" t="s">
        <v>61</v>
      </c>
      <c r="D47" s="108" t="s">
        <v>457</v>
      </c>
      <c r="E47" s="135">
        <v>0</v>
      </c>
      <c r="F47" s="128" t="s">
        <v>141</v>
      </c>
      <c r="G47" s="178" t="s">
        <v>458</v>
      </c>
      <c r="H47" s="133" t="str">
        <f t="shared" si="1"/>
        <v>Hose, Actuator; Ø 3.5 mm × 8.5mm; DTSM1649G-1 </v>
      </c>
      <c r="I47" s="103" t="s">
        <v>459</v>
      </c>
      <c r="J47" s="133" t="s">
        <v>460</v>
      </c>
      <c r="K47" s="103" t="s">
        <v>461</v>
      </c>
      <c r="L47" s="148" t="s">
        <v>462</v>
      </c>
      <c r="M47" s="131" t="s">
        <v>463</v>
      </c>
      <c r="N47" s="147" t="s">
        <v>70</v>
      </c>
      <c r="O47" s="147" t="s">
        <v>464</v>
      </c>
      <c r="P47" s="174" t="s">
        <v>71</v>
      </c>
      <c r="Q47" s="109" t="s">
        <v>465</v>
      </c>
      <c r="R47" s="109" t="s">
        <v>159</v>
      </c>
      <c r="S47" s="108" t="s">
        <v>226</v>
      </c>
      <c r="T47" s="108" t="s">
        <v>226</v>
      </c>
      <c r="U47" s="109" t="s">
        <v>76</v>
      </c>
      <c r="V47" s="109" t="s">
        <v>76</v>
      </c>
      <c r="W47" s="153" t="s">
        <v>78</v>
      </c>
      <c r="X47" s="153" t="s">
        <v>78</v>
      </c>
      <c r="Y47" s="153" t="s">
        <v>78</v>
      </c>
      <c r="Z47" s="153" t="s">
        <v>78</v>
      </c>
      <c r="AA47" s="130" t="s">
        <v>79</v>
      </c>
      <c r="AB47" s="130" t="s">
        <v>79</v>
      </c>
      <c r="AC47" s="153" t="s">
        <v>78</v>
      </c>
      <c r="AD47" s="153" t="s">
        <v>78</v>
      </c>
      <c r="AE47" s="108" t="s">
        <v>466</v>
      </c>
      <c r="AF47" s="108" t="s">
        <v>467</v>
      </c>
      <c r="AG47" s="130" t="s">
        <v>229</v>
      </c>
      <c r="AH47" s="130" t="s">
        <v>229</v>
      </c>
      <c r="AI47" s="103" t="s">
        <v>468</v>
      </c>
      <c r="AJ47" s="153" t="s">
        <v>469</v>
      </c>
      <c r="AK47" s="105" t="s">
        <v>85</v>
      </c>
      <c r="AL47" s="103" t="s">
        <v>470</v>
      </c>
      <c r="AM47" s="105" t="s">
        <v>87</v>
      </c>
      <c r="AN47" s="130" t="s">
        <v>471</v>
      </c>
      <c r="AO47" s="179" t="s">
        <v>472</v>
      </c>
      <c r="AP47" s="179" t="s">
        <v>472</v>
      </c>
      <c r="AQ47" s="109" t="s">
        <v>90</v>
      </c>
      <c r="AR47" s="109" t="s">
        <v>473</v>
      </c>
      <c r="AS47" s="109" t="s">
        <v>134</v>
      </c>
      <c r="AT47" s="109" t="s">
        <v>94</v>
      </c>
      <c r="AU47" s="109" t="s">
        <v>405</v>
      </c>
      <c r="AV47" s="180" t="s">
        <v>79</v>
      </c>
      <c r="AW47" s="167" t="s">
        <v>474</v>
      </c>
      <c r="AX47" s="108"/>
      <c r="AY47" s="104" t="s">
        <v>475</v>
      </c>
    </row>
    <row r="48" s="31" customFormat="1" ht="24.75" customHeight="1" spans="1:51">
      <c r="A48" s="103" t="str">
        <f t="shared" si="0"/>
        <v>22-1</v>
      </c>
      <c r="B48" s="108">
        <v>22</v>
      </c>
      <c r="C48" s="126" t="s">
        <v>61</v>
      </c>
      <c r="D48" s="108" t="s">
        <v>476</v>
      </c>
      <c r="E48" s="127">
        <v>1</v>
      </c>
      <c r="F48" s="128" t="s">
        <v>477</v>
      </c>
      <c r="G48" s="173" t="s">
        <v>478</v>
      </c>
      <c r="H48" s="128" t="str">
        <f t="shared" si="1"/>
        <v>Hose, Ventilation; Ø 15 mm × 22 mm; DTSM1670G-1 </v>
      </c>
      <c r="I48" s="128" t="s">
        <v>207</v>
      </c>
      <c r="J48" s="128" t="s">
        <v>280</v>
      </c>
      <c r="K48" s="128" t="s">
        <v>209</v>
      </c>
      <c r="L48" s="126" t="s">
        <v>210</v>
      </c>
      <c r="M48" s="126" t="s">
        <v>69</v>
      </c>
      <c r="N48" s="145" t="s">
        <v>70</v>
      </c>
      <c r="O48" s="145" t="s">
        <v>70</v>
      </c>
      <c r="P48" s="174" t="s">
        <v>244</v>
      </c>
      <c r="Q48" s="109" t="s">
        <v>282</v>
      </c>
      <c r="R48" s="109" t="s">
        <v>283</v>
      </c>
      <c r="S48" s="108" t="s">
        <v>479</v>
      </c>
      <c r="T48" s="108" t="s">
        <v>480</v>
      </c>
      <c r="U48" s="109" t="s">
        <v>78</v>
      </c>
      <c r="V48" s="109" t="s">
        <v>264</v>
      </c>
      <c r="W48" s="109" t="s">
        <v>264</v>
      </c>
      <c r="X48" s="109" t="s">
        <v>264</v>
      </c>
      <c r="Y48" s="109" t="s">
        <v>264</v>
      </c>
      <c r="Z48" s="109" t="s">
        <v>264</v>
      </c>
      <c r="AA48" s="108" t="s">
        <v>79</v>
      </c>
      <c r="AB48" s="108" t="s">
        <v>79</v>
      </c>
      <c r="AC48" s="109" t="s">
        <v>264</v>
      </c>
      <c r="AD48" s="109" t="s">
        <v>264</v>
      </c>
      <c r="AE48" s="108" t="s">
        <v>227</v>
      </c>
      <c r="AF48" s="108" t="s">
        <v>481</v>
      </c>
      <c r="AG48" s="108" t="s">
        <v>229</v>
      </c>
      <c r="AH48" s="108" t="s">
        <v>230</v>
      </c>
      <c r="AI48" s="108"/>
      <c r="AJ48" s="109" t="s">
        <v>482</v>
      </c>
      <c r="AK48" s="108" t="s">
        <v>85</v>
      </c>
      <c r="AL48" s="108" t="s">
        <v>483</v>
      </c>
      <c r="AM48" s="108" t="s">
        <v>484</v>
      </c>
      <c r="AN48" s="108" t="s">
        <v>88</v>
      </c>
      <c r="AO48" s="157" t="s">
        <v>485</v>
      </c>
      <c r="AP48" s="157" t="s">
        <v>486</v>
      </c>
      <c r="AQ48" s="109" t="s">
        <v>166</v>
      </c>
      <c r="AR48" s="109" t="s">
        <v>288</v>
      </c>
      <c r="AS48" s="109" t="s">
        <v>487</v>
      </c>
      <c r="AT48" s="109" t="s">
        <v>92</v>
      </c>
      <c r="AU48" s="109" t="s">
        <v>488</v>
      </c>
      <c r="AV48" s="109" t="s">
        <v>94</v>
      </c>
      <c r="AW48" s="167" t="s">
        <v>293</v>
      </c>
      <c r="AX48" s="108"/>
      <c r="AY48" s="171" t="s">
        <v>489</v>
      </c>
    </row>
    <row r="49" s="31" customFormat="1" spans="1:51">
      <c r="A49" s="103" t="str">
        <f t="shared" ref="A49" si="2">CONCATENATE(B49,"-",E49)</f>
        <v>38-0</v>
      </c>
      <c r="B49" s="108">
        <v>38</v>
      </c>
      <c r="C49" s="126" t="s">
        <v>100</v>
      </c>
      <c r="D49" s="108" t="s">
        <v>490</v>
      </c>
      <c r="E49" s="127">
        <v>0</v>
      </c>
      <c r="F49" s="128" t="s">
        <v>372</v>
      </c>
      <c r="G49" s="173" t="s">
        <v>491</v>
      </c>
      <c r="H49" s="128" t="str">
        <f t="shared" ref="H49" si="3">CONCATENATE(I49,"; ",J49,"; ",K49," ")</f>
        <v>Hose, Fuel Tank; Ø 13.5 mm × 21.5 mm; DTSM1647G-1C </v>
      </c>
      <c r="I49" s="128" t="s">
        <v>240</v>
      </c>
      <c r="J49" s="128" t="s">
        <v>241</v>
      </c>
      <c r="K49" s="128" t="s">
        <v>242</v>
      </c>
      <c r="L49" s="126" t="s">
        <v>243</v>
      </c>
      <c r="M49" s="126" t="s">
        <v>79</v>
      </c>
      <c r="N49" s="145" t="s">
        <v>70</v>
      </c>
      <c r="O49" s="145" t="s">
        <v>70</v>
      </c>
      <c r="P49" s="174" t="s">
        <v>244</v>
      </c>
      <c r="Q49" s="174" t="s">
        <v>492</v>
      </c>
      <c r="R49" s="109" t="s">
        <v>79</v>
      </c>
      <c r="S49" s="108" t="s">
        <v>226</v>
      </c>
      <c r="T49" s="108" t="s">
        <v>79</v>
      </c>
      <c r="U49" s="109" t="s">
        <v>493</v>
      </c>
      <c r="V49" s="109" t="s">
        <v>79</v>
      </c>
      <c r="W49" s="109" t="s">
        <v>493</v>
      </c>
      <c r="X49" s="109" t="s">
        <v>79</v>
      </c>
      <c r="Y49" s="109" t="s">
        <v>493</v>
      </c>
      <c r="Z49" s="109" t="s">
        <v>79</v>
      </c>
      <c r="AA49" s="108" t="s">
        <v>79</v>
      </c>
      <c r="AB49" s="108" t="s">
        <v>79</v>
      </c>
      <c r="AC49" s="109" t="s">
        <v>493</v>
      </c>
      <c r="AD49" s="109" t="s">
        <v>79</v>
      </c>
      <c r="AE49" s="108" t="s">
        <v>494</v>
      </c>
      <c r="AF49" s="108" t="s">
        <v>79</v>
      </c>
      <c r="AG49" s="108" t="s">
        <v>229</v>
      </c>
      <c r="AH49" s="108" t="s">
        <v>79</v>
      </c>
      <c r="AI49" s="108"/>
      <c r="AJ49" s="109" t="s">
        <v>495</v>
      </c>
      <c r="AK49" s="108" t="s">
        <v>496</v>
      </c>
      <c r="AL49" s="108" t="s">
        <v>497</v>
      </c>
      <c r="AM49" s="108" t="s">
        <v>79</v>
      </c>
      <c r="AN49" s="108" t="s">
        <v>88</v>
      </c>
      <c r="AO49" s="157" t="s">
        <v>498</v>
      </c>
      <c r="AP49" s="157" t="s">
        <v>499</v>
      </c>
      <c r="AQ49" s="109" t="s">
        <v>500</v>
      </c>
      <c r="AR49" s="109" t="s">
        <v>79</v>
      </c>
      <c r="AS49" s="108" t="s">
        <v>79</v>
      </c>
      <c r="AT49" s="108" t="s">
        <v>79</v>
      </c>
      <c r="AU49" s="109" t="s">
        <v>255</v>
      </c>
      <c r="AV49" s="109" t="s">
        <v>94</v>
      </c>
      <c r="AW49" s="167" t="s">
        <v>501</v>
      </c>
      <c r="AX49" s="108"/>
      <c r="AY49" s="104" t="s">
        <v>502</v>
      </c>
    </row>
    <row r="50" s="31" customFormat="1" spans="1:51">
      <c r="A50" s="103" t="str">
        <f t="shared" ref="A50:A51" si="4">CONCATENATE(B50,"-",E50)</f>
        <v>39-0</v>
      </c>
      <c r="B50" s="108">
        <v>39</v>
      </c>
      <c r="C50" s="126" t="s">
        <v>100</v>
      </c>
      <c r="D50" s="108" t="s">
        <v>503</v>
      </c>
      <c r="E50" s="127">
        <v>0</v>
      </c>
      <c r="F50" s="128" t="s">
        <v>372</v>
      </c>
      <c r="G50" s="173" t="s">
        <v>491</v>
      </c>
      <c r="H50" s="128" t="str">
        <f t="shared" ref="H50:H51" si="5">CONCATENATE(I50,"; ",J50,"; ",K50," ")</f>
        <v>Hose, Fuel Tank; Ø 13.5 mm × 21.5 mm; DTSM1647G-1C </v>
      </c>
      <c r="I50" s="128" t="s">
        <v>240</v>
      </c>
      <c r="J50" s="128" t="s">
        <v>241</v>
      </c>
      <c r="K50" s="128" t="s">
        <v>242</v>
      </c>
      <c r="L50" s="126" t="s">
        <v>243</v>
      </c>
      <c r="M50" s="126" t="s">
        <v>79</v>
      </c>
      <c r="N50" s="145" t="s">
        <v>70</v>
      </c>
      <c r="O50" s="145" t="s">
        <v>70</v>
      </c>
      <c r="P50" s="174" t="s">
        <v>244</v>
      </c>
      <c r="Q50" s="174" t="s">
        <v>79</v>
      </c>
      <c r="R50" s="109" t="s">
        <v>504</v>
      </c>
      <c r="S50" s="108" t="s">
        <v>226</v>
      </c>
      <c r="T50" s="108" t="s">
        <v>79</v>
      </c>
      <c r="U50" s="109" t="s">
        <v>493</v>
      </c>
      <c r="V50" s="109" t="s">
        <v>79</v>
      </c>
      <c r="W50" s="109" t="s">
        <v>493</v>
      </c>
      <c r="X50" s="109" t="s">
        <v>79</v>
      </c>
      <c r="Y50" s="109" t="s">
        <v>493</v>
      </c>
      <c r="Z50" s="109" t="s">
        <v>79</v>
      </c>
      <c r="AA50" s="108" t="s">
        <v>79</v>
      </c>
      <c r="AB50" s="108" t="s">
        <v>79</v>
      </c>
      <c r="AC50" s="109" t="s">
        <v>493</v>
      </c>
      <c r="AD50" s="109" t="s">
        <v>79</v>
      </c>
      <c r="AE50" s="108" t="s">
        <v>494</v>
      </c>
      <c r="AF50" s="108" t="s">
        <v>79</v>
      </c>
      <c r="AG50" s="108" t="s">
        <v>229</v>
      </c>
      <c r="AH50" s="108" t="s">
        <v>79</v>
      </c>
      <c r="AI50" s="108"/>
      <c r="AJ50" s="109" t="s">
        <v>495</v>
      </c>
      <c r="AK50" s="108" t="s">
        <v>496</v>
      </c>
      <c r="AL50" s="108" t="s">
        <v>497</v>
      </c>
      <c r="AM50" s="108" t="s">
        <v>79</v>
      </c>
      <c r="AN50" s="108" t="s">
        <v>88</v>
      </c>
      <c r="AO50" s="157" t="s">
        <v>498</v>
      </c>
      <c r="AP50" s="157" t="s">
        <v>499</v>
      </c>
      <c r="AQ50" s="109" t="s">
        <v>500</v>
      </c>
      <c r="AR50" s="109" t="s">
        <v>79</v>
      </c>
      <c r="AS50" s="108" t="s">
        <v>79</v>
      </c>
      <c r="AT50" s="108" t="s">
        <v>79</v>
      </c>
      <c r="AU50" s="109" t="s">
        <v>255</v>
      </c>
      <c r="AV50" s="109" t="s">
        <v>94</v>
      </c>
      <c r="AW50" s="167" t="s">
        <v>505</v>
      </c>
      <c r="AX50" s="108"/>
      <c r="AY50" s="104" t="s">
        <v>506</v>
      </c>
    </row>
    <row r="51" s="30" customFormat="1" spans="1:51">
      <c r="A51" s="103" t="str">
        <f t="shared" si="4"/>
        <v>40-0</v>
      </c>
      <c r="B51" s="108">
        <v>40</v>
      </c>
      <c r="C51" s="126" t="s">
        <v>100</v>
      </c>
      <c r="D51" s="108" t="s">
        <v>79</v>
      </c>
      <c r="E51" s="127">
        <v>0</v>
      </c>
      <c r="F51" s="128" t="s">
        <v>372</v>
      </c>
      <c r="G51" s="173" t="s">
        <v>507</v>
      </c>
      <c r="H51" s="103" t="str">
        <f t="shared" si="5"/>
        <v>Hose, Fuel Tank; Ø 34 mm × 44 mm; TSM1647G-1C </v>
      </c>
      <c r="I51" s="103" t="s">
        <v>240</v>
      </c>
      <c r="J51" s="128" t="s">
        <v>374</v>
      </c>
      <c r="K51" s="103" t="s">
        <v>375</v>
      </c>
      <c r="L51" s="148" t="s">
        <v>376</v>
      </c>
      <c r="M51" s="148" t="s">
        <v>79</v>
      </c>
      <c r="N51" s="149" t="s">
        <v>70</v>
      </c>
      <c r="O51" s="149" t="s">
        <v>79</v>
      </c>
      <c r="P51" s="174" t="s">
        <v>348</v>
      </c>
      <c r="Q51" s="148" t="s">
        <v>508</v>
      </c>
      <c r="R51" s="109" t="s">
        <v>509</v>
      </c>
      <c r="S51" s="108" t="s">
        <v>480</v>
      </c>
      <c r="T51" s="108" t="s">
        <v>79</v>
      </c>
      <c r="U51" s="109" t="s">
        <v>264</v>
      </c>
      <c r="V51" s="108" t="s">
        <v>79</v>
      </c>
      <c r="W51" s="109" t="s">
        <v>264</v>
      </c>
      <c r="X51" s="108" t="s">
        <v>79</v>
      </c>
      <c r="Y51" s="109" t="s">
        <v>264</v>
      </c>
      <c r="Z51" s="108" t="s">
        <v>79</v>
      </c>
      <c r="AA51" s="108" t="s">
        <v>79</v>
      </c>
      <c r="AB51" s="108" t="s">
        <v>79</v>
      </c>
      <c r="AC51" s="109" t="s">
        <v>264</v>
      </c>
      <c r="AD51" s="108" t="s">
        <v>79</v>
      </c>
      <c r="AE51" s="108" t="s">
        <v>510</v>
      </c>
      <c r="AF51" s="108" t="s">
        <v>79</v>
      </c>
      <c r="AG51" s="108" t="s">
        <v>229</v>
      </c>
      <c r="AH51" s="108" t="s">
        <v>79</v>
      </c>
      <c r="AI51" s="155" t="s">
        <v>511</v>
      </c>
      <c r="AJ51" s="109" t="s">
        <v>512</v>
      </c>
      <c r="AK51" s="108" t="s">
        <v>496</v>
      </c>
      <c r="AL51" s="108" t="s">
        <v>381</v>
      </c>
      <c r="AM51" s="108" t="s">
        <v>509</v>
      </c>
      <c r="AN51" s="108" t="s">
        <v>88</v>
      </c>
      <c r="AO51" s="157" t="s">
        <v>513</v>
      </c>
      <c r="AP51" s="157" t="s">
        <v>514</v>
      </c>
      <c r="AQ51" s="109" t="s">
        <v>343</v>
      </c>
      <c r="AR51" s="108" t="s">
        <v>79</v>
      </c>
      <c r="AS51" s="108" t="s">
        <v>79</v>
      </c>
      <c r="AT51" s="108" t="s">
        <v>79</v>
      </c>
      <c r="AU51" s="109" t="s">
        <v>515</v>
      </c>
      <c r="AV51" s="109" t="s">
        <v>94</v>
      </c>
      <c r="AW51" s="167" t="s">
        <v>79</v>
      </c>
      <c r="AX51" s="108"/>
      <c r="AY51" s="168" t="s">
        <v>516</v>
      </c>
    </row>
    <row r="52" s="106" customFormat="1" spans="1:51">
      <c r="A52" s="136" t="str">
        <f t="shared" ref="A52" si="6">CONCATENATE(B52,"-",E52)</f>
        <v>41-0</v>
      </c>
      <c r="B52" s="105">
        <v>41</v>
      </c>
      <c r="C52" s="105" t="s">
        <v>61</v>
      </c>
      <c r="D52" s="105" t="s">
        <v>222</v>
      </c>
      <c r="E52" s="135">
        <v>0</v>
      </c>
      <c r="F52" s="105" t="s">
        <v>63</v>
      </c>
      <c r="G52" s="173" t="s">
        <v>478</v>
      </c>
      <c r="H52" s="133" t="str">
        <f t="shared" ref="H52" si="7">CONCATENATE(I52,"; ",J52,"; ",K52," ")</f>
        <v>Hose, Ventilation; Ø 9.5 mm × 17.5 mm; DTSZ0001G </v>
      </c>
      <c r="I52" s="105" t="s">
        <v>207</v>
      </c>
      <c r="J52" s="105" t="s">
        <v>517</v>
      </c>
      <c r="K52" s="136" t="s">
        <v>518</v>
      </c>
      <c r="L52" s="148" t="s">
        <v>210</v>
      </c>
      <c r="M52" s="148" t="s">
        <v>69</v>
      </c>
      <c r="N52" s="151" t="s">
        <v>70</v>
      </c>
      <c r="O52" s="151" t="s">
        <v>70</v>
      </c>
      <c r="P52" s="148" t="s">
        <v>186</v>
      </c>
      <c r="Q52" s="148" t="s">
        <v>519</v>
      </c>
      <c r="R52" s="148" t="s">
        <v>520</v>
      </c>
      <c r="S52" s="105" t="s">
        <v>226</v>
      </c>
      <c r="T52" s="105" t="s">
        <v>226</v>
      </c>
      <c r="U52" s="105" t="s">
        <v>78</v>
      </c>
      <c r="V52" s="105" t="s">
        <v>78</v>
      </c>
      <c r="W52" s="105" t="s">
        <v>78</v>
      </c>
      <c r="X52" s="105" t="s">
        <v>78</v>
      </c>
      <c r="Y52" s="105" t="s">
        <v>78</v>
      </c>
      <c r="Z52" s="105" t="s">
        <v>78</v>
      </c>
      <c r="AA52" s="105" t="s">
        <v>79</v>
      </c>
      <c r="AB52" s="105" t="s">
        <v>79</v>
      </c>
      <c r="AC52" s="105" t="s">
        <v>78</v>
      </c>
      <c r="AD52" s="105" t="s">
        <v>78</v>
      </c>
      <c r="AE52" s="105" t="s">
        <v>227</v>
      </c>
      <c r="AF52" s="105" t="s">
        <v>228</v>
      </c>
      <c r="AG52" s="105" t="s">
        <v>229</v>
      </c>
      <c r="AH52" s="105" t="s">
        <v>230</v>
      </c>
      <c r="AI52" s="105"/>
      <c r="AJ52" s="105" t="s">
        <v>231</v>
      </c>
      <c r="AK52" s="105" t="s">
        <v>85</v>
      </c>
      <c r="AL52" s="105" t="s">
        <v>521</v>
      </c>
      <c r="AM52" s="105" t="s">
        <v>132</v>
      </c>
      <c r="AN52" s="105" t="s">
        <v>522</v>
      </c>
      <c r="AO52" s="105" t="s">
        <v>232</v>
      </c>
      <c r="AP52" s="105" t="s">
        <v>233</v>
      </c>
      <c r="AQ52" s="105" t="s">
        <v>203</v>
      </c>
      <c r="AR52" s="105" t="s">
        <v>234</v>
      </c>
      <c r="AS52" s="105" t="s">
        <v>235</v>
      </c>
      <c r="AT52" s="105" t="s">
        <v>94</v>
      </c>
      <c r="AU52" s="105" t="s">
        <v>193</v>
      </c>
      <c r="AV52" s="105" t="s">
        <v>94</v>
      </c>
      <c r="AW52" s="172" t="s">
        <v>236</v>
      </c>
      <c r="AX52" s="105"/>
      <c r="AY52" s="104" t="s">
        <v>523</v>
      </c>
    </row>
    <row r="53" s="111" customFormat="1" spans="1:51">
      <c r="A53" s="137" t="str">
        <f t="shared" ref="A53" si="8">CONCATENATE(B53,"-",E53)</f>
        <v>42-0</v>
      </c>
      <c r="B53" s="108">
        <v>42</v>
      </c>
      <c r="C53" s="108" t="s">
        <v>61</v>
      </c>
      <c r="D53" s="108" t="s">
        <v>476</v>
      </c>
      <c r="E53" s="127">
        <v>0</v>
      </c>
      <c r="F53" s="108" t="s">
        <v>63</v>
      </c>
      <c r="G53" s="173" t="s">
        <v>478</v>
      </c>
      <c r="H53" s="133" t="str">
        <f t="shared" ref="H53" si="9">CONCATENATE(I53,"; ",J53,"; ",K53," ")</f>
        <v>Hose, Ventilation; Ø 9.5 mm × 17.5 mm; TSM1671G-1A </v>
      </c>
      <c r="I53" s="108" t="s">
        <v>207</v>
      </c>
      <c r="J53" s="108" t="s">
        <v>517</v>
      </c>
      <c r="K53" s="103" t="s">
        <v>223</v>
      </c>
      <c r="L53" s="126" t="s">
        <v>210</v>
      </c>
      <c r="M53" s="126" t="s">
        <v>69</v>
      </c>
      <c r="N53" s="149" t="s">
        <v>70</v>
      </c>
      <c r="O53" s="149" t="s">
        <v>70</v>
      </c>
      <c r="P53" s="126" t="s">
        <v>186</v>
      </c>
      <c r="Q53" s="126" t="s">
        <v>519</v>
      </c>
      <c r="R53" s="126" t="s">
        <v>520</v>
      </c>
      <c r="S53" s="108" t="s">
        <v>226</v>
      </c>
      <c r="T53" s="108" t="s">
        <v>226</v>
      </c>
      <c r="U53" s="108" t="s">
        <v>78</v>
      </c>
      <c r="V53" s="108" t="s">
        <v>78</v>
      </c>
      <c r="W53" s="108" t="s">
        <v>78</v>
      </c>
      <c r="X53" s="108" t="s">
        <v>78</v>
      </c>
      <c r="Y53" s="108" t="s">
        <v>78</v>
      </c>
      <c r="Z53" s="108" t="s">
        <v>78</v>
      </c>
      <c r="AA53" s="108" t="s">
        <v>79</v>
      </c>
      <c r="AB53" s="108" t="s">
        <v>79</v>
      </c>
      <c r="AC53" s="108" t="s">
        <v>78</v>
      </c>
      <c r="AD53" s="108" t="s">
        <v>78</v>
      </c>
      <c r="AE53" s="108" t="s">
        <v>524</v>
      </c>
      <c r="AF53" s="108" t="s">
        <v>525</v>
      </c>
      <c r="AG53" s="108" t="s">
        <v>229</v>
      </c>
      <c r="AH53" s="108" t="s">
        <v>229</v>
      </c>
      <c r="AI53" s="108"/>
      <c r="AJ53" s="108" t="s">
        <v>526</v>
      </c>
      <c r="AK53" s="108" t="s">
        <v>85</v>
      </c>
      <c r="AL53" s="108" t="s">
        <v>521</v>
      </c>
      <c r="AM53" s="108" t="s">
        <v>132</v>
      </c>
      <c r="AN53" s="108" t="s">
        <v>522</v>
      </c>
      <c r="AO53" s="108" t="s">
        <v>527</v>
      </c>
      <c r="AP53" s="108" t="s">
        <v>486</v>
      </c>
      <c r="AQ53" s="108" t="s">
        <v>528</v>
      </c>
      <c r="AR53" s="108" t="s">
        <v>79</v>
      </c>
      <c r="AS53" s="108" t="s">
        <v>353</v>
      </c>
      <c r="AT53" s="108" t="s">
        <v>94</v>
      </c>
      <c r="AU53" s="108" t="s">
        <v>529</v>
      </c>
      <c r="AV53" s="108" t="s">
        <v>94</v>
      </c>
      <c r="AW53" s="167" t="s">
        <v>236</v>
      </c>
      <c r="AX53" s="108"/>
      <c r="AY53" s="171" t="s">
        <v>523</v>
      </c>
    </row>
    <row r="54" s="111" customFormat="1" spans="1:51">
      <c r="A54" s="137" t="str">
        <f t="shared" ref="A54" si="10">CONCATENATE(B54,"-",E54)</f>
        <v>43-0</v>
      </c>
      <c r="B54" s="108">
        <v>43</v>
      </c>
      <c r="C54" s="108" t="s">
        <v>61</v>
      </c>
      <c r="D54" s="108" t="s">
        <v>530</v>
      </c>
      <c r="E54" s="127">
        <v>0</v>
      </c>
      <c r="F54" s="108" t="s">
        <v>63</v>
      </c>
      <c r="G54" s="173" t="s">
        <v>478</v>
      </c>
      <c r="H54" s="133" t="str">
        <f t="shared" ref="H54" si="11">CONCATENATE(I54,"; ",J54,"; ",K54," ")</f>
        <v>Hose, Ventilation; Ø 15 mm × 22 mm; TSM1671G-1A </v>
      </c>
      <c r="I54" s="108" t="s">
        <v>207</v>
      </c>
      <c r="J54" s="108" t="s">
        <v>280</v>
      </c>
      <c r="K54" s="103" t="s">
        <v>223</v>
      </c>
      <c r="L54" s="126" t="s">
        <v>210</v>
      </c>
      <c r="M54" s="126" t="s">
        <v>69</v>
      </c>
      <c r="N54" s="149" t="s">
        <v>70</v>
      </c>
      <c r="O54" s="149" t="s">
        <v>70</v>
      </c>
      <c r="P54" s="126" t="s">
        <v>186</v>
      </c>
      <c r="Q54" s="126" t="s">
        <v>282</v>
      </c>
      <c r="R54" s="126" t="s">
        <v>531</v>
      </c>
      <c r="S54" s="108" t="s">
        <v>226</v>
      </c>
      <c r="T54" s="108" t="s">
        <v>226</v>
      </c>
      <c r="U54" s="108" t="s">
        <v>78</v>
      </c>
      <c r="V54" s="108" t="s">
        <v>78</v>
      </c>
      <c r="W54" s="108" t="s">
        <v>78</v>
      </c>
      <c r="X54" s="108" t="s">
        <v>78</v>
      </c>
      <c r="Y54" s="108" t="s">
        <v>78</v>
      </c>
      <c r="Z54" s="108" t="s">
        <v>78</v>
      </c>
      <c r="AA54" s="108" t="s">
        <v>79</v>
      </c>
      <c r="AB54" s="108" t="s">
        <v>79</v>
      </c>
      <c r="AC54" s="108" t="s">
        <v>78</v>
      </c>
      <c r="AD54" s="108" t="s">
        <v>78</v>
      </c>
      <c r="AE54" s="108" t="s">
        <v>524</v>
      </c>
      <c r="AF54" s="108" t="s">
        <v>228</v>
      </c>
      <c r="AG54" s="108" t="s">
        <v>229</v>
      </c>
      <c r="AH54" s="108" t="s">
        <v>229</v>
      </c>
      <c r="AI54" s="108"/>
      <c r="AJ54" s="108" t="s">
        <v>532</v>
      </c>
      <c r="AK54" s="108" t="s">
        <v>85</v>
      </c>
      <c r="AL54" s="108" t="s">
        <v>521</v>
      </c>
      <c r="AM54" s="108" t="s">
        <v>132</v>
      </c>
      <c r="AN54" s="108" t="s">
        <v>522</v>
      </c>
      <c r="AO54" s="108" t="s">
        <v>527</v>
      </c>
      <c r="AP54" s="108" t="s">
        <v>486</v>
      </c>
      <c r="AQ54" s="108" t="s">
        <v>424</v>
      </c>
      <c r="AR54" s="108" t="s">
        <v>79</v>
      </c>
      <c r="AS54" s="108" t="s">
        <v>533</v>
      </c>
      <c r="AT54" s="108" t="s">
        <v>94</v>
      </c>
      <c r="AU54" s="108" t="s">
        <v>289</v>
      </c>
      <c r="AV54" s="108" t="s">
        <v>94</v>
      </c>
      <c r="AW54" s="167" t="s">
        <v>236</v>
      </c>
      <c r="AX54" s="108"/>
      <c r="AY54" s="171" t="s">
        <v>534</v>
      </c>
    </row>
    <row r="55" s="31" customFormat="1" spans="1:51">
      <c r="A55" s="103" t="str">
        <f t="shared" si="0"/>
        <v>44-0</v>
      </c>
      <c r="B55" s="105">
        <v>44</v>
      </c>
      <c r="C55" s="108" t="s">
        <v>61</v>
      </c>
      <c r="D55" s="108" t="e">
        <f>#REF!</f>
        <v>#REF!</v>
      </c>
      <c r="E55" s="135">
        <v>0</v>
      </c>
      <c r="F55" s="108" t="s">
        <v>535</v>
      </c>
      <c r="G55" s="173" t="s">
        <v>536</v>
      </c>
      <c r="H55" s="133" t="str">
        <f t="shared" si="1"/>
        <v>Hose Tube Fuel; Ø 5.3 mm × 10.3 mm; HES B044-10 FT-B2 </v>
      </c>
      <c r="I55" s="103" t="s">
        <v>537</v>
      </c>
      <c r="J55" s="108" t="s">
        <v>538</v>
      </c>
      <c r="K55" s="103" t="s">
        <v>539</v>
      </c>
      <c r="L55" s="148" t="s">
        <v>540</v>
      </c>
      <c r="M55" s="148" t="s">
        <v>541</v>
      </c>
      <c r="N55" s="149" t="s">
        <v>70</v>
      </c>
      <c r="O55" s="149" t="s">
        <v>70</v>
      </c>
      <c r="P55" s="174" t="s">
        <v>125</v>
      </c>
      <c r="Q55" s="126" t="s">
        <v>542</v>
      </c>
      <c r="R55" s="126" t="s">
        <v>543</v>
      </c>
      <c r="S55" s="108" t="s">
        <v>226</v>
      </c>
      <c r="T55" s="108" t="s">
        <v>226</v>
      </c>
      <c r="U55" s="108" t="s">
        <v>111</v>
      </c>
      <c r="V55" s="108" t="s">
        <v>111</v>
      </c>
      <c r="W55" s="108" t="s">
        <v>76</v>
      </c>
      <c r="X55" s="108" t="s">
        <v>111</v>
      </c>
      <c r="Y55" s="108" t="s">
        <v>76</v>
      </c>
      <c r="Z55" s="108" t="s">
        <v>111</v>
      </c>
      <c r="AA55" s="103"/>
      <c r="AB55" s="103"/>
      <c r="AC55" s="108" t="s">
        <v>76</v>
      </c>
      <c r="AD55" s="108" t="s">
        <v>111</v>
      </c>
      <c r="AE55" s="108" t="s">
        <v>285</v>
      </c>
      <c r="AF55" s="108" t="s">
        <v>544</v>
      </c>
      <c r="AG55" s="108" t="s">
        <v>229</v>
      </c>
      <c r="AH55" s="108" t="s">
        <v>229</v>
      </c>
      <c r="AI55" s="103"/>
      <c r="AJ55" s="108" t="s">
        <v>545</v>
      </c>
      <c r="AK55" s="108" t="s">
        <v>85</v>
      </c>
      <c r="AL55" s="108" t="s">
        <v>79</v>
      </c>
      <c r="AM55" s="108" t="s">
        <v>546</v>
      </c>
      <c r="AN55" s="108" t="s">
        <v>522</v>
      </c>
      <c r="AO55" s="108" t="s">
        <v>547</v>
      </c>
      <c r="AP55" s="108" t="s">
        <v>548</v>
      </c>
      <c r="AQ55" s="108" t="s">
        <v>549</v>
      </c>
      <c r="AR55" s="108" t="s">
        <v>79</v>
      </c>
      <c r="AS55" s="108" t="s">
        <v>550</v>
      </c>
      <c r="AT55" s="108" t="s">
        <v>551</v>
      </c>
      <c r="AU55" s="108" t="s">
        <v>134</v>
      </c>
      <c r="AV55" s="108" t="s">
        <v>551</v>
      </c>
      <c r="AW55" s="167" t="e">
        <f>#REF!</f>
        <v>#REF!</v>
      </c>
      <c r="AX55" s="103"/>
      <c r="AY55" s="104" t="s">
        <v>552</v>
      </c>
    </row>
    <row r="56" s="31" customFormat="1" spans="1:51">
      <c r="A56" s="103" t="str">
        <f t="shared" ref="A56:A61" si="12">CONCATENATE(B56,"-",E56)</f>
        <v>37-1</v>
      </c>
      <c r="B56" s="105">
        <v>37</v>
      </c>
      <c r="C56" s="126" t="s">
        <v>61</v>
      </c>
      <c r="D56" s="108" t="s">
        <v>457</v>
      </c>
      <c r="E56" s="135">
        <v>1</v>
      </c>
      <c r="F56" s="128" t="s">
        <v>141</v>
      </c>
      <c r="G56" s="178" t="s">
        <v>458</v>
      </c>
      <c r="H56" s="133" t="str">
        <f t="shared" ref="H56:H57" si="13">CONCATENATE(I56,"; ",J56,"; ",K56," ")</f>
        <v>Hose, Actuator; Ø 3.5 mm × 8.5mm; DTSM1649G-1 </v>
      </c>
      <c r="I56" s="103" t="s">
        <v>459</v>
      </c>
      <c r="J56" s="133" t="s">
        <v>460</v>
      </c>
      <c r="K56" s="103" t="s">
        <v>461</v>
      </c>
      <c r="L56" s="148" t="s">
        <v>462</v>
      </c>
      <c r="M56" s="131" t="s">
        <v>463</v>
      </c>
      <c r="N56" s="147" t="s">
        <v>70</v>
      </c>
      <c r="O56" s="147" t="s">
        <v>464</v>
      </c>
      <c r="P56" s="174" t="s">
        <v>71</v>
      </c>
      <c r="Q56" s="109" t="s">
        <v>465</v>
      </c>
      <c r="R56" s="109" t="s">
        <v>543</v>
      </c>
      <c r="S56" s="108" t="s">
        <v>226</v>
      </c>
      <c r="T56" s="108" t="s">
        <v>226</v>
      </c>
      <c r="U56" s="109" t="s">
        <v>76</v>
      </c>
      <c r="V56" s="109" t="s">
        <v>76</v>
      </c>
      <c r="W56" s="153" t="s">
        <v>78</v>
      </c>
      <c r="X56" s="153" t="s">
        <v>78</v>
      </c>
      <c r="Y56" s="153" t="s">
        <v>78</v>
      </c>
      <c r="Z56" s="153" t="s">
        <v>78</v>
      </c>
      <c r="AA56" s="130" t="s">
        <v>79</v>
      </c>
      <c r="AB56" s="130" t="s">
        <v>79</v>
      </c>
      <c r="AC56" s="153" t="s">
        <v>78</v>
      </c>
      <c r="AD56" s="153" t="s">
        <v>78</v>
      </c>
      <c r="AE56" s="108" t="s">
        <v>466</v>
      </c>
      <c r="AF56" s="108" t="s">
        <v>467</v>
      </c>
      <c r="AG56" s="130" t="s">
        <v>229</v>
      </c>
      <c r="AH56" s="130" t="s">
        <v>229</v>
      </c>
      <c r="AI56" s="103" t="s">
        <v>468</v>
      </c>
      <c r="AJ56" s="153" t="s">
        <v>553</v>
      </c>
      <c r="AK56" s="105" t="s">
        <v>85</v>
      </c>
      <c r="AL56" s="103" t="s">
        <v>470</v>
      </c>
      <c r="AM56" s="105" t="s">
        <v>87</v>
      </c>
      <c r="AN56" s="130" t="s">
        <v>471</v>
      </c>
      <c r="AO56" s="179" t="s">
        <v>472</v>
      </c>
      <c r="AP56" s="179" t="s">
        <v>472</v>
      </c>
      <c r="AQ56" s="109" t="s">
        <v>90</v>
      </c>
      <c r="AR56" s="109" t="s">
        <v>473</v>
      </c>
      <c r="AS56" s="109" t="s">
        <v>554</v>
      </c>
      <c r="AT56" s="109" t="s">
        <v>94</v>
      </c>
      <c r="AU56" s="109" t="s">
        <v>135</v>
      </c>
      <c r="AV56" s="180" t="s">
        <v>79</v>
      </c>
      <c r="AW56" s="167" t="s">
        <v>474</v>
      </c>
      <c r="AX56" s="108"/>
      <c r="AY56" s="104" t="s">
        <v>475</v>
      </c>
    </row>
    <row r="57" s="31" customFormat="1" ht="32.25" customHeight="1" spans="1:51">
      <c r="A57" s="103" t="str">
        <f t="shared" si="12"/>
        <v>16-1</v>
      </c>
      <c r="B57" s="108">
        <v>16</v>
      </c>
      <c r="C57" s="126" t="s">
        <v>61</v>
      </c>
      <c r="D57" s="108" t="s">
        <v>206</v>
      </c>
      <c r="E57" s="127">
        <v>1</v>
      </c>
      <c r="F57" s="128" t="s">
        <v>141</v>
      </c>
      <c r="G57" s="173" t="s">
        <v>64</v>
      </c>
      <c r="H57" s="128" t="str">
        <f t="shared" si="13"/>
        <v>Hose, Ventilation; Ø 9 mm × 17 mm; DTSM1670G-1 </v>
      </c>
      <c r="I57" s="128" t="s">
        <v>207</v>
      </c>
      <c r="J57" s="128" t="s">
        <v>208</v>
      </c>
      <c r="K57" s="128" t="s">
        <v>209</v>
      </c>
      <c r="L57" s="126" t="s">
        <v>210</v>
      </c>
      <c r="M57" s="126" t="s">
        <v>69</v>
      </c>
      <c r="N57" s="145" t="s">
        <v>70</v>
      </c>
      <c r="O57" s="145" t="s">
        <v>70</v>
      </c>
      <c r="P57" s="174" t="s">
        <v>186</v>
      </c>
      <c r="Q57" s="126" t="s">
        <v>555</v>
      </c>
      <c r="R57" s="126" t="s">
        <v>556</v>
      </c>
      <c r="S57" s="108" t="s">
        <v>226</v>
      </c>
      <c r="T57" s="108" t="s">
        <v>226</v>
      </c>
      <c r="U57" s="109" t="s">
        <v>78</v>
      </c>
      <c r="V57" s="109" t="s">
        <v>264</v>
      </c>
      <c r="W57" s="109" t="s">
        <v>264</v>
      </c>
      <c r="X57" s="109" t="s">
        <v>264</v>
      </c>
      <c r="Y57" s="109" t="s">
        <v>264</v>
      </c>
      <c r="Z57" s="109" t="s">
        <v>264</v>
      </c>
      <c r="AA57" s="108" t="s">
        <v>79</v>
      </c>
      <c r="AB57" s="108" t="s">
        <v>79</v>
      </c>
      <c r="AC57" s="109" t="s">
        <v>264</v>
      </c>
      <c r="AD57" s="109" t="s">
        <v>264</v>
      </c>
      <c r="AE57" s="108" t="s">
        <v>557</v>
      </c>
      <c r="AF57" s="108" t="s">
        <v>525</v>
      </c>
      <c r="AG57" s="130" t="s">
        <v>229</v>
      </c>
      <c r="AH57" s="130" t="s">
        <v>229</v>
      </c>
      <c r="AI57" s="103" t="s">
        <v>468</v>
      </c>
      <c r="AJ57" s="109" t="s">
        <v>231</v>
      </c>
      <c r="AK57" s="108" t="s">
        <v>85</v>
      </c>
      <c r="AL57" s="108" t="s">
        <v>558</v>
      </c>
      <c r="AM57" s="108" t="s">
        <v>132</v>
      </c>
      <c r="AN57" s="108" t="s">
        <v>88</v>
      </c>
      <c r="AO57" s="157" t="s">
        <v>232</v>
      </c>
      <c r="AP57" s="157" t="s">
        <v>233</v>
      </c>
      <c r="AQ57" s="109" t="s">
        <v>203</v>
      </c>
      <c r="AR57" s="109" t="s">
        <v>219</v>
      </c>
      <c r="AS57" s="109" t="s">
        <v>353</v>
      </c>
      <c r="AT57" s="109" t="s">
        <v>94</v>
      </c>
      <c r="AU57" s="109" t="s">
        <v>559</v>
      </c>
      <c r="AV57" s="109" t="s">
        <v>94</v>
      </c>
      <c r="AW57" s="167" t="s">
        <v>221</v>
      </c>
      <c r="AX57" s="108"/>
      <c r="AY57" s="104" t="s">
        <v>560</v>
      </c>
    </row>
    <row r="58" s="31" customFormat="1" spans="1:51">
      <c r="A58" s="129" t="str">
        <f t="shared" si="12"/>
        <v>28-2</v>
      </c>
      <c r="B58" s="130">
        <v>28</v>
      </c>
      <c r="C58" s="131" t="s">
        <v>100</v>
      </c>
      <c r="D58" s="108" t="s">
        <v>346</v>
      </c>
      <c r="E58" s="132">
        <v>2</v>
      </c>
      <c r="F58" s="133" t="s">
        <v>141</v>
      </c>
      <c r="G58" s="178" t="s">
        <v>561</v>
      </c>
      <c r="H58" s="133" t="str">
        <f t="shared" ref="H58:H63" si="14">CONCATENATE(I58,"; ",J58,"; ",K58," ")</f>
        <v>Hose, Fuel Tank; Ø 34 mm × 42 mm; DTSE7351G-1 </v>
      </c>
      <c r="I58" s="133" t="s">
        <v>240</v>
      </c>
      <c r="J58" s="133" t="s">
        <v>335</v>
      </c>
      <c r="K58" s="150" t="s">
        <v>347</v>
      </c>
      <c r="L58" s="131" t="s">
        <v>243</v>
      </c>
      <c r="M58" s="131" t="s">
        <v>79</v>
      </c>
      <c r="N58" s="147" t="s">
        <v>70</v>
      </c>
      <c r="O58" s="147" t="s">
        <v>70</v>
      </c>
      <c r="P58" s="176" t="s">
        <v>348</v>
      </c>
      <c r="Q58" s="153" t="s">
        <v>337</v>
      </c>
      <c r="R58" s="153" t="s">
        <v>509</v>
      </c>
      <c r="S58" s="108" t="s">
        <v>226</v>
      </c>
      <c r="T58" s="108" t="s">
        <v>226</v>
      </c>
      <c r="U58" s="153" t="s">
        <v>562</v>
      </c>
      <c r="V58" s="130" t="s">
        <v>79</v>
      </c>
      <c r="W58" s="153" t="s">
        <v>562</v>
      </c>
      <c r="X58" s="130" t="s">
        <v>79</v>
      </c>
      <c r="Y58" s="153" t="s">
        <v>562</v>
      </c>
      <c r="Z58" s="130" t="s">
        <v>79</v>
      </c>
      <c r="AA58" s="130" t="s">
        <v>79</v>
      </c>
      <c r="AB58" s="130" t="s">
        <v>79</v>
      </c>
      <c r="AC58" s="153" t="s">
        <v>562</v>
      </c>
      <c r="AD58" s="130" t="s">
        <v>79</v>
      </c>
      <c r="AE58" s="130" t="s">
        <v>563</v>
      </c>
      <c r="AF58" s="130" t="s">
        <v>79</v>
      </c>
      <c r="AG58" s="130" t="s">
        <v>229</v>
      </c>
      <c r="AH58" s="130" t="s">
        <v>509</v>
      </c>
      <c r="AI58" s="103" t="s">
        <v>511</v>
      </c>
      <c r="AJ58" s="153" t="s">
        <v>564</v>
      </c>
      <c r="AK58" s="130" t="s">
        <v>565</v>
      </c>
      <c r="AL58" s="130" t="s">
        <v>249</v>
      </c>
      <c r="AM58" s="130" t="s">
        <v>565</v>
      </c>
      <c r="AN58" s="130" t="s">
        <v>88</v>
      </c>
      <c r="AO58" s="158" t="s">
        <v>566</v>
      </c>
      <c r="AP58" s="158" t="s">
        <v>567</v>
      </c>
      <c r="AQ58" s="153" t="s">
        <v>568</v>
      </c>
      <c r="AR58" s="153" t="s">
        <v>344</v>
      </c>
      <c r="AS58" s="130" t="s">
        <v>79</v>
      </c>
      <c r="AT58" s="130" t="s">
        <v>79</v>
      </c>
      <c r="AU58" s="153" t="s">
        <v>569</v>
      </c>
      <c r="AV58" s="153" t="s">
        <v>94</v>
      </c>
      <c r="AW58" s="167" t="s">
        <v>355</v>
      </c>
      <c r="AX58" s="108"/>
      <c r="AY58" s="104" t="s">
        <v>456</v>
      </c>
    </row>
    <row r="59" s="30" customFormat="1" spans="1:51">
      <c r="A59" s="103" t="str">
        <f t="shared" si="12"/>
        <v>40-1</v>
      </c>
      <c r="B59" s="108">
        <v>40</v>
      </c>
      <c r="C59" s="126" t="s">
        <v>100</v>
      </c>
      <c r="D59" s="108" t="s">
        <v>79</v>
      </c>
      <c r="E59" s="127">
        <v>1</v>
      </c>
      <c r="F59" s="128" t="s">
        <v>372</v>
      </c>
      <c r="G59" s="178" t="s">
        <v>561</v>
      </c>
      <c r="H59" s="103" t="str">
        <f t="shared" si="14"/>
        <v>Hose, Fuel Tank; Ø 34 mm × 44 mm; TSM1647G-1C </v>
      </c>
      <c r="I59" s="103" t="s">
        <v>240</v>
      </c>
      <c r="J59" s="128" t="s">
        <v>374</v>
      </c>
      <c r="K59" s="103" t="s">
        <v>375</v>
      </c>
      <c r="L59" s="148" t="s">
        <v>376</v>
      </c>
      <c r="M59" s="148" t="s">
        <v>79</v>
      </c>
      <c r="N59" s="149" t="s">
        <v>70</v>
      </c>
      <c r="O59" s="149" t="s">
        <v>79</v>
      </c>
      <c r="P59" s="174" t="s">
        <v>348</v>
      </c>
      <c r="Q59" s="148" t="s">
        <v>508</v>
      </c>
      <c r="R59" s="109" t="s">
        <v>509</v>
      </c>
      <c r="S59" s="108" t="s">
        <v>226</v>
      </c>
      <c r="T59" s="108" t="s">
        <v>79</v>
      </c>
      <c r="U59" s="109" t="s">
        <v>264</v>
      </c>
      <c r="V59" s="108" t="s">
        <v>79</v>
      </c>
      <c r="W59" s="109" t="s">
        <v>264</v>
      </c>
      <c r="X59" s="108" t="s">
        <v>79</v>
      </c>
      <c r="Y59" s="109" t="s">
        <v>264</v>
      </c>
      <c r="Z59" s="108" t="s">
        <v>79</v>
      </c>
      <c r="AA59" s="108" t="s">
        <v>79</v>
      </c>
      <c r="AB59" s="108" t="s">
        <v>79</v>
      </c>
      <c r="AC59" s="109" t="s">
        <v>264</v>
      </c>
      <c r="AD59" s="108" t="s">
        <v>79</v>
      </c>
      <c r="AE59" s="108" t="s">
        <v>510</v>
      </c>
      <c r="AF59" s="108" t="s">
        <v>79</v>
      </c>
      <c r="AG59" s="108" t="s">
        <v>229</v>
      </c>
      <c r="AH59" s="108" t="s">
        <v>79</v>
      </c>
      <c r="AI59" s="155" t="s">
        <v>511</v>
      </c>
      <c r="AJ59" s="109" t="s">
        <v>512</v>
      </c>
      <c r="AK59" s="130" t="s">
        <v>565</v>
      </c>
      <c r="AL59" s="108" t="s">
        <v>381</v>
      </c>
      <c r="AM59" s="130" t="s">
        <v>565</v>
      </c>
      <c r="AN59" s="108" t="s">
        <v>88</v>
      </c>
      <c r="AO59" s="157" t="s">
        <v>513</v>
      </c>
      <c r="AP59" s="157" t="s">
        <v>514</v>
      </c>
      <c r="AQ59" s="109" t="s">
        <v>343</v>
      </c>
      <c r="AR59" s="108" t="s">
        <v>79</v>
      </c>
      <c r="AS59" s="108" t="s">
        <v>79</v>
      </c>
      <c r="AT59" s="108" t="s">
        <v>79</v>
      </c>
      <c r="AU59" s="153" t="s">
        <v>570</v>
      </c>
      <c r="AV59" s="109" t="s">
        <v>94</v>
      </c>
      <c r="AW59" s="167" t="s">
        <v>79</v>
      </c>
      <c r="AX59" s="108"/>
      <c r="AY59" s="168" t="s">
        <v>516</v>
      </c>
    </row>
    <row r="60" s="111" customFormat="1" spans="1:51">
      <c r="A60" s="137" t="str">
        <f t="shared" si="12"/>
        <v>43-1</v>
      </c>
      <c r="B60" s="108">
        <v>43</v>
      </c>
      <c r="C60" s="108" t="s">
        <v>61</v>
      </c>
      <c r="D60" s="108" t="s">
        <v>530</v>
      </c>
      <c r="E60" s="127">
        <v>1</v>
      </c>
      <c r="F60" s="108" t="s">
        <v>63</v>
      </c>
      <c r="G60" s="178" t="s">
        <v>561</v>
      </c>
      <c r="H60" s="133" t="str">
        <f t="shared" si="14"/>
        <v>Hose, Ventilation; Ø 15 mm × 22 mm; TSM1671G-1A </v>
      </c>
      <c r="I60" s="108" t="s">
        <v>207</v>
      </c>
      <c r="J60" s="108" t="s">
        <v>280</v>
      </c>
      <c r="K60" s="103" t="s">
        <v>223</v>
      </c>
      <c r="L60" s="126" t="s">
        <v>210</v>
      </c>
      <c r="M60" s="126" t="s">
        <v>69</v>
      </c>
      <c r="N60" s="149" t="s">
        <v>70</v>
      </c>
      <c r="O60" s="149" t="s">
        <v>70</v>
      </c>
      <c r="P60" s="174" t="s">
        <v>244</v>
      </c>
      <c r="Q60" s="126" t="s">
        <v>282</v>
      </c>
      <c r="R60" s="126" t="s">
        <v>531</v>
      </c>
      <c r="S60" s="108" t="s">
        <v>226</v>
      </c>
      <c r="T60" s="108" t="s">
        <v>226</v>
      </c>
      <c r="U60" s="108" t="s">
        <v>78</v>
      </c>
      <c r="V60" s="108" t="s">
        <v>78</v>
      </c>
      <c r="W60" s="108" t="s">
        <v>78</v>
      </c>
      <c r="X60" s="108" t="s">
        <v>78</v>
      </c>
      <c r="Y60" s="108" t="s">
        <v>78</v>
      </c>
      <c r="Z60" s="108" t="s">
        <v>78</v>
      </c>
      <c r="AA60" s="108" t="s">
        <v>79</v>
      </c>
      <c r="AB60" s="108" t="s">
        <v>79</v>
      </c>
      <c r="AC60" s="108" t="s">
        <v>78</v>
      </c>
      <c r="AD60" s="108" t="s">
        <v>78</v>
      </c>
      <c r="AE60" s="108" t="s">
        <v>571</v>
      </c>
      <c r="AF60" s="108" t="s">
        <v>525</v>
      </c>
      <c r="AG60" s="108" t="s">
        <v>229</v>
      </c>
      <c r="AH60" s="108" t="s">
        <v>229</v>
      </c>
      <c r="AI60" s="108"/>
      <c r="AJ60" s="108" t="s">
        <v>532</v>
      </c>
      <c r="AK60" s="108" t="s">
        <v>85</v>
      </c>
      <c r="AL60" s="108" t="s">
        <v>521</v>
      </c>
      <c r="AM60" s="108" t="s">
        <v>132</v>
      </c>
      <c r="AN60" s="108" t="s">
        <v>522</v>
      </c>
      <c r="AO60" s="108" t="s">
        <v>485</v>
      </c>
      <c r="AP60" s="108" t="s">
        <v>486</v>
      </c>
      <c r="AQ60" s="108" t="s">
        <v>424</v>
      </c>
      <c r="AR60" s="108" t="s">
        <v>79</v>
      </c>
      <c r="AS60" s="108" t="s">
        <v>533</v>
      </c>
      <c r="AT60" s="108" t="s">
        <v>94</v>
      </c>
      <c r="AU60" s="108" t="s">
        <v>289</v>
      </c>
      <c r="AV60" s="108" t="s">
        <v>94</v>
      </c>
      <c r="AW60" s="167" t="s">
        <v>236</v>
      </c>
      <c r="AX60" s="108"/>
      <c r="AY60" s="171" t="s">
        <v>572</v>
      </c>
    </row>
    <row r="61" s="31" customFormat="1" spans="1:51">
      <c r="A61" s="103" t="str">
        <f t="shared" si="12"/>
        <v>27-2</v>
      </c>
      <c r="B61" s="108">
        <v>27</v>
      </c>
      <c r="C61" s="126" t="s">
        <v>100</v>
      </c>
      <c r="D61" s="108" t="s">
        <v>334</v>
      </c>
      <c r="E61" s="127">
        <v>2</v>
      </c>
      <c r="F61" s="128" t="s">
        <v>141</v>
      </c>
      <c r="G61" s="178" t="s">
        <v>561</v>
      </c>
      <c r="H61" s="128" t="str">
        <f t="shared" si="14"/>
        <v>Hose, Fuel Tank; Ø 34 mm × 42 mm; DTSM1647G-1C </v>
      </c>
      <c r="I61" s="128" t="s">
        <v>240</v>
      </c>
      <c r="J61" s="128" t="s">
        <v>335</v>
      </c>
      <c r="K61" s="128" t="s">
        <v>242</v>
      </c>
      <c r="L61" s="126" t="s">
        <v>243</v>
      </c>
      <c r="M61" s="126" t="s">
        <v>79</v>
      </c>
      <c r="N61" s="145" t="s">
        <v>70</v>
      </c>
      <c r="O61" s="145" t="s">
        <v>70</v>
      </c>
      <c r="P61" s="174" t="s">
        <v>348</v>
      </c>
      <c r="Q61" s="109" t="s">
        <v>573</v>
      </c>
      <c r="R61" s="31" t="s">
        <v>509</v>
      </c>
      <c r="S61" s="108" t="s">
        <v>226</v>
      </c>
      <c r="T61" s="108" t="s">
        <v>79</v>
      </c>
      <c r="U61" s="109" t="s">
        <v>264</v>
      </c>
      <c r="V61" s="108" t="s">
        <v>79</v>
      </c>
      <c r="W61" s="109" t="s">
        <v>264</v>
      </c>
      <c r="X61" s="108" t="s">
        <v>79</v>
      </c>
      <c r="Y61" s="109" t="s">
        <v>264</v>
      </c>
      <c r="Z61" s="108" t="s">
        <v>79</v>
      </c>
      <c r="AA61" s="108" t="s">
        <v>79</v>
      </c>
      <c r="AB61" s="108" t="s">
        <v>79</v>
      </c>
      <c r="AC61" s="109" t="s">
        <v>264</v>
      </c>
      <c r="AD61" s="109" t="s">
        <v>509</v>
      </c>
      <c r="AE61" s="108" t="s">
        <v>574</v>
      </c>
      <c r="AF61" s="108" t="s">
        <v>79</v>
      </c>
      <c r="AG61" s="108" t="s">
        <v>229</v>
      </c>
      <c r="AH61" s="108" t="s">
        <v>79</v>
      </c>
      <c r="AI61" s="155" t="s">
        <v>511</v>
      </c>
      <c r="AJ61" s="109" t="s">
        <v>575</v>
      </c>
      <c r="AK61" s="130" t="s">
        <v>565</v>
      </c>
      <c r="AL61" s="108" t="s">
        <v>381</v>
      </c>
      <c r="AM61" s="130" t="s">
        <v>565</v>
      </c>
      <c r="AN61" s="108" t="s">
        <v>88</v>
      </c>
      <c r="AO61" s="157" t="s">
        <v>341</v>
      </c>
      <c r="AP61" s="157" t="s">
        <v>567</v>
      </c>
      <c r="AQ61" s="109" t="s">
        <v>343</v>
      </c>
      <c r="AR61" s="109" t="s">
        <v>344</v>
      </c>
      <c r="AS61" s="108" t="s">
        <v>79</v>
      </c>
      <c r="AT61" s="108" t="s">
        <v>79</v>
      </c>
      <c r="AU61" s="153" t="s">
        <v>569</v>
      </c>
      <c r="AV61" s="109" t="s">
        <v>94</v>
      </c>
      <c r="AW61" s="167" t="s">
        <v>345</v>
      </c>
      <c r="AX61" s="167"/>
      <c r="AY61" s="104" t="s">
        <v>576</v>
      </c>
    </row>
    <row r="62" s="31" customFormat="1" ht="32.25" customHeight="1" spans="1:51">
      <c r="A62" s="103" t="str">
        <f t="shared" ref="A62:A63" si="15">CONCATENATE(B62,"-",E62)</f>
        <v>16-2</v>
      </c>
      <c r="B62" s="108">
        <v>16</v>
      </c>
      <c r="C62" s="126" t="s">
        <v>61</v>
      </c>
      <c r="D62" s="108" t="s">
        <v>206</v>
      </c>
      <c r="E62" s="127">
        <v>2</v>
      </c>
      <c r="F62" s="128" t="s">
        <v>141</v>
      </c>
      <c r="G62" s="178" t="s">
        <v>561</v>
      </c>
      <c r="H62" s="128" t="str">
        <f t="shared" si="14"/>
        <v>Hose, Ventilation; Ø 9 mm × 17 mm; DTSM1670G-1 </v>
      </c>
      <c r="I62" s="128" t="s">
        <v>207</v>
      </c>
      <c r="J62" s="128" t="s">
        <v>208</v>
      </c>
      <c r="K62" s="128" t="s">
        <v>209</v>
      </c>
      <c r="L62" s="126" t="s">
        <v>210</v>
      </c>
      <c r="M62" s="126" t="s">
        <v>69</v>
      </c>
      <c r="N62" s="145" t="s">
        <v>70</v>
      </c>
      <c r="O62" s="145" t="s">
        <v>70</v>
      </c>
      <c r="P62" s="174" t="s">
        <v>186</v>
      </c>
      <c r="Q62" s="126" t="s">
        <v>555</v>
      </c>
      <c r="R62" s="126" t="s">
        <v>556</v>
      </c>
      <c r="S62" s="108" t="s">
        <v>226</v>
      </c>
      <c r="T62" s="108" t="s">
        <v>226</v>
      </c>
      <c r="U62" s="109" t="s">
        <v>78</v>
      </c>
      <c r="V62" s="109" t="s">
        <v>264</v>
      </c>
      <c r="W62" s="109" t="s">
        <v>264</v>
      </c>
      <c r="X62" s="109" t="s">
        <v>264</v>
      </c>
      <c r="Y62" s="109" t="s">
        <v>264</v>
      </c>
      <c r="Z62" s="109" t="s">
        <v>264</v>
      </c>
      <c r="AA62" s="108" t="s">
        <v>79</v>
      </c>
      <c r="AB62" s="108" t="s">
        <v>79</v>
      </c>
      <c r="AC62" s="109" t="s">
        <v>264</v>
      </c>
      <c r="AD62" s="109" t="s">
        <v>264</v>
      </c>
      <c r="AE62" s="108" t="s">
        <v>557</v>
      </c>
      <c r="AF62" s="108" t="s">
        <v>525</v>
      </c>
      <c r="AG62" s="130" t="s">
        <v>229</v>
      </c>
      <c r="AH62" s="130" t="s">
        <v>229</v>
      </c>
      <c r="AI62" s="155" t="s">
        <v>511</v>
      </c>
      <c r="AJ62" s="109" t="s">
        <v>231</v>
      </c>
      <c r="AK62" s="108" t="s">
        <v>85</v>
      </c>
      <c r="AL62" s="108" t="s">
        <v>558</v>
      </c>
      <c r="AM62" s="108" t="s">
        <v>132</v>
      </c>
      <c r="AN62" s="108" t="s">
        <v>88</v>
      </c>
      <c r="AO62" s="157" t="s">
        <v>577</v>
      </c>
      <c r="AP62" s="157" t="s">
        <v>233</v>
      </c>
      <c r="AQ62" s="109" t="s">
        <v>203</v>
      </c>
      <c r="AR62" s="109" t="s">
        <v>219</v>
      </c>
      <c r="AS62" s="109" t="s">
        <v>353</v>
      </c>
      <c r="AT62" s="109" t="s">
        <v>94</v>
      </c>
      <c r="AU62" s="109" t="s">
        <v>559</v>
      </c>
      <c r="AV62" s="109" t="s">
        <v>94</v>
      </c>
      <c r="AW62" s="167" t="s">
        <v>221</v>
      </c>
      <c r="AX62" s="108"/>
      <c r="AY62" s="104" t="s">
        <v>560</v>
      </c>
    </row>
    <row r="63" s="31" customFormat="1" ht="24.75" customHeight="1" spans="1:51">
      <c r="A63" s="103" t="str">
        <f t="shared" si="15"/>
        <v>22-2</v>
      </c>
      <c r="B63" s="108">
        <v>22</v>
      </c>
      <c r="C63" s="126" t="s">
        <v>61</v>
      </c>
      <c r="D63" s="108" t="s">
        <v>476</v>
      </c>
      <c r="E63" s="127">
        <v>2</v>
      </c>
      <c r="F63" s="128" t="s">
        <v>578</v>
      </c>
      <c r="G63" s="178" t="s">
        <v>561</v>
      </c>
      <c r="H63" s="128" t="str">
        <f t="shared" si="14"/>
        <v>Hose, Ventilation; Ø 15 mm × 22 mm; DTSM1670G-1 </v>
      </c>
      <c r="I63" s="128" t="s">
        <v>207</v>
      </c>
      <c r="J63" s="128" t="s">
        <v>280</v>
      </c>
      <c r="K63" s="128" t="s">
        <v>209</v>
      </c>
      <c r="L63" s="126" t="s">
        <v>210</v>
      </c>
      <c r="M63" s="126" t="s">
        <v>69</v>
      </c>
      <c r="N63" s="145" t="s">
        <v>70</v>
      </c>
      <c r="O63" s="145" t="s">
        <v>70</v>
      </c>
      <c r="P63" s="174" t="s">
        <v>244</v>
      </c>
      <c r="Q63" s="109" t="s">
        <v>282</v>
      </c>
      <c r="R63" s="109" t="s">
        <v>579</v>
      </c>
      <c r="S63" s="108" t="s">
        <v>226</v>
      </c>
      <c r="T63" s="108" t="s">
        <v>226</v>
      </c>
      <c r="U63" s="109" t="s">
        <v>78</v>
      </c>
      <c r="V63" s="109" t="s">
        <v>264</v>
      </c>
      <c r="W63" s="109" t="s">
        <v>264</v>
      </c>
      <c r="X63" s="109" t="s">
        <v>264</v>
      </c>
      <c r="Y63" s="109" t="s">
        <v>264</v>
      </c>
      <c r="Z63" s="109" t="s">
        <v>264</v>
      </c>
      <c r="AA63" s="108" t="s">
        <v>79</v>
      </c>
      <c r="AB63" s="108" t="s">
        <v>79</v>
      </c>
      <c r="AC63" s="109" t="s">
        <v>78</v>
      </c>
      <c r="AD63" s="109" t="s">
        <v>264</v>
      </c>
      <c r="AE63" s="108" t="s">
        <v>227</v>
      </c>
      <c r="AF63" s="108" t="s">
        <v>525</v>
      </c>
      <c r="AG63" s="108" t="s">
        <v>229</v>
      </c>
      <c r="AH63" s="130" t="s">
        <v>229</v>
      </c>
      <c r="AI63" s="155" t="s">
        <v>511</v>
      </c>
      <c r="AJ63" s="109" t="s">
        <v>532</v>
      </c>
      <c r="AK63" s="108" t="s">
        <v>85</v>
      </c>
      <c r="AL63" s="108" t="s">
        <v>483</v>
      </c>
      <c r="AM63" s="108" t="s">
        <v>132</v>
      </c>
      <c r="AN63" s="108" t="s">
        <v>88</v>
      </c>
      <c r="AO63" s="157" t="s">
        <v>485</v>
      </c>
      <c r="AP63" s="157" t="s">
        <v>486</v>
      </c>
      <c r="AQ63" s="109" t="s">
        <v>166</v>
      </c>
      <c r="AR63" s="109" t="s">
        <v>288</v>
      </c>
      <c r="AS63" s="109" t="s">
        <v>487</v>
      </c>
      <c r="AT63" s="109" t="s">
        <v>92</v>
      </c>
      <c r="AU63" s="109" t="s">
        <v>488</v>
      </c>
      <c r="AV63" s="109" t="s">
        <v>94</v>
      </c>
      <c r="AW63" s="167" t="s">
        <v>293</v>
      </c>
      <c r="AX63" s="108"/>
      <c r="AY63" s="171" t="s">
        <v>489</v>
      </c>
    </row>
    <row r="64" s="31" customFormat="1" spans="1:51">
      <c r="A64" s="103" t="str">
        <f t="shared" ref="A64:A66" si="16">CONCATENATE(B64,"-",E64)</f>
        <v>24-1</v>
      </c>
      <c r="B64" s="108">
        <v>24</v>
      </c>
      <c r="C64" s="126" t="s">
        <v>61</v>
      </c>
      <c r="D64" s="108" t="s">
        <v>303</v>
      </c>
      <c r="E64" s="127">
        <v>1</v>
      </c>
      <c r="F64" s="128" t="s">
        <v>63</v>
      </c>
      <c r="G64" s="178" t="s">
        <v>561</v>
      </c>
      <c r="H64" s="128" t="str">
        <f t="shared" ref="H64:H65" si="17">CONCATENATE(I64,"; ",J64,"; ",K64," ")</f>
        <v>Hose, Air; Ø 18 mm × 25 mm; TSM1671G-1A </v>
      </c>
      <c r="I64" s="128" t="s">
        <v>304</v>
      </c>
      <c r="J64" s="128" t="s">
        <v>305</v>
      </c>
      <c r="K64" s="128" t="s">
        <v>223</v>
      </c>
      <c r="L64" s="126" t="s">
        <v>210</v>
      </c>
      <c r="M64" s="126" t="s">
        <v>69</v>
      </c>
      <c r="N64" s="145" t="s">
        <v>70</v>
      </c>
      <c r="O64" s="145" t="s">
        <v>70</v>
      </c>
      <c r="P64" s="174" t="s">
        <v>306</v>
      </c>
      <c r="Q64" s="126" t="s">
        <v>580</v>
      </c>
      <c r="R64" s="109" t="s">
        <v>581</v>
      </c>
      <c r="S64" s="108" t="s">
        <v>226</v>
      </c>
      <c r="T64" s="108" t="s">
        <v>226</v>
      </c>
      <c r="U64" s="109" t="s">
        <v>78</v>
      </c>
      <c r="V64" s="109" t="s">
        <v>264</v>
      </c>
      <c r="W64" s="109" t="s">
        <v>264</v>
      </c>
      <c r="X64" s="109" t="s">
        <v>264</v>
      </c>
      <c r="Y64" s="109" t="s">
        <v>264</v>
      </c>
      <c r="Z64" s="109" t="s">
        <v>264</v>
      </c>
      <c r="AA64" s="108" t="s">
        <v>79</v>
      </c>
      <c r="AB64" s="108" t="s">
        <v>79</v>
      </c>
      <c r="AC64" s="109" t="s">
        <v>78</v>
      </c>
      <c r="AD64" s="109" t="s">
        <v>264</v>
      </c>
      <c r="AE64" s="108" t="s">
        <v>582</v>
      </c>
      <c r="AF64" s="108" t="s">
        <v>525</v>
      </c>
      <c r="AG64" s="108" t="s">
        <v>229</v>
      </c>
      <c r="AH64" s="130" t="s">
        <v>229</v>
      </c>
      <c r="AI64" s="155" t="s">
        <v>511</v>
      </c>
      <c r="AJ64" s="109" t="s">
        <v>583</v>
      </c>
      <c r="AK64" s="108" t="s">
        <v>85</v>
      </c>
      <c r="AL64" s="108" t="s">
        <v>131</v>
      </c>
      <c r="AM64" s="108" t="s">
        <v>132</v>
      </c>
      <c r="AN64" s="108" t="s">
        <v>88</v>
      </c>
      <c r="AO64" s="157" t="s">
        <v>584</v>
      </c>
      <c r="AP64" s="157" t="s">
        <v>499</v>
      </c>
      <c r="AQ64" s="109" t="s">
        <v>296</v>
      </c>
      <c r="AR64" s="109" t="s">
        <v>311</v>
      </c>
      <c r="AS64" s="109" t="s">
        <v>312</v>
      </c>
      <c r="AT64" s="109" t="s">
        <v>313</v>
      </c>
      <c r="AU64" s="109" t="s">
        <v>90</v>
      </c>
      <c r="AV64" s="109" t="s">
        <v>94</v>
      </c>
      <c r="AW64" s="167" t="s">
        <v>314</v>
      </c>
      <c r="AX64" s="108"/>
      <c r="AY64" s="104" t="s">
        <v>585</v>
      </c>
    </row>
    <row r="65" s="31" customFormat="1" ht="32.25" customHeight="1" spans="1:51">
      <c r="A65" s="103" t="str">
        <f t="shared" si="16"/>
        <v>16-3</v>
      </c>
      <c r="B65" s="108">
        <v>16</v>
      </c>
      <c r="C65" s="126" t="s">
        <v>61</v>
      </c>
      <c r="D65" s="108" t="s">
        <v>206</v>
      </c>
      <c r="E65" s="127">
        <v>3</v>
      </c>
      <c r="F65" s="128" t="s">
        <v>141</v>
      </c>
      <c r="G65" s="178" t="s">
        <v>586</v>
      </c>
      <c r="H65" s="128" t="str">
        <f t="shared" si="17"/>
        <v>Hose, Ventilation; Ø 9 mm × 17 mm; DTSM1670G-1 </v>
      </c>
      <c r="I65" s="128" t="s">
        <v>207</v>
      </c>
      <c r="J65" s="128" t="s">
        <v>208</v>
      </c>
      <c r="K65" s="128" t="s">
        <v>209</v>
      </c>
      <c r="L65" s="126" t="s">
        <v>210</v>
      </c>
      <c r="M65" s="126" t="s">
        <v>69</v>
      </c>
      <c r="N65" s="145" t="s">
        <v>70</v>
      </c>
      <c r="O65" s="145" t="s">
        <v>70</v>
      </c>
      <c r="P65" s="174" t="s">
        <v>186</v>
      </c>
      <c r="Q65" s="126" t="s">
        <v>555</v>
      </c>
      <c r="R65" s="126" t="s">
        <v>556</v>
      </c>
      <c r="S65" s="108" t="s">
        <v>226</v>
      </c>
      <c r="T65" s="108" t="s">
        <v>226</v>
      </c>
      <c r="U65" s="109" t="s">
        <v>78</v>
      </c>
      <c r="V65" s="109" t="s">
        <v>78</v>
      </c>
      <c r="W65" s="109" t="s">
        <v>78</v>
      </c>
      <c r="X65" s="109" t="s">
        <v>78</v>
      </c>
      <c r="Y65" s="109" t="s">
        <v>78</v>
      </c>
      <c r="Z65" s="109" t="s">
        <v>78</v>
      </c>
      <c r="AA65" s="108" t="s">
        <v>79</v>
      </c>
      <c r="AB65" s="108" t="s">
        <v>79</v>
      </c>
      <c r="AC65" s="109" t="s">
        <v>78</v>
      </c>
      <c r="AD65" s="109" t="s">
        <v>78</v>
      </c>
      <c r="AE65" s="108" t="s">
        <v>557</v>
      </c>
      <c r="AF65" s="108" t="s">
        <v>525</v>
      </c>
      <c r="AG65" s="130" t="s">
        <v>229</v>
      </c>
      <c r="AH65" s="130" t="s">
        <v>229</v>
      </c>
      <c r="AI65" s="155" t="s">
        <v>511</v>
      </c>
      <c r="AJ65" s="109" t="s">
        <v>231</v>
      </c>
      <c r="AK65" s="108" t="s">
        <v>85</v>
      </c>
      <c r="AL65" s="108" t="s">
        <v>558</v>
      </c>
      <c r="AM65" s="108" t="s">
        <v>132</v>
      </c>
      <c r="AN65" s="108" t="s">
        <v>88</v>
      </c>
      <c r="AO65" s="157" t="s">
        <v>577</v>
      </c>
      <c r="AP65" s="157" t="s">
        <v>233</v>
      </c>
      <c r="AQ65" s="109" t="s">
        <v>203</v>
      </c>
      <c r="AR65" s="109" t="s">
        <v>219</v>
      </c>
      <c r="AS65" s="109" t="s">
        <v>587</v>
      </c>
      <c r="AT65" s="109" t="s">
        <v>94</v>
      </c>
      <c r="AU65" s="109" t="s">
        <v>559</v>
      </c>
      <c r="AV65" s="109" t="s">
        <v>94</v>
      </c>
      <c r="AW65" s="167" t="s">
        <v>221</v>
      </c>
      <c r="AX65" s="108"/>
      <c r="AY65" s="104" t="s">
        <v>560</v>
      </c>
    </row>
    <row r="66" s="30" customFormat="1" spans="1:51">
      <c r="A66" s="103" t="str">
        <f t="shared" si="16"/>
        <v>45-0</v>
      </c>
      <c r="B66" s="108">
        <v>45</v>
      </c>
      <c r="C66" s="126" t="s">
        <v>100</v>
      </c>
      <c r="D66" s="108" t="s">
        <v>79</v>
      </c>
      <c r="E66" s="127">
        <v>0</v>
      </c>
      <c r="F66" s="128" t="s">
        <v>588</v>
      </c>
      <c r="G66" s="178" t="s">
        <v>589</v>
      </c>
      <c r="H66" s="103" t="str">
        <f t="shared" ref="H66" si="18">CONCATENATE(I66,"; ",J66,"; ",K66," ")</f>
        <v>Hose, Drain Staight; Ø 9 mm × 14 mm;  - </v>
      </c>
      <c r="I66" s="103" t="s">
        <v>590</v>
      </c>
      <c r="J66" s="128" t="s">
        <v>395</v>
      </c>
      <c r="K66" s="103" t="s">
        <v>509</v>
      </c>
      <c r="L66" s="148" t="s">
        <v>591</v>
      </c>
      <c r="M66" s="148" t="s">
        <v>79</v>
      </c>
      <c r="N66" s="149" t="s">
        <v>70</v>
      </c>
      <c r="O66" s="149" t="s">
        <v>79</v>
      </c>
      <c r="P66" s="174" t="s">
        <v>186</v>
      </c>
      <c r="Q66" s="126" t="s">
        <v>592</v>
      </c>
      <c r="R66" s="109" t="s">
        <v>509</v>
      </c>
      <c r="S66" s="108" t="s">
        <v>226</v>
      </c>
      <c r="T66" s="108" t="s">
        <v>79</v>
      </c>
      <c r="U66" s="109" t="s">
        <v>264</v>
      </c>
      <c r="V66" s="108" t="s">
        <v>79</v>
      </c>
      <c r="W66" s="109" t="s">
        <v>264</v>
      </c>
      <c r="X66" s="108" t="s">
        <v>79</v>
      </c>
      <c r="Y66" s="109" t="s">
        <v>264</v>
      </c>
      <c r="Z66" s="108" t="s">
        <v>79</v>
      </c>
      <c r="AA66" s="108" t="s">
        <v>79</v>
      </c>
      <c r="AB66" s="108" t="s">
        <v>79</v>
      </c>
      <c r="AC66" s="109" t="s">
        <v>264</v>
      </c>
      <c r="AD66" s="108" t="s">
        <v>79</v>
      </c>
      <c r="AE66" s="108" t="s">
        <v>593</v>
      </c>
      <c r="AF66" s="108" t="s">
        <v>79</v>
      </c>
      <c r="AG66" s="108" t="s">
        <v>229</v>
      </c>
      <c r="AH66" s="108" t="s">
        <v>79</v>
      </c>
      <c r="AI66" s="155" t="s">
        <v>511</v>
      </c>
      <c r="AJ66" s="109" t="s">
        <v>594</v>
      </c>
      <c r="AK66" s="130" t="s">
        <v>565</v>
      </c>
      <c r="AL66" s="108" t="s">
        <v>595</v>
      </c>
      <c r="AM66" s="130" t="s">
        <v>565</v>
      </c>
      <c r="AN66" s="108" t="s">
        <v>88</v>
      </c>
      <c r="AO66" s="157" t="s">
        <v>596</v>
      </c>
      <c r="AP66" s="157" t="s">
        <v>597</v>
      </c>
      <c r="AQ66" s="109" t="s">
        <v>218</v>
      </c>
      <c r="AR66" s="108" t="s">
        <v>79</v>
      </c>
      <c r="AS66" s="108" t="s">
        <v>79</v>
      </c>
      <c r="AT66" s="108" t="s">
        <v>79</v>
      </c>
      <c r="AU66" s="153" t="s">
        <v>354</v>
      </c>
      <c r="AV66" s="109" t="s">
        <v>94</v>
      </c>
      <c r="AW66" s="167" t="s">
        <v>79</v>
      </c>
      <c r="AX66" s="108"/>
      <c r="AY66" s="168" t="s">
        <v>598</v>
      </c>
    </row>
    <row r="67" s="30" customFormat="1" ht="29.25" customHeight="1" spans="1:51">
      <c r="A67" s="103" t="str">
        <f t="shared" ref="A67" si="19">CONCATENATE(B67,"-",E67)</f>
        <v>46-0</v>
      </c>
      <c r="B67" s="108">
        <v>46</v>
      </c>
      <c r="C67" s="126" t="s">
        <v>100</v>
      </c>
      <c r="D67" s="108" t="s">
        <v>599</v>
      </c>
      <c r="E67" s="127">
        <v>0</v>
      </c>
      <c r="F67" s="128" t="s">
        <v>141</v>
      </c>
      <c r="G67" s="178" t="s">
        <v>600</v>
      </c>
      <c r="H67" s="103" t="str">
        <f t="shared" ref="H67" si="20">CONCATENATE(I67,"; ",J67,"; ",K67," ")</f>
        <v>Hose, Clutch Reservoir; Ø 8.5 mm × 16.6 mm; DTSM1650G </v>
      </c>
      <c r="I67" s="103" t="s">
        <v>601</v>
      </c>
      <c r="J67" s="128" t="s">
        <v>183</v>
      </c>
      <c r="K67" s="103" t="s">
        <v>602</v>
      </c>
      <c r="L67" s="148" t="s">
        <v>603</v>
      </c>
      <c r="M67" s="148" t="s">
        <v>79</v>
      </c>
      <c r="N67" s="149" t="s">
        <v>70</v>
      </c>
      <c r="O67" s="149" t="s">
        <v>79</v>
      </c>
      <c r="P67" s="174" t="s">
        <v>186</v>
      </c>
      <c r="Q67" s="126" t="s">
        <v>604</v>
      </c>
      <c r="R67" s="109" t="s">
        <v>509</v>
      </c>
      <c r="S67" s="108" t="s">
        <v>226</v>
      </c>
      <c r="T67" s="108" t="s">
        <v>79</v>
      </c>
      <c r="U67" s="109" t="s">
        <v>264</v>
      </c>
      <c r="V67" s="108" t="s">
        <v>79</v>
      </c>
      <c r="W67" s="109" t="s">
        <v>264</v>
      </c>
      <c r="X67" s="108" t="s">
        <v>79</v>
      </c>
      <c r="Y67" s="109" t="s">
        <v>264</v>
      </c>
      <c r="Z67" s="108" t="s">
        <v>79</v>
      </c>
      <c r="AA67" s="108" t="s">
        <v>79</v>
      </c>
      <c r="AB67" s="108" t="s">
        <v>79</v>
      </c>
      <c r="AC67" s="109" t="s">
        <v>264</v>
      </c>
      <c r="AD67" s="108" t="s">
        <v>79</v>
      </c>
      <c r="AE67" s="108" t="s">
        <v>593</v>
      </c>
      <c r="AF67" s="108" t="s">
        <v>79</v>
      </c>
      <c r="AG67" s="108" t="s">
        <v>229</v>
      </c>
      <c r="AH67" s="108" t="s">
        <v>79</v>
      </c>
      <c r="AI67" s="155" t="s">
        <v>511</v>
      </c>
      <c r="AJ67" s="109" t="s">
        <v>605</v>
      </c>
      <c r="AK67" s="130" t="s">
        <v>565</v>
      </c>
      <c r="AL67" s="108" t="s">
        <v>595</v>
      </c>
      <c r="AM67" s="130" t="s">
        <v>565</v>
      </c>
      <c r="AN67" s="108" t="s">
        <v>88</v>
      </c>
      <c r="AO67" s="157" t="s">
        <v>596</v>
      </c>
      <c r="AP67" s="157" t="s">
        <v>597</v>
      </c>
      <c r="AQ67" s="109" t="s">
        <v>218</v>
      </c>
      <c r="AR67" s="109" t="s">
        <v>606</v>
      </c>
      <c r="AS67" s="108" t="s">
        <v>79</v>
      </c>
      <c r="AT67" s="108" t="s">
        <v>79</v>
      </c>
      <c r="AU67" s="153" t="s">
        <v>607</v>
      </c>
      <c r="AV67" s="109"/>
      <c r="AW67" s="167" t="e">
        <f>#REF!</f>
        <v>#REF!</v>
      </c>
      <c r="AX67" s="108" t="e">
        <f>#REF!</f>
        <v>#REF!</v>
      </c>
      <c r="AY67" s="104" t="s">
        <v>608</v>
      </c>
    </row>
    <row r="68" s="30" customFormat="1" spans="1:51">
      <c r="A68" s="103" t="str">
        <f t="shared" ref="A68" si="21">CONCATENATE(B68,"-",E68)</f>
        <v>47-0</v>
      </c>
      <c r="B68" s="108">
        <v>47</v>
      </c>
      <c r="C68" s="126" t="s">
        <v>100</v>
      </c>
      <c r="D68" s="108" t="s">
        <v>509</v>
      </c>
      <c r="E68" s="127">
        <v>0</v>
      </c>
      <c r="F68" s="128" t="s">
        <v>588</v>
      </c>
      <c r="G68" s="178" t="s">
        <v>609</v>
      </c>
      <c r="H68" s="103" t="str">
        <f t="shared" ref="H68" si="22">CONCATENATE(I68,"; ",J68,"; ",K68," ")</f>
        <v>Hose, Vacuum SL; Ø 8.73 mm × 17.5 mm; ISD-V01-006Y TYPE 1-B </v>
      </c>
      <c r="I68" s="103" t="s">
        <v>610</v>
      </c>
      <c r="J68" s="128" t="s">
        <v>611</v>
      </c>
      <c r="K68" s="103" t="s">
        <v>612</v>
      </c>
      <c r="L68" s="148" t="s">
        <v>613</v>
      </c>
      <c r="M68" s="148" t="s">
        <v>79</v>
      </c>
      <c r="N68" s="149" t="s">
        <v>614</v>
      </c>
      <c r="O68" s="149" t="s">
        <v>79</v>
      </c>
      <c r="P68" s="174" t="s">
        <v>186</v>
      </c>
      <c r="Q68" s="126" t="s">
        <v>615</v>
      </c>
      <c r="R68" s="109" t="s">
        <v>509</v>
      </c>
      <c r="S68" s="108" t="s">
        <v>226</v>
      </c>
      <c r="T68" s="108" t="s">
        <v>79</v>
      </c>
      <c r="U68" s="109" t="s">
        <v>76</v>
      </c>
      <c r="V68" s="108" t="s">
        <v>79</v>
      </c>
      <c r="W68" s="109" t="s">
        <v>76</v>
      </c>
      <c r="X68" s="108" t="s">
        <v>79</v>
      </c>
      <c r="Y68" s="109" t="s">
        <v>76</v>
      </c>
      <c r="Z68" s="108" t="s">
        <v>79</v>
      </c>
      <c r="AA68" s="108" t="s">
        <v>79</v>
      </c>
      <c r="AB68" s="108" t="s">
        <v>79</v>
      </c>
      <c r="AC68" s="109" t="s">
        <v>76</v>
      </c>
      <c r="AD68" s="108" t="s">
        <v>79</v>
      </c>
      <c r="AE68" s="108" t="s">
        <v>616</v>
      </c>
      <c r="AF68" s="108" t="s">
        <v>79</v>
      </c>
      <c r="AG68" s="108" t="s">
        <v>229</v>
      </c>
      <c r="AH68" s="108" t="s">
        <v>79</v>
      </c>
      <c r="AI68" s="155" t="s">
        <v>511</v>
      </c>
      <c r="AJ68" s="109" t="s">
        <v>617</v>
      </c>
      <c r="AK68" s="130" t="s">
        <v>509</v>
      </c>
      <c r="AL68" s="108" t="s">
        <v>509</v>
      </c>
      <c r="AM68" s="130" t="s">
        <v>509</v>
      </c>
      <c r="AN68" s="108" t="s">
        <v>88</v>
      </c>
      <c r="AO68" s="157" t="s">
        <v>566</v>
      </c>
      <c r="AP68" s="157" t="s">
        <v>597</v>
      </c>
      <c r="AQ68" s="109" t="s">
        <v>469</v>
      </c>
      <c r="AR68" s="109" t="s">
        <v>606</v>
      </c>
      <c r="AS68" s="108" t="s">
        <v>618</v>
      </c>
      <c r="AT68" s="108" t="s">
        <v>79</v>
      </c>
      <c r="AU68" s="108" t="s">
        <v>618</v>
      </c>
      <c r="AV68" s="109"/>
      <c r="AW68" s="167" t="s">
        <v>509</v>
      </c>
      <c r="AX68" s="108" t="s">
        <v>509</v>
      </c>
      <c r="AY68" s="104" t="s">
        <v>619</v>
      </c>
    </row>
    <row r="69" s="30" customFormat="1" spans="1:51">
      <c r="A69" s="103" t="str">
        <f t="shared" ref="A69:A72" si="23">CONCATENATE(B69,"-",E69)</f>
        <v>48-0</v>
      </c>
      <c r="B69" s="108">
        <v>48</v>
      </c>
      <c r="C69" s="126" t="s">
        <v>100</v>
      </c>
      <c r="D69" s="108" t="e">
        <f>#REF!</f>
        <v>#REF!</v>
      </c>
      <c r="E69" s="127">
        <v>0</v>
      </c>
      <c r="F69" s="128" t="s">
        <v>588</v>
      </c>
      <c r="G69" s="178" t="s">
        <v>620</v>
      </c>
      <c r="H69" s="103" t="str">
        <f t="shared" ref="H69:H72" si="24">CONCATENATE(I69,"; ",J69,"; ",K69," ")</f>
        <v>HOSE ASM, S/ Tank; Ø 7 mm × 12 mm; ISD-V01-003Y CLASS 1 </v>
      </c>
      <c r="I69" s="103" t="s">
        <v>621</v>
      </c>
      <c r="J69" s="128" t="s">
        <v>155</v>
      </c>
      <c r="K69" s="103" t="s">
        <v>622</v>
      </c>
      <c r="L69" s="148" t="s">
        <v>623</v>
      </c>
      <c r="M69" s="148" t="s">
        <v>79</v>
      </c>
      <c r="N69" s="149" t="s">
        <v>70</v>
      </c>
      <c r="O69" s="149" t="s">
        <v>79</v>
      </c>
      <c r="P69" s="174" t="s">
        <v>186</v>
      </c>
      <c r="Q69" s="126" t="s">
        <v>79</v>
      </c>
      <c r="R69" s="126" t="s">
        <v>556</v>
      </c>
      <c r="S69" s="108" t="s">
        <v>226</v>
      </c>
      <c r="T69" s="108" t="s">
        <v>79</v>
      </c>
      <c r="U69" s="109" t="s">
        <v>78</v>
      </c>
      <c r="V69" s="108" t="s">
        <v>79</v>
      </c>
      <c r="W69" s="109" t="s">
        <v>78</v>
      </c>
      <c r="X69" s="108" t="s">
        <v>79</v>
      </c>
      <c r="Y69" s="109" t="s">
        <v>78</v>
      </c>
      <c r="Z69" s="108" t="s">
        <v>79</v>
      </c>
      <c r="AA69" s="108" t="s">
        <v>79</v>
      </c>
      <c r="AB69" s="108" t="s">
        <v>79</v>
      </c>
      <c r="AC69" s="109" t="s">
        <v>78</v>
      </c>
      <c r="AD69" s="108" t="s">
        <v>79</v>
      </c>
      <c r="AE69" s="108" t="s">
        <v>624</v>
      </c>
      <c r="AF69" s="108" t="s">
        <v>79</v>
      </c>
      <c r="AG69" s="108" t="s">
        <v>229</v>
      </c>
      <c r="AH69" s="108" t="s">
        <v>79</v>
      </c>
      <c r="AI69" s="155" t="s">
        <v>511</v>
      </c>
      <c r="AJ69" s="109" t="s">
        <v>625</v>
      </c>
      <c r="AK69" s="130" t="s">
        <v>565</v>
      </c>
      <c r="AL69" s="108" t="s">
        <v>626</v>
      </c>
      <c r="AM69" s="130" t="s">
        <v>565</v>
      </c>
      <c r="AN69" s="108" t="s">
        <v>88</v>
      </c>
      <c r="AO69" s="157" t="s">
        <v>627</v>
      </c>
      <c r="AP69" s="157" t="s">
        <v>628</v>
      </c>
      <c r="AQ69" s="109" t="s">
        <v>629</v>
      </c>
      <c r="AR69" s="109" t="s">
        <v>630</v>
      </c>
      <c r="AS69" s="108" t="s">
        <v>79</v>
      </c>
      <c r="AT69" s="108" t="s">
        <v>79</v>
      </c>
      <c r="AU69" s="108" t="s">
        <v>631</v>
      </c>
      <c r="AV69" s="109"/>
      <c r="AW69" s="167" t="e">
        <f>#REF!</f>
        <v>#REF!</v>
      </c>
      <c r="AX69" s="108" t="e">
        <f>#REF!</f>
        <v>#REF!</v>
      </c>
      <c r="AY69" s="104" t="s">
        <v>632</v>
      </c>
    </row>
    <row r="70" s="31" customFormat="1" spans="1:51">
      <c r="A70" s="103" t="str">
        <f t="shared" si="23"/>
        <v>13-1</v>
      </c>
      <c r="B70" s="108">
        <v>13</v>
      </c>
      <c r="C70" s="126" t="s">
        <v>61</v>
      </c>
      <c r="D70" s="108"/>
      <c r="E70" s="127">
        <v>1</v>
      </c>
      <c r="F70" s="128" t="s">
        <v>141</v>
      </c>
      <c r="G70" s="178" t="s">
        <v>633</v>
      </c>
      <c r="H70" s="128" t="str">
        <f t="shared" si="24"/>
        <v>Hose, Fuel; Ø 4.2 mm × 8 mm; DTSM1651G-2 </v>
      </c>
      <c r="I70" s="128" t="s">
        <v>121</v>
      </c>
      <c r="J70" s="128" t="s">
        <v>634</v>
      </c>
      <c r="K70" s="128" t="s">
        <v>142</v>
      </c>
      <c r="L70" s="126" t="s">
        <v>143</v>
      </c>
      <c r="M70" s="126" t="s">
        <v>109</v>
      </c>
      <c r="N70" s="145" t="s">
        <v>635</v>
      </c>
      <c r="O70" s="145" t="s">
        <v>635</v>
      </c>
      <c r="P70" s="174" t="s">
        <v>125</v>
      </c>
      <c r="Q70" s="126" t="s">
        <v>636</v>
      </c>
      <c r="R70" s="126" t="s">
        <v>637</v>
      </c>
      <c r="S70" s="108" t="s">
        <v>226</v>
      </c>
      <c r="T70" s="108" t="s">
        <v>226</v>
      </c>
      <c r="U70" s="109" t="s">
        <v>111</v>
      </c>
      <c r="V70" s="109" t="s">
        <v>111</v>
      </c>
      <c r="W70" s="109" t="s">
        <v>111</v>
      </c>
      <c r="X70" s="109" t="s">
        <v>111</v>
      </c>
      <c r="Y70" s="109" t="s">
        <v>111</v>
      </c>
      <c r="Z70" s="109" t="s">
        <v>111</v>
      </c>
      <c r="AA70" s="126" t="s">
        <v>79</v>
      </c>
      <c r="AB70" s="126" t="s">
        <v>79</v>
      </c>
      <c r="AC70" s="109" t="s">
        <v>111</v>
      </c>
      <c r="AD70" s="109" t="s">
        <v>111</v>
      </c>
      <c r="AE70" s="108" t="s">
        <v>638</v>
      </c>
      <c r="AF70" s="108" t="s">
        <v>639</v>
      </c>
      <c r="AG70" s="108" t="s">
        <v>229</v>
      </c>
      <c r="AH70" s="108" t="s">
        <v>229</v>
      </c>
      <c r="AI70" s="108"/>
      <c r="AJ70" s="109" t="s">
        <v>232</v>
      </c>
      <c r="AK70" s="108" t="s">
        <v>85</v>
      </c>
      <c r="AL70" s="108" t="s">
        <v>640</v>
      </c>
      <c r="AM70" s="108" t="s">
        <v>132</v>
      </c>
      <c r="AN70" s="108" t="s">
        <v>88</v>
      </c>
      <c r="AO70" s="157" t="s">
        <v>89</v>
      </c>
      <c r="AP70" s="157" t="s">
        <v>641</v>
      </c>
      <c r="AQ70" s="109" t="s">
        <v>642</v>
      </c>
      <c r="AR70" s="109" t="s">
        <v>643</v>
      </c>
      <c r="AS70" s="109" t="s">
        <v>118</v>
      </c>
      <c r="AT70" s="109" t="s">
        <v>94</v>
      </c>
      <c r="AU70" s="109" t="s">
        <v>93</v>
      </c>
      <c r="AV70" s="109" t="s">
        <v>94</v>
      </c>
      <c r="AW70" s="167" t="s">
        <v>180</v>
      </c>
      <c r="AX70" s="108"/>
      <c r="AY70" s="104" t="s">
        <v>644</v>
      </c>
    </row>
    <row r="71" s="31" customFormat="1" spans="1:51">
      <c r="A71" s="103" t="str">
        <f t="shared" si="23"/>
        <v>49-0</v>
      </c>
      <c r="B71" s="108">
        <v>49</v>
      </c>
      <c r="C71" s="126" t="s">
        <v>61</v>
      </c>
      <c r="D71" s="108"/>
      <c r="E71" s="127">
        <v>0</v>
      </c>
      <c r="F71" s="128" t="s">
        <v>141</v>
      </c>
      <c r="G71" s="178" t="s">
        <v>645</v>
      </c>
      <c r="H71" s="128" t="str">
        <f t="shared" si="24"/>
        <v>Hose, Fuel (emission); Ø 4.2 mm × 11.2mm; DTSE7157G-3 </v>
      </c>
      <c r="I71" s="128" t="s">
        <v>646</v>
      </c>
      <c r="J71" s="128" t="s">
        <v>647</v>
      </c>
      <c r="K71" s="128" t="s">
        <v>648</v>
      </c>
      <c r="L71" s="126" t="s">
        <v>143</v>
      </c>
      <c r="M71" s="126" t="s">
        <v>109</v>
      </c>
      <c r="N71" s="145" t="s">
        <v>635</v>
      </c>
      <c r="O71" s="145" t="s">
        <v>635</v>
      </c>
      <c r="P71" s="174" t="s">
        <v>125</v>
      </c>
      <c r="Q71" s="126" t="s">
        <v>649</v>
      </c>
      <c r="R71" s="126" t="s">
        <v>650</v>
      </c>
      <c r="S71" s="108" t="s">
        <v>226</v>
      </c>
      <c r="T71" s="108" t="s">
        <v>226</v>
      </c>
      <c r="U71" s="109" t="s">
        <v>78</v>
      </c>
      <c r="V71" s="109" t="s">
        <v>78</v>
      </c>
      <c r="W71" s="109" t="s">
        <v>264</v>
      </c>
      <c r="X71" s="109" t="s">
        <v>264</v>
      </c>
      <c r="Y71" s="109" t="s">
        <v>264</v>
      </c>
      <c r="Z71" s="109" t="s">
        <v>264</v>
      </c>
      <c r="AA71" s="126" t="s">
        <v>79</v>
      </c>
      <c r="AB71" s="126" t="s">
        <v>79</v>
      </c>
      <c r="AC71" s="109" t="s">
        <v>264</v>
      </c>
      <c r="AD71" s="109" t="s">
        <v>264</v>
      </c>
      <c r="AE71" s="108" t="s">
        <v>651</v>
      </c>
      <c r="AF71" s="108" t="s">
        <v>652</v>
      </c>
      <c r="AG71" s="108" t="s">
        <v>229</v>
      </c>
      <c r="AH71" s="108" t="s">
        <v>229</v>
      </c>
      <c r="AI71" s="108" t="s">
        <v>511</v>
      </c>
      <c r="AJ71" s="109" t="s">
        <v>653</v>
      </c>
      <c r="AK71" s="108" t="s">
        <v>85</v>
      </c>
      <c r="AL71" s="108" t="s">
        <v>640</v>
      </c>
      <c r="AM71" s="108" t="s">
        <v>132</v>
      </c>
      <c r="AN71" s="108" t="s">
        <v>88</v>
      </c>
      <c r="AO71" s="157" t="s">
        <v>654</v>
      </c>
      <c r="AP71" s="157" t="s">
        <v>655</v>
      </c>
      <c r="AQ71" s="109" t="s">
        <v>220</v>
      </c>
      <c r="AR71" s="109" t="s">
        <v>656</v>
      </c>
      <c r="AS71" s="109" t="s">
        <v>216</v>
      </c>
      <c r="AT71" s="109" t="s">
        <v>94</v>
      </c>
      <c r="AU71" s="109" t="s">
        <v>488</v>
      </c>
      <c r="AV71" s="109" t="s">
        <v>94</v>
      </c>
      <c r="AW71" s="167" t="s">
        <v>657</v>
      </c>
      <c r="AX71" s="108"/>
      <c r="AY71" s="104" t="s">
        <v>658</v>
      </c>
    </row>
    <row r="72" s="31" customFormat="1" spans="1:51">
      <c r="A72" s="103" t="str">
        <f t="shared" si="23"/>
        <v>50-0</v>
      </c>
      <c r="B72" s="108">
        <v>50</v>
      </c>
      <c r="C72" s="126" t="s">
        <v>61</v>
      </c>
      <c r="D72" s="108"/>
      <c r="E72" s="127">
        <v>0</v>
      </c>
      <c r="F72" s="128" t="s">
        <v>141</v>
      </c>
      <c r="G72" s="178" t="s">
        <v>645</v>
      </c>
      <c r="H72" s="128" t="str">
        <f t="shared" si="24"/>
        <v>Hose, Fuel; Ø 5.4 mm × 12.4 mm; DTSM1651G-2 </v>
      </c>
      <c r="I72" s="128" t="s">
        <v>121</v>
      </c>
      <c r="J72" s="128" t="s">
        <v>659</v>
      </c>
      <c r="K72" s="128" t="s">
        <v>142</v>
      </c>
      <c r="L72" s="126" t="s">
        <v>143</v>
      </c>
      <c r="M72" s="126" t="s">
        <v>109</v>
      </c>
      <c r="N72" s="145" t="s">
        <v>635</v>
      </c>
      <c r="O72" s="145" t="s">
        <v>635</v>
      </c>
      <c r="P72" s="174" t="s">
        <v>125</v>
      </c>
      <c r="Q72" s="126" t="s">
        <v>649</v>
      </c>
      <c r="R72" s="126" t="s">
        <v>660</v>
      </c>
      <c r="S72" s="108" t="s">
        <v>226</v>
      </c>
      <c r="T72" s="108" t="s">
        <v>226</v>
      </c>
      <c r="U72" s="109" t="s">
        <v>78</v>
      </c>
      <c r="V72" s="109" t="s">
        <v>78</v>
      </c>
      <c r="W72" s="109" t="s">
        <v>264</v>
      </c>
      <c r="X72" s="109" t="s">
        <v>264</v>
      </c>
      <c r="Y72" s="109" t="s">
        <v>264</v>
      </c>
      <c r="Z72" s="109" t="s">
        <v>264</v>
      </c>
      <c r="AA72" s="126" t="s">
        <v>79</v>
      </c>
      <c r="AB72" s="126" t="s">
        <v>79</v>
      </c>
      <c r="AC72" s="109" t="s">
        <v>264</v>
      </c>
      <c r="AD72" s="109" t="s">
        <v>264</v>
      </c>
      <c r="AE72" s="108" t="s">
        <v>661</v>
      </c>
      <c r="AF72" s="108" t="s">
        <v>662</v>
      </c>
      <c r="AG72" s="108" t="s">
        <v>229</v>
      </c>
      <c r="AH72" s="108" t="s">
        <v>229</v>
      </c>
      <c r="AI72" s="108" t="s">
        <v>511</v>
      </c>
      <c r="AJ72" s="109" t="s">
        <v>625</v>
      </c>
      <c r="AK72" s="108" t="s">
        <v>85</v>
      </c>
      <c r="AL72" s="108" t="s">
        <v>640</v>
      </c>
      <c r="AM72" s="108" t="s">
        <v>132</v>
      </c>
      <c r="AN72" s="108" t="s">
        <v>88</v>
      </c>
      <c r="AO72" s="157" t="s">
        <v>654</v>
      </c>
      <c r="AP72" s="157" t="s">
        <v>663</v>
      </c>
      <c r="AQ72" s="109" t="s">
        <v>664</v>
      </c>
      <c r="AR72" s="109" t="s">
        <v>665</v>
      </c>
      <c r="AS72" s="109" t="s">
        <v>533</v>
      </c>
      <c r="AT72" s="109" t="s">
        <v>94</v>
      </c>
      <c r="AU72" s="109" t="s">
        <v>587</v>
      </c>
      <c r="AV72" s="109" t="s">
        <v>94</v>
      </c>
      <c r="AW72" s="167" t="s">
        <v>657</v>
      </c>
      <c r="AX72" s="108"/>
      <c r="AY72" s="104" t="s">
        <v>666</v>
      </c>
    </row>
    <row r="73" s="31" customFormat="1" spans="2:51">
      <c r="B73" s="65"/>
      <c r="C73" s="66"/>
      <c r="D73" s="66"/>
      <c r="E73" s="67"/>
      <c r="F73" s="66"/>
      <c r="G73" s="68"/>
      <c r="H73" s="66"/>
      <c r="I73" s="66"/>
      <c r="J73" s="66"/>
      <c r="K73" s="66"/>
      <c r="L73" s="84"/>
      <c r="M73" s="84"/>
      <c r="N73" s="41"/>
      <c r="O73" s="41"/>
      <c r="P73" s="84"/>
      <c r="Q73" s="84"/>
      <c r="R73" s="84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5"/>
      <c r="AW73" s="66"/>
      <c r="AX73" s="103"/>
      <c r="AY73" s="105"/>
    </row>
    <row r="74" s="31" customFormat="1" spans="2:51">
      <c r="B74" s="65"/>
      <c r="C74" s="66"/>
      <c r="D74" s="66"/>
      <c r="E74" s="67"/>
      <c r="F74" s="66"/>
      <c r="G74" s="68"/>
      <c r="H74" s="66"/>
      <c r="I74" s="66"/>
      <c r="J74" s="66"/>
      <c r="K74" s="66"/>
      <c r="L74" s="84"/>
      <c r="M74" s="84"/>
      <c r="N74" s="41"/>
      <c r="O74" s="41"/>
      <c r="P74" s="84"/>
      <c r="Q74" s="84"/>
      <c r="R74" s="84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5"/>
      <c r="AW74" s="66"/>
      <c r="AX74" s="103"/>
      <c r="AY74" s="105"/>
    </row>
    <row r="75" s="31" customFormat="1" spans="2:51">
      <c r="B75" s="65"/>
      <c r="C75" s="66"/>
      <c r="D75" s="66"/>
      <c r="E75" s="67"/>
      <c r="F75" s="66"/>
      <c r="G75" s="68"/>
      <c r="H75" s="66"/>
      <c r="I75" s="66"/>
      <c r="J75" s="66"/>
      <c r="K75" s="66"/>
      <c r="L75" s="84"/>
      <c r="M75" s="84"/>
      <c r="N75" s="41"/>
      <c r="O75" s="41"/>
      <c r="P75" s="84"/>
      <c r="Q75" s="84"/>
      <c r="R75" s="84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5"/>
      <c r="AW75" s="66"/>
      <c r="AX75" s="103"/>
      <c r="AY75" s="105"/>
    </row>
    <row r="76" s="31" customFormat="1" spans="2:51">
      <c r="B76" s="65"/>
      <c r="C76" s="66"/>
      <c r="D76" s="66"/>
      <c r="E76" s="67"/>
      <c r="F76" s="66"/>
      <c r="G76" s="68"/>
      <c r="H76" s="66"/>
      <c r="I76" s="66"/>
      <c r="J76" s="66"/>
      <c r="K76" s="66"/>
      <c r="L76" s="84"/>
      <c r="M76" s="84"/>
      <c r="N76" s="41"/>
      <c r="O76" s="41"/>
      <c r="P76" s="84"/>
      <c r="Q76" s="84"/>
      <c r="R76" s="84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5"/>
      <c r="AW76" s="66"/>
      <c r="AX76" s="103"/>
      <c r="AY76" s="105"/>
    </row>
    <row r="77" s="31" customFormat="1" spans="2:51">
      <c r="B77" s="65"/>
      <c r="C77" s="66"/>
      <c r="D77" s="66"/>
      <c r="E77" s="67"/>
      <c r="F77" s="66"/>
      <c r="G77" s="68"/>
      <c r="H77" s="66"/>
      <c r="I77" s="66"/>
      <c r="J77" s="66"/>
      <c r="K77" s="66"/>
      <c r="L77" s="84"/>
      <c r="M77" s="84"/>
      <c r="N77" s="41"/>
      <c r="O77" s="41"/>
      <c r="P77" s="84"/>
      <c r="Q77" s="84"/>
      <c r="R77" s="84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5"/>
      <c r="AW77" s="66"/>
      <c r="AX77" s="103"/>
      <c r="AY77" s="105"/>
    </row>
    <row r="78" s="31" customFormat="1" spans="2:51">
      <c r="B78" s="65"/>
      <c r="C78" s="66"/>
      <c r="D78" s="66"/>
      <c r="E78" s="67"/>
      <c r="F78" s="66"/>
      <c r="G78" s="68"/>
      <c r="H78" s="66"/>
      <c r="I78" s="66"/>
      <c r="J78" s="66"/>
      <c r="K78" s="66"/>
      <c r="L78" s="84"/>
      <c r="M78" s="84"/>
      <c r="N78" s="41"/>
      <c r="O78" s="41"/>
      <c r="P78" s="84"/>
      <c r="Q78" s="84"/>
      <c r="R78" s="84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5"/>
      <c r="AW78" s="66"/>
      <c r="AX78" s="103"/>
      <c r="AY78" s="105"/>
    </row>
    <row r="79" s="31" customFormat="1" spans="2:51">
      <c r="B79" s="65"/>
      <c r="C79" s="66"/>
      <c r="D79" s="66"/>
      <c r="E79" s="67"/>
      <c r="F79" s="66"/>
      <c r="G79" s="68"/>
      <c r="H79" s="66"/>
      <c r="I79" s="66"/>
      <c r="J79" s="66"/>
      <c r="K79" s="66"/>
      <c r="L79" s="84"/>
      <c r="M79" s="84"/>
      <c r="N79" s="41"/>
      <c r="O79" s="41"/>
      <c r="P79" s="84"/>
      <c r="Q79" s="84"/>
      <c r="R79" s="84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5"/>
      <c r="AW79" s="66"/>
      <c r="AX79" s="103"/>
      <c r="AY79" s="105"/>
    </row>
    <row r="80" s="31" customFormat="1" spans="2:51">
      <c r="B80" s="65"/>
      <c r="C80" s="66"/>
      <c r="D80" s="66"/>
      <c r="E80" s="67"/>
      <c r="F80" s="66"/>
      <c r="G80" s="68"/>
      <c r="H80" s="66"/>
      <c r="I80" s="66"/>
      <c r="J80" s="66"/>
      <c r="K80" s="66"/>
      <c r="L80" s="84"/>
      <c r="M80" s="84"/>
      <c r="N80" s="41"/>
      <c r="O80" s="41"/>
      <c r="P80" s="84"/>
      <c r="Q80" s="84"/>
      <c r="R80" s="84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5"/>
      <c r="AW80" s="66"/>
      <c r="AX80" s="103"/>
      <c r="AY80" s="105"/>
    </row>
    <row r="81" s="31" customFormat="1" spans="2:51">
      <c r="B81" s="65"/>
      <c r="C81" s="66"/>
      <c r="D81" s="66"/>
      <c r="E81" s="67"/>
      <c r="F81" s="66"/>
      <c r="G81" s="68"/>
      <c r="H81" s="66"/>
      <c r="I81" s="66"/>
      <c r="J81" s="66"/>
      <c r="K81" s="66"/>
      <c r="L81" s="84"/>
      <c r="M81" s="84"/>
      <c r="N81" s="41"/>
      <c r="O81" s="41"/>
      <c r="P81" s="84"/>
      <c r="Q81" s="84"/>
      <c r="R81" s="84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5"/>
      <c r="AW81" s="66"/>
      <c r="AX81" s="103"/>
      <c r="AY81" s="105"/>
    </row>
    <row r="82" s="31" customFormat="1" spans="2:51">
      <c r="B82" s="65"/>
      <c r="C82" s="66"/>
      <c r="D82" s="66"/>
      <c r="E82" s="67"/>
      <c r="F82" s="66"/>
      <c r="G82" s="68"/>
      <c r="H82" s="66"/>
      <c r="I82" s="66"/>
      <c r="J82" s="66"/>
      <c r="K82" s="66"/>
      <c r="L82" s="84"/>
      <c r="M82" s="84"/>
      <c r="N82" s="41"/>
      <c r="O82" s="41"/>
      <c r="P82" s="84"/>
      <c r="Q82" s="84"/>
      <c r="R82" s="84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5"/>
      <c r="AW82" s="66"/>
      <c r="AX82" s="103"/>
      <c r="AY82" s="105"/>
    </row>
    <row r="83" s="31" customFormat="1" spans="2:51">
      <c r="B83" s="65"/>
      <c r="C83" s="66"/>
      <c r="D83" s="66"/>
      <c r="E83" s="67"/>
      <c r="F83" s="66"/>
      <c r="G83" s="68"/>
      <c r="H83" s="66"/>
      <c r="I83" s="66"/>
      <c r="J83" s="66"/>
      <c r="K83" s="66"/>
      <c r="L83" s="84"/>
      <c r="M83" s="84"/>
      <c r="N83" s="41"/>
      <c r="O83" s="41"/>
      <c r="P83" s="84"/>
      <c r="Q83" s="84"/>
      <c r="R83" s="84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5"/>
      <c r="AW83" s="66"/>
      <c r="AX83" s="103"/>
      <c r="AY83" s="105"/>
    </row>
    <row r="84" s="31" customFormat="1" spans="2:51">
      <c r="B84" s="65"/>
      <c r="C84" s="66"/>
      <c r="D84" s="66"/>
      <c r="E84" s="67"/>
      <c r="F84" s="66"/>
      <c r="G84" s="68"/>
      <c r="H84" s="66"/>
      <c r="I84" s="66"/>
      <c r="J84" s="66"/>
      <c r="K84" s="66"/>
      <c r="L84" s="84"/>
      <c r="M84" s="84"/>
      <c r="N84" s="41"/>
      <c r="O84" s="41"/>
      <c r="P84" s="84"/>
      <c r="Q84" s="84"/>
      <c r="R84" s="84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5"/>
      <c r="AW84" s="66"/>
      <c r="AX84" s="66"/>
      <c r="AY84" s="106"/>
    </row>
    <row r="85" s="31" customFormat="1" spans="2:51">
      <c r="B85" s="65"/>
      <c r="C85" s="66"/>
      <c r="D85" s="66"/>
      <c r="E85" s="67"/>
      <c r="F85" s="66"/>
      <c r="G85" s="68"/>
      <c r="H85" s="66"/>
      <c r="I85" s="66"/>
      <c r="J85" s="66"/>
      <c r="K85" s="66"/>
      <c r="L85" s="84"/>
      <c r="M85" s="84"/>
      <c r="N85" s="41"/>
      <c r="O85" s="41"/>
      <c r="P85" s="84"/>
      <c r="Q85" s="84"/>
      <c r="R85" s="84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5"/>
      <c r="AW85" s="66"/>
      <c r="AX85" s="66"/>
      <c r="AY85" s="106"/>
    </row>
    <row r="86" s="31" customFormat="1" spans="2:51">
      <c r="B86" s="65"/>
      <c r="C86" s="66"/>
      <c r="D86" s="66"/>
      <c r="E86" s="67"/>
      <c r="F86" s="66"/>
      <c r="G86" s="68"/>
      <c r="H86" s="66"/>
      <c r="I86" s="66"/>
      <c r="J86" s="66"/>
      <c r="K86" s="66"/>
      <c r="L86" s="84"/>
      <c r="M86" s="84"/>
      <c r="N86" s="41"/>
      <c r="O86" s="41"/>
      <c r="P86" s="84"/>
      <c r="Q86" s="84"/>
      <c r="R86" s="84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5"/>
      <c r="AW86" s="66"/>
      <c r="AX86" s="66"/>
      <c r="AY86" s="106"/>
    </row>
    <row r="87" s="31" customFormat="1" spans="2:51">
      <c r="B87" s="65"/>
      <c r="C87" s="66"/>
      <c r="D87" s="66"/>
      <c r="E87" s="67"/>
      <c r="F87" s="66"/>
      <c r="G87" s="68"/>
      <c r="H87" s="66"/>
      <c r="I87" s="66"/>
      <c r="J87" s="66"/>
      <c r="K87" s="66"/>
      <c r="L87" s="84"/>
      <c r="M87" s="84"/>
      <c r="N87" s="41"/>
      <c r="O87" s="41"/>
      <c r="P87" s="84"/>
      <c r="Q87" s="84"/>
      <c r="R87" s="84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5"/>
      <c r="AW87" s="66"/>
      <c r="AX87" s="66"/>
      <c r="AY87" s="106"/>
    </row>
    <row r="88" s="31" customFormat="1" spans="2:51">
      <c r="B88" s="65"/>
      <c r="C88" s="66"/>
      <c r="D88" s="66"/>
      <c r="E88" s="67"/>
      <c r="F88" s="66"/>
      <c r="G88" s="68"/>
      <c r="H88" s="66"/>
      <c r="I88" s="66"/>
      <c r="J88" s="66"/>
      <c r="K88" s="66"/>
      <c r="L88" s="84"/>
      <c r="M88" s="84"/>
      <c r="N88" s="41"/>
      <c r="O88" s="41"/>
      <c r="P88" s="84"/>
      <c r="Q88" s="84"/>
      <c r="R88" s="84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5"/>
      <c r="AW88" s="66"/>
      <c r="AX88" s="66"/>
      <c r="AY88" s="106"/>
    </row>
    <row r="89" s="31" customFormat="1" spans="2:51">
      <c r="B89" s="65"/>
      <c r="C89" s="66"/>
      <c r="D89" s="66"/>
      <c r="E89" s="67"/>
      <c r="F89" s="66"/>
      <c r="G89" s="68"/>
      <c r="H89" s="66"/>
      <c r="I89" s="66"/>
      <c r="J89" s="66"/>
      <c r="K89" s="66"/>
      <c r="L89" s="84"/>
      <c r="M89" s="84"/>
      <c r="N89" s="41"/>
      <c r="O89" s="41"/>
      <c r="P89" s="84"/>
      <c r="Q89" s="84"/>
      <c r="R89" s="84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5"/>
      <c r="AW89" s="66"/>
      <c r="AX89" s="66"/>
      <c r="AY89" s="106"/>
    </row>
    <row r="90" s="31" customFormat="1" spans="2:51">
      <c r="B90" s="65"/>
      <c r="C90" s="66"/>
      <c r="D90" s="66"/>
      <c r="E90" s="67"/>
      <c r="F90" s="66"/>
      <c r="G90" s="68"/>
      <c r="H90" s="66"/>
      <c r="I90" s="66"/>
      <c r="J90" s="66"/>
      <c r="K90" s="66"/>
      <c r="L90" s="84"/>
      <c r="M90" s="84"/>
      <c r="N90" s="41"/>
      <c r="O90" s="41"/>
      <c r="P90" s="84"/>
      <c r="Q90" s="84"/>
      <c r="R90" s="84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5"/>
      <c r="AW90" s="66"/>
      <c r="AX90" s="66"/>
      <c r="AY90" s="106"/>
    </row>
    <row r="91" s="31" customFormat="1" spans="2:51">
      <c r="B91" s="65"/>
      <c r="C91" s="66"/>
      <c r="D91" s="66"/>
      <c r="E91" s="67"/>
      <c r="F91" s="66"/>
      <c r="G91" s="68"/>
      <c r="H91" s="66"/>
      <c r="I91" s="66"/>
      <c r="J91" s="66"/>
      <c r="K91" s="66"/>
      <c r="L91" s="84"/>
      <c r="M91" s="84"/>
      <c r="N91" s="41"/>
      <c r="O91" s="41"/>
      <c r="P91" s="84"/>
      <c r="Q91" s="84"/>
      <c r="R91" s="84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5"/>
      <c r="AW91" s="66"/>
      <c r="AX91" s="66"/>
      <c r="AY91" s="106"/>
    </row>
    <row r="92" s="31" customFormat="1" spans="2:51">
      <c r="B92" s="65"/>
      <c r="C92" s="66"/>
      <c r="D92" s="66"/>
      <c r="E92" s="67"/>
      <c r="F92" s="66"/>
      <c r="G92" s="68"/>
      <c r="H92" s="66"/>
      <c r="I92" s="66"/>
      <c r="J92" s="66"/>
      <c r="K92" s="66"/>
      <c r="L92" s="84"/>
      <c r="M92" s="84"/>
      <c r="N92" s="41"/>
      <c r="O92" s="41"/>
      <c r="P92" s="84"/>
      <c r="Q92" s="84"/>
      <c r="R92" s="84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5"/>
      <c r="AW92" s="66"/>
      <c r="AX92" s="66"/>
      <c r="AY92" s="106"/>
    </row>
    <row r="93" s="31" customFormat="1" spans="2:51">
      <c r="B93" s="65"/>
      <c r="C93" s="66"/>
      <c r="D93" s="66"/>
      <c r="E93" s="67"/>
      <c r="F93" s="66"/>
      <c r="G93" s="68"/>
      <c r="H93" s="66"/>
      <c r="I93" s="66"/>
      <c r="J93" s="66"/>
      <c r="K93" s="66"/>
      <c r="L93" s="84"/>
      <c r="M93" s="84"/>
      <c r="N93" s="41"/>
      <c r="O93" s="41"/>
      <c r="P93" s="84"/>
      <c r="Q93" s="84"/>
      <c r="R93" s="84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5"/>
      <c r="AW93" s="66"/>
      <c r="AX93" s="66"/>
      <c r="AY93" s="106"/>
    </row>
    <row r="94" s="31" customFormat="1" spans="2:51">
      <c r="B94" s="65"/>
      <c r="C94" s="66"/>
      <c r="D94" s="66"/>
      <c r="E94" s="67"/>
      <c r="F94" s="66"/>
      <c r="G94" s="68"/>
      <c r="H94" s="66"/>
      <c r="I94" s="66"/>
      <c r="J94" s="66"/>
      <c r="K94" s="66"/>
      <c r="L94" s="84"/>
      <c r="M94" s="84"/>
      <c r="N94" s="41"/>
      <c r="O94" s="41"/>
      <c r="P94" s="84"/>
      <c r="Q94" s="84"/>
      <c r="R94" s="84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5"/>
      <c r="AW94" s="66"/>
      <c r="AX94" s="66"/>
      <c r="AY94" s="106"/>
    </row>
    <row r="95" s="31" customFormat="1" spans="2:51">
      <c r="B95" s="65"/>
      <c r="C95" s="66"/>
      <c r="D95" s="66"/>
      <c r="E95" s="67"/>
      <c r="F95" s="66"/>
      <c r="G95" s="68"/>
      <c r="H95" s="66"/>
      <c r="I95" s="66"/>
      <c r="J95" s="66"/>
      <c r="K95" s="66"/>
      <c r="L95" s="84"/>
      <c r="M95" s="84"/>
      <c r="N95" s="41"/>
      <c r="O95" s="41"/>
      <c r="P95" s="84"/>
      <c r="Q95" s="84"/>
      <c r="R95" s="84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5"/>
      <c r="AW95" s="66"/>
      <c r="AX95" s="66"/>
      <c r="AY95" s="106"/>
    </row>
    <row r="96" s="31" customFormat="1" spans="2:51">
      <c r="B96" s="65"/>
      <c r="C96" s="66"/>
      <c r="D96" s="66"/>
      <c r="E96" s="67"/>
      <c r="F96" s="66"/>
      <c r="G96" s="68"/>
      <c r="H96" s="66"/>
      <c r="I96" s="66"/>
      <c r="J96" s="66"/>
      <c r="K96" s="66"/>
      <c r="L96" s="84"/>
      <c r="M96" s="84"/>
      <c r="N96" s="41"/>
      <c r="O96" s="41"/>
      <c r="P96" s="84"/>
      <c r="Q96" s="84"/>
      <c r="R96" s="84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5"/>
      <c r="AW96" s="66"/>
      <c r="AX96" s="66"/>
      <c r="AY96" s="106"/>
    </row>
    <row r="97" s="31" customFormat="1" spans="2:51">
      <c r="B97" s="65"/>
      <c r="C97" s="66"/>
      <c r="D97" s="66"/>
      <c r="E97" s="67"/>
      <c r="F97" s="66"/>
      <c r="G97" s="68"/>
      <c r="H97" s="66"/>
      <c r="I97" s="66"/>
      <c r="J97" s="66"/>
      <c r="K97" s="66"/>
      <c r="L97" s="84"/>
      <c r="M97" s="84"/>
      <c r="N97" s="41"/>
      <c r="O97" s="41"/>
      <c r="P97" s="84"/>
      <c r="Q97" s="84"/>
      <c r="R97" s="84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5"/>
      <c r="AW97" s="66"/>
      <c r="AX97" s="66"/>
      <c r="AY97" s="106"/>
    </row>
    <row r="98" s="31" customFormat="1" spans="2:51">
      <c r="B98" s="65"/>
      <c r="C98" s="66"/>
      <c r="D98" s="66"/>
      <c r="E98" s="67"/>
      <c r="F98" s="66"/>
      <c r="G98" s="68"/>
      <c r="H98" s="66"/>
      <c r="I98" s="66"/>
      <c r="J98" s="66"/>
      <c r="K98" s="66"/>
      <c r="L98" s="84"/>
      <c r="M98" s="84"/>
      <c r="N98" s="41"/>
      <c r="O98" s="41"/>
      <c r="P98" s="84"/>
      <c r="Q98" s="84"/>
      <c r="R98" s="84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5"/>
      <c r="AW98" s="66"/>
      <c r="AX98" s="66"/>
      <c r="AY98" s="106"/>
    </row>
    <row r="99" s="31" customFormat="1" spans="2:51">
      <c r="B99" s="65"/>
      <c r="C99" s="66"/>
      <c r="D99" s="66"/>
      <c r="E99" s="67"/>
      <c r="F99" s="66"/>
      <c r="G99" s="68"/>
      <c r="H99" s="66"/>
      <c r="I99" s="66"/>
      <c r="J99" s="66"/>
      <c r="K99" s="66"/>
      <c r="L99" s="84"/>
      <c r="M99" s="84"/>
      <c r="N99" s="41"/>
      <c r="O99" s="41"/>
      <c r="P99" s="84"/>
      <c r="Q99" s="84"/>
      <c r="R99" s="84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5"/>
      <c r="AW99" s="66"/>
      <c r="AX99" s="66"/>
      <c r="AY99" s="106"/>
    </row>
    <row r="100" s="31" customFormat="1" spans="2:51">
      <c r="B100" s="65"/>
      <c r="C100" s="66"/>
      <c r="D100" s="66"/>
      <c r="E100" s="67"/>
      <c r="F100" s="66"/>
      <c r="G100" s="68"/>
      <c r="H100" s="66"/>
      <c r="I100" s="66"/>
      <c r="J100" s="66"/>
      <c r="K100" s="66"/>
      <c r="L100" s="84"/>
      <c r="M100" s="84"/>
      <c r="N100" s="41"/>
      <c r="O100" s="41"/>
      <c r="P100" s="84"/>
      <c r="Q100" s="84"/>
      <c r="R100" s="84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5"/>
      <c r="AW100" s="66"/>
      <c r="AX100" s="66"/>
      <c r="AY100" s="106"/>
    </row>
    <row r="101" s="31" customFormat="1" spans="2:51">
      <c r="B101" s="65"/>
      <c r="C101" s="66"/>
      <c r="D101" s="66"/>
      <c r="E101" s="67"/>
      <c r="F101" s="66"/>
      <c r="G101" s="68"/>
      <c r="H101" s="66"/>
      <c r="I101" s="66"/>
      <c r="J101" s="66"/>
      <c r="K101" s="66"/>
      <c r="L101" s="84"/>
      <c r="M101" s="84"/>
      <c r="N101" s="41"/>
      <c r="O101" s="41"/>
      <c r="P101" s="84"/>
      <c r="Q101" s="84"/>
      <c r="R101" s="84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5"/>
      <c r="AW101" s="66"/>
      <c r="AX101" s="66"/>
      <c r="AY101" s="106"/>
    </row>
    <row r="102" s="31" customFormat="1" spans="2:51">
      <c r="B102" s="65"/>
      <c r="C102" s="66"/>
      <c r="D102" s="66"/>
      <c r="E102" s="67"/>
      <c r="F102" s="66"/>
      <c r="G102" s="68"/>
      <c r="H102" s="66"/>
      <c r="I102" s="66"/>
      <c r="J102" s="66"/>
      <c r="K102" s="66"/>
      <c r="L102" s="84"/>
      <c r="M102" s="84"/>
      <c r="N102" s="41"/>
      <c r="O102" s="41"/>
      <c r="P102" s="84"/>
      <c r="Q102" s="84"/>
      <c r="R102" s="84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5"/>
      <c r="AW102" s="66"/>
      <c r="AX102" s="66"/>
      <c r="AY102" s="106"/>
    </row>
    <row r="103" s="31" customFormat="1" spans="2:51">
      <c r="B103" s="65"/>
      <c r="C103" s="66"/>
      <c r="D103" s="66"/>
      <c r="E103" s="67"/>
      <c r="F103" s="66"/>
      <c r="G103" s="68"/>
      <c r="H103" s="66"/>
      <c r="I103" s="66"/>
      <c r="J103" s="66"/>
      <c r="K103" s="66"/>
      <c r="L103" s="84"/>
      <c r="M103" s="84"/>
      <c r="N103" s="41"/>
      <c r="O103" s="41"/>
      <c r="P103" s="84"/>
      <c r="Q103" s="84"/>
      <c r="R103" s="84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5"/>
      <c r="AW103" s="66"/>
      <c r="AX103" s="66"/>
      <c r="AY103" s="106"/>
    </row>
    <row r="104" s="31" customFormat="1" spans="2:51">
      <c r="B104" s="65"/>
      <c r="C104" s="66"/>
      <c r="D104" s="66"/>
      <c r="E104" s="67"/>
      <c r="F104" s="66"/>
      <c r="G104" s="68"/>
      <c r="H104" s="66"/>
      <c r="I104" s="66"/>
      <c r="J104" s="66"/>
      <c r="K104" s="66"/>
      <c r="L104" s="84"/>
      <c r="M104" s="84"/>
      <c r="N104" s="41"/>
      <c r="O104" s="41"/>
      <c r="P104" s="84"/>
      <c r="Q104" s="84"/>
      <c r="R104" s="84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5"/>
      <c r="AW104" s="66"/>
      <c r="AX104" s="66"/>
      <c r="AY104" s="106"/>
    </row>
    <row r="105" s="31" customFormat="1" spans="2:51">
      <c r="B105" s="65"/>
      <c r="C105" s="66"/>
      <c r="D105" s="66"/>
      <c r="E105" s="67"/>
      <c r="F105" s="66"/>
      <c r="G105" s="68"/>
      <c r="H105" s="66"/>
      <c r="I105" s="66"/>
      <c r="J105" s="66"/>
      <c r="K105" s="66"/>
      <c r="L105" s="84"/>
      <c r="M105" s="84"/>
      <c r="N105" s="41"/>
      <c r="O105" s="41"/>
      <c r="P105" s="84"/>
      <c r="Q105" s="84"/>
      <c r="R105" s="84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5"/>
      <c r="AW105" s="66"/>
      <c r="AX105" s="66"/>
      <c r="AY105" s="106"/>
    </row>
    <row r="106" s="31" customFormat="1" spans="2:51">
      <c r="B106" s="65"/>
      <c r="C106" s="66"/>
      <c r="D106" s="66"/>
      <c r="E106" s="67"/>
      <c r="F106" s="66"/>
      <c r="G106" s="68"/>
      <c r="H106" s="66"/>
      <c r="I106" s="66"/>
      <c r="J106" s="66"/>
      <c r="K106" s="66"/>
      <c r="L106" s="84"/>
      <c r="M106" s="84"/>
      <c r="N106" s="41"/>
      <c r="O106" s="41"/>
      <c r="P106" s="84"/>
      <c r="Q106" s="84"/>
      <c r="R106" s="84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5"/>
      <c r="AW106" s="66"/>
      <c r="AX106" s="66"/>
      <c r="AY106" s="106"/>
    </row>
    <row r="107" s="31" customFormat="1" spans="2:51">
      <c r="B107" s="65"/>
      <c r="C107" s="66"/>
      <c r="D107" s="66"/>
      <c r="E107" s="67"/>
      <c r="F107" s="66"/>
      <c r="G107" s="68"/>
      <c r="H107" s="66"/>
      <c r="I107" s="66"/>
      <c r="J107" s="66"/>
      <c r="K107" s="66"/>
      <c r="L107" s="84"/>
      <c r="M107" s="84"/>
      <c r="N107" s="41"/>
      <c r="O107" s="41"/>
      <c r="P107" s="84"/>
      <c r="Q107" s="84"/>
      <c r="R107" s="84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5"/>
      <c r="AW107" s="66"/>
      <c r="AX107" s="66"/>
      <c r="AY107" s="106"/>
    </row>
    <row r="108" s="31" customFormat="1" spans="2:51">
      <c r="B108" s="65"/>
      <c r="C108" s="66"/>
      <c r="D108" s="66"/>
      <c r="E108" s="67"/>
      <c r="F108" s="66"/>
      <c r="G108" s="68"/>
      <c r="H108" s="66"/>
      <c r="I108" s="66"/>
      <c r="J108" s="66"/>
      <c r="K108" s="66"/>
      <c r="L108" s="84"/>
      <c r="M108" s="84"/>
      <c r="N108" s="41"/>
      <c r="O108" s="41"/>
      <c r="P108" s="84"/>
      <c r="Q108" s="84"/>
      <c r="R108" s="84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5"/>
      <c r="AW108" s="66"/>
      <c r="AX108" s="66"/>
      <c r="AY108" s="106"/>
    </row>
    <row r="109" s="31" customFormat="1" spans="2:51">
      <c r="B109" s="65"/>
      <c r="C109" s="66"/>
      <c r="D109" s="66"/>
      <c r="E109" s="67"/>
      <c r="F109" s="66"/>
      <c r="G109" s="68"/>
      <c r="H109" s="66"/>
      <c r="I109" s="66"/>
      <c r="J109" s="66"/>
      <c r="K109" s="66"/>
      <c r="L109" s="84"/>
      <c r="M109" s="84"/>
      <c r="N109" s="41"/>
      <c r="O109" s="41"/>
      <c r="P109" s="84"/>
      <c r="Q109" s="84"/>
      <c r="R109" s="84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5"/>
      <c r="AW109" s="66"/>
      <c r="AX109" s="66"/>
      <c r="AY109" s="106"/>
    </row>
    <row r="110" s="31" customFormat="1" spans="2:51">
      <c r="B110" s="65"/>
      <c r="C110" s="66"/>
      <c r="D110" s="66"/>
      <c r="E110" s="67"/>
      <c r="F110" s="66"/>
      <c r="G110" s="68"/>
      <c r="H110" s="66"/>
      <c r="I110" s="66"/>
      <c r="J110" s="66"/>
      <c r="K110" s="66"/>
      <c r="L110" s="84"/>
      <c r="M110" s="84"/>
      <c r="N110" s="41"/>
      <c r="O110" s="41"/>
      <c r="P110" s="84"/>
      <c r="Q110" s="84"/>
      <c r="R110" s="84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5"/>
      <c r="AW110" s="66"/>
      <c r="AX110" s="66"/>
      <c r="AY110" s="106"/>
    </row>
    <row r="111" s="31" customFormat="1" spans="2:51">
      <c r="B111" s="65"/>
      <c r="C111" s="66"/>
      <c r="D111" s="66"/>
      <c r="E111" s="67"/>
      <c r="F111" s="66"/>
      <c r="G111" s="68"/>
      <c r="H111" s="66"/>
      <c r="I111" s="66"/>
      <c r="J111" s="66"/>
      <c r="K111" s="66"/>
      <c r="L111" s="84"/>
      <c r="M111" s="84"/>
      <c r="N111" s="41"/>
      <c r="O111" s="41"/>
      <c r="P111" s="84"/>
      <c r="Q111" s="84"/>
      <c r="R111" s="84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5"/>
      <c r="AW111" s="66"/>
      <c r="AX111" s="66"/>
      <c r="AY111" s="106"/>
    </row>
    <row r="112" s="31" customFormat="1" spans="2:51">
      <c r="B112" s="65"/>
      <c r="C112" s="66"/>
      <c r="D112" s="66"/>
      <c r="E112" s="67"/>
      <c r="F112" s="66"/>
      <c r="G112" s="68"/>
      <c r="H112" s="66"/>
      <c r="I112" s="66"/>
      <c r="J112" s="66"/>
      <c r="K112" s="66"/>
      <c r="L112" s="84"/>
      <c r="M112" s="84"/>
      <c r="N112" s="41"/>
      <c r="O112" s="41"/>
      <c r="P112" s="84"/>
      <c r="Q112" s="84"/>
      <c r="R112" s="84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5"/>
      <c r="AW112" s="66"/>
      <c r="AX112" s="66"/>
      <c r="AY112" s="106"/>
    </row>
    <row r="113" s="31" customFormat="1" spans="2:51">
      <c r="B113" s="65"/>
      <c r="C113" s="66"/>
      <c r="D113" s="66"/>
      <c r="E113" s="67"/>
      <c r="F113" s="66"/>
      <c r="G113" s="68"/>
      <c r="H113" s="66"/>
      <c r="I113" s="66"/>
      <c r="J113" s="66"/>
      <c r="K113" s="66"/>
      <c r="L113" s="84"/>
      <c r="M113" s="84"/>
      <c r="N113" s="41"/>
      <c r="O113" s="41"/>
      <c r="P113" s="84"/>
      <c r="Q113" s="84"/>
      <c r="R113" s="84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5"/>
      <c r="AW113" s="66"/>
      <c r="AX113" s="66"/>
      <c r="AY113" s="106"/>
    </row>
    <row r="114" s="31" customFormat="1" spans="2:51">
      <c r="B114" s="65"/>
      <c r="C114" s="66"/>
      <c r="D114" s="66"/>
      <c r="E114" s="67"/>
      <c r="F114" s="66"/>
      <c r="G114" s="68"/>
      <c r="H114" s="66"/>
      <c r="I114" s="66"/>
      <c r="J114" s="66"/>
      <c r="K114" s="66"/>
      <c r="L114" s="84"/>
      <c r="M114" s="84"/>
      <c r="N114" s="41"/>
      <c r="O114" s="41"/>
      <c r="P114" s="84"/>
      <c r="Q114" s="84"/>
      <c r="R114" s="84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5"/>
      <c r="AW114" s="66"/>
      <c r="AX114" s="66"/>
      <c r="AY114" s="106"/>
    </row>
    <row r="115" s="31" customFormat="1" spans="2:51">
      <c r="B115" s="65"/>
      <c r="C115" s="66"/>
      <c r="D115" s="66"/>
      <c r="E115" s="67"/>
      <c r="F115" s="66"/>
      <c r="G115" s="68"/>
      <c r="H115" s="66"/>
      <c r="I115" s="66"/>
      <c r="J115" s="66"/>
      <c r="K115" s="66"/>
      <c r="L115" s="84"/>
      <c r="M115" s="84"/>
      <c r="N115" s="41"/>
      <c r="O115" s="41"/>
      <c r="P115" s="84"/>
      <c r="Q115" s="84"/>
      <c r="R115" s="84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5"/>
      <c r="AW115" s="66"/>
      <c r="AX115" s="66"/>
      <c r="AY115" s="106"/>
    </row>
    <row r="116" s="31" customFormat="1" spans="2:51">
      <c r="B116" s="65"/>
      <c r="C116" s="66"/>
      <c r="D116" s="66"/>
      <c r="E116" s="67"/>
      <c r="F116" s="66"/>
      <c r="G116" s="68"/>
      <c r="H116" s="66"/>
      <c r="I116" s="66"/>
      <c r="J116" s="66"/>
      <c r="K116" s="66"/>
      <c r="L116" s="84"/>
      <c r="M116" s="84"/>
      <c r="N116" s="41"/>
      <c r="O116" s="41"/>
      <c r="P116" s="84"/>
      <c r="Q116" s="84"/>
      <c r="R116" s="84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5"/>
      <c r="AW116" s="66"/>
      <c r="AX116" s="66"/>
      <c r="AY116" s="106"/>
    </row>
    <row r="117" s="31" customFormat="1" spans="2:51">
      <c r="B117" s="65"/>
      <c r="C117" s="66"/>
      <c r="D117" s="66"/>
      <c r="E117" s="67"/>
      <c r="F117" s="66"/>
      <c r="G117" s="68"/>
      <c r="H117" s="66"/>
      <c r="I117" s="66"/>
      <c r="J117" s="66"/>
      <c r="K117" s="66"/>
      <c r="L117" s="84"/>
      <c r="M117" s="84"/>
      <c r="N117" s="41"/>
      <c r="O117" s="41"/>
      <c r="P117" s="84"/>
      <c r="Q117" s="84"/>
      <c r="R117" s="84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5"/>
      <c r="AW117" s="66"/>
      <c r="AX117" s="66"/>
      <c r="AY117" s="106"/>
    </row>
    <row r="118" s="31" customFormat="1" spans="2:51">
      <c r="B118" s="65"/>
      <c r="C118" s="66"/>
      <c r="D118" s="66"/>
      <c r="E118" s="67"/>
      <c r="F118" s="66"/>
      <c r="G118" s="68"/>
      <c r="H118" s="66"/>
      <c r="I118" s="66"/>
      <c r="J118" s="66"/>
      <c r="K118" s="66"/>
      <c r="L118" s="84"/>
      <c r="M118" s="84"/>
      <c r="N118" s="41"/>
      <c r="O118" s="41"/>
      <c r="P118" s="84"/>
      <c r="Q118" s="84"/>
      <c r="R118" s="84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5"/>
      <c r="AW118" s="66"/>
      <c r="AX118" s="66"/>
      <c r="AY118" s="106"/>
    </row>
    <row r="119" s="31" customFormat="1" spans="2:51">
      <c r="B119" s="65"/>
      <c r="C119" s="66"/>
      <c r="D119" s="66"/>
      <c r="E119" s="67"/>
      <c r="F119" s="66"/>
      <c r="G119" s="68"/>
      <c r="H119" s="66"/>
      <c r="I119" s="66"/>
      <c r="J119" s="66"/>
      <c r="K119" s="66"/>
      <c r="L119" s="84"/>
      <c r="M119" s="84"/>
      <c r="N119" s="41"/>
      <c r="O119" s="41"/>
      <c r="P119" s="84"/>
      <c r="Q119" s="84"/>
      <c r="R119" s="84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5"/>
      <c r="AW119" s="66"/>
      <c r="AX119" s="66"/>
      <c r="AY119" s="106"/>
    </row>
    <row r="120" s="31" customFormat="1" spans="2:51">
      <c r="B120" s="65"/>
      <c r="C120" s="66"/>
      <c r="D120" s="66"/>
      <c r="E120" s="67"/>
      <c r="F120" s="66"/>
      <c r="G120" s="68"/>
      <c r="H120" s="66"/>
      <c r="I120" s="66"/>
      <c r="J120" s="66"/>
      <c r="K120" s="66"/>
      <c r="L120" s="84"/>
      <c r="M120" s="84"/>
      <c r="N120" s="41"/>
      <c r="O120" s="41"/>
      <c r="P120" s="84"/>
      <c r="Q120" s="84"/>
      <c r="R120" s="84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5"/>
      <c r="AW120" s="66"/>
      <c r="AX120" s="66"/>
      <c r="AY120" s="106"/>
    </row>
    <row r="121" s="31" customFormat="1" spans="2:51">
      <c r="B121" s="65"/>
      <c r="C121" s="66"/>
      <c r="D121" s="66"/>
      <c r="E121" s="67"/>
      <c r="F121" s="66"/>
      <c r="G121" s="68"/>
      <c r="H121" s="66"/>
      <c r="I121" s="66"/>
      <c r="J121" s="66"/>
      <c r="K121" s="66"/>
      <c r="L121" s="84"/>
      <c r="M121" s="84"/>
      <c r="N121" s="41"/>
      <c r="O121" s="41"/>
      <c r="P121" s="84"/>
      <c r="Q121" s="84"/>
      <c r="R121" s="84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5"/>
      <c r="AW121" s="66"/>
      <c r="AX121" s="66"/>
      <c r="AY121" s="106"/>
    </row>
    <row r="122" s="31" customFormat="1" spans="2:51">
      <c r="B122" s="65"/>
      <c r="C122" s="66"/>
      <c r="D122" s="66"/>
      <c r="E122" s="67"/>
      <c r="F122" s="66"/>
      <c r="G122" s="68"/>
      <c r="H122" s="66"/>
      <c r="I122" s="66"/>
      <c r="J122" s="66"/>
      <c r="K122" s="66"/>
      <c r="L122" s="84"/>
      <c r="M122" s="84"/>
      <c r="N122" s="41"/>
      <c r="O122" s="41"/>
      <c r="P122" s="84"/>
      <c r="Q122" s="84"/>
      <c r="R122" s="84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5"/>
      <c r="AW122" s="66"/>
      <c r="AX122" s="66"/>
      <c r="AY122" s="106"/>
    </row>
    <row r="123" s="31" customFormat="1" spans="2:51">
      <c r="B123" s="65"/>
      <c r="C123" s="66"/>
      <c r="D123" s="66"/>
      <c r="E123" s="67"/>
      <c r="F123" s="66"/>
      <c r="G123" s="68"/>
      <c r="H123" s="66"/>
      <c r="I123" s="66"/>
      <c r="J123" s="66"/>
      <c r="K123" s="66"/>
      <c r="L123" s="84"/>
      <c r="M123" s="84"/>
      <c r="N123" s="41"/>
      <c r="O123" s="41"/>
      <c r="P123" s="84"/>
      <c r="Q123" s="84"/>
      <c r="R123" s="84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5"/>
      <c r="AW123" s="66"/>
      <c r="AX123" s="66"/>
      <c r="AY123" s="106"/>
    </row>
    <row r="124" s="31" customFormat="1" spans="2:51">
      <c r="B124" s="65"/>
      <c r="C124" s="66"/>
      <c r="D124" s="66"/>
      <c r="E124" s="67"/>
      <c r="F124" s="66"/>
      <c r="G124" s="68"/>
      <c r="H124" s="66"/>
      <c r="I124" s="66"/>
      <c r="J124" s="66"/>
      <c r="K124" s="66"/>
      <c r="L124" s="84"/>
      <c r="M124" s="84"/>
      <c r="N124" s="41"/>
      <c r="O124" s="41"/>
      <c r="P124" s="84"/>
      <c r="Q124" s="84"/>
      <c r="R124" s="84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5"/>
      <c r="AW124" s="66"/>
      <c r="AX124" s="66"/>
      <c r="AY124" s="106"/>
    </row>
    <row r="125" s="31" customFormat="1" spans="2:51">
      <c r="B125" s="65"/>
      <c r="C125" s="66"/>
      <c r="D125" s="66"/>
      <c r="E125" s="67"/>
      <c r="F125" s="66"/>
      <c r="G125" s="68"/>
      <c r="H125" s="66"/>
      <c r="I125" s="66"/>
      <c r="J125" s="66"/>
      <c r="K125" s="66"/>
      <c r="L125" s="84"/>
      <c r="M125" s="84"/>
      <c r="N125" s="41"/>
      <c r="O125" s="41"/>
      <c r="P125" s="84"/>
      <c r="Q125" s="84"/>
      <c r="R125" s="84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5"/>
      <c r="AW125" s="66"/>
      <c r="AX125" s="66"/>
      <c r="AY125" s="106"/>
    </row>
    <row r="126" s="31" customFormat="1" spans="2:51">
      <c r="B126" s="65"/>
      <c r="C126" s="66"/>
      <c r="D126" s="66"/>
      <c r="E126" s="67"/>
      <c r="F126" s="66"/>
      <c r="G126" s="68"/>
      <c r="H126" s="66"/>
      <c r="I126" s="66"/>
      <c r="J126" s="66"/>
      <c r="K126" s="66"/>
      <c r="L126" s="84"/>
      <c r="M126" s="84"/>
      <c r="N126" s="41"/>
      <c r="O126" s="41"/>
      <c r="P126" s="84"/>
      <c r="Q126" s="84"/>
      <c r="R126" s="84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5"/>
      <c r="AW126" s="66"/>
      <c r="AX126" s="66"/>
      <c r="AY126" s="106"/>
    </row>
    <row r="127" s="31" customFormat="1" spans="2:51">
      <c r="B127" s="65"/>
      <c r="C127" s="66"/>
      <c r="D127" s="66"/>
      <c r="E127" s="67"/>
      <c r="F127" s="66"/>
      <c r="G127" s="68"/>
      <c r="H127" s="66"/>
      <c r="I127" s="66"/>
      <c r="J127" s="66"/>
      <c r="K127" s="66"/>
      <c r="L127" s="84"/>
      <c r="M127" s="84"/>
      <c r="N127" s="41"/>
      <c r="O127" s="41"/>
      <c r="P127" s="84"/>
      <c r="Q127" s="84"/>
      <c r="R127" s="84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5"/>
      <c r="AW127" s="66"/>
      <c r="AX127" s="66"/>
      <c r="AY127" s="106"/>
    </row>
    <row r="128" s="31" customFormat="1" spans="2:51">
      <c r="B128" s="65"/>
      <c r="C128" s="66"/>
      <c r="D128" s="66"/>
      <c r="E128" s="67"/>
      <c r="F128" s="66"/>
      <c r="G128" s="68"/>
      <c r="H128" s="66"/>
      <c r="I128" s="66"/>
      <c r="J128" s="66"/>
      <c r="K128" s="66"/>
      <c r="L128" s="84"/>
      <c r="M128" s="84"/>
      <c r="N128" s="41"/>
      <c r="O128" s="41"/>
      <c r="P128" s="84"/>
      <c r="Q128" s="84"/>
      <c r="R128" s="84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5"/>
      <c r="AW128" s="66"/>
      <c r="AX128" s="66"/>
      <c r="AY128" s="106"/>
    </row>
    <row r="129" s="31" customFormat="1" spans="2:51">
      <c r="B129" s="65"/>
      <c r="C129" s="66"/>
      <c r="D129" s="66"/>
      <c r="E129" s="67"/>
      <c r="F129" s="66"/>
      <c r="G129" s="68"/>
      <c r="H129" s="66"/>
      <c r="I129" s="66"/>
      <c r="J129" s="66"/>
      <c r="K129" s="66"/>
      <c r="L129" s="84"/>
      <c r="M129" s="84"/>
      <c r="N129" s="41"/>
      <c r="O129" s="41"/>
      <c r="P129" s="84"/>
      <c r="Q129" s="84"/>
      <c r="R129" s="84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5"/>
      <c r="AW129" s="66"/>
      <c r="AX129" s="66"/>
      <c r="AY129" s="106"/>
    </row>
    <row r="130" s="31" customFormat="1" spans="2:51">
      <c r="B130" s="65"/>
      <c r="C130" s="66"/>
      <c r="D130" s="66"/>
      <c r="E130" s="67"/>
      <c r="F130" s="66"/>
      <c r="G130" s="68"/>
      <c r="H130" s="66"/>
      <c r="I130" s="66"/>
      <c r="J130" s="66"/>
      <c r="K130" s="66"/>
      <c r="L130" s="84"/>
      <c r="M130" s="84"/>
      <c r="N130" s="41"/>
      <c r="O130" s="41"/>
      <c r="P130" s="84"/>
      <c r="Q130" s="84"/>
      <c r="R130" s="84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5"/>
      <c r="AW130" s="66"/>
      <c r="AX130" s="66"/>
      <c r="AY130" s="106"/>
    </row>
    <row r="131" s="31" customFormat="1" spans="2:51">
      <c r="B131" s="65"/>
      <c r="C131" s="66"/>
      <c r="D131" s="66"/>
      <c r="E131" s="67"/>
      <c r="F131" s="66"/>
      <c r="G131" s="68"/>
      <c r="H131" s="66"/>
      <c r="I131" s="66"/>
      <c r="J131" s="66"/>
      <c r="K131" s="66"/>
      <c r="L131" s="84"/>
      <c r="M131" s="84"/>
      <c r="N131" s="41"/>
      <c r="O131" s="41"/>
      <c r="P131" s="84"/>
      <c r="Q131" s="84"/>
      <c r="R131" s="84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5"/>
      <c r="AW131" s="66"/>
      <c r="AX131" s="66"/>
      <c r="AY131" s="106"/>
    </row>
    <row r="132" s="31" customFormat="1" spans="2:51">
      <c r="B132" s="65"/>
      <c r="C132" s="66"/>
      <c r="D132" s="66"/>
      <c r="E132" s="67"/>
      <c r="F132" s="66"/>
      <c r="G132" s="68"/>
      <c r="H132" s="66"/>
      <c r="I132" s="66"/>
      <c r="J132" s="66"/>
      <c r="K132" s="66"/>
      <c r="L132" s="84"/>
      <c r="M132" s="84"/>
      <c r="N132" s="41"/>
      <c r="O132" s="41"/>
      <c r="P132" s="84"/>
      <c r="Q132" s="84"/>
      <c r="R132" s="84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5"/>
      <c r="AW132" s="66"/>
      <c r="AX132" s="66"/>
      <c r="AY132" s="106"/>
    </row>
    <row r="133" s="31" customFormat="1" spans="2:51">
      <c r="B133" s="65"/>
      <c r="C133" s="66"/>
      <c r="D133" s="66"/>
      <c r="E133" s="67"/>
      <c r="F133" s="66"/>
      <c r="G133" s="68"/>
      <c r="H133" s="66"/>
      <c r="I133" s="66"/>
      <c r="J133" s="66"/>
      <c r="K133" s="66"/>
      <c r="L133" s="84"/>
      <c r="M133" s="84"/>
      <c r="N133" s="41"/>
      <c r="O133" s="41"/>
      <c r="P133" s="84"/>
      <c r="Q133" s="84"/>
      <c r="R133" s="84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5"/>
      <c r="AW133" s="66"/>
      <c r="AX133" s="66"/>
      <c r="AY133" s="106"/>
    </row>
    <row r="134" s="31" customFormat="1" spans="2:51">
      <c r="B134" s="65"/>
      <c r="C134" s="66"/>
      <c r="D134" s="66"/>
      <c r="E134" s="67"/>
      <c r="F134" s="66"/>
      <c r="G134" s="68"/>
      <c r="H134" s="66"/>
      <c r="I134" s="66"/>
      <c r="J134" s="66"/>
      <c r="K134" s="66"/>
      <c r="L134" s="84"/>
      <c r="M134" s="84"/>
      <c r="N134" s="41"/>
      <c r="O134" s="41"/>
      <c r="P134" s="84"/>
      <c r="Q134" s="84"/>
      <c r="R134" s="84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5"/>
      <c r="AW134" s="66"/>
      <c r="AX134" s="66"/>
      <c r="AY134" s="106"/>
    </row>
    <row r="135" s="31" customFormat="1" spans="2:51">
      <c r="B135" s="65"/>
      <c r="C135" s="66"/>
      <c r="D135" s="66"/>
      <c r="E135" s="67"/>
      <c r="F135" s="66"/>
      <c r="G135" s="68"/>
      <c r="H135" s="66"/>
      <c r="I135" s="66"/>
      <c r="J135" s="66"/>
      <c r="K135" s="66"/>
      <c r="L135" s="84"/>
      <c r="M135" s="84"/>
      <c r="N135" s="41"/>
      <c r="O135" s="41"/>
      <c r="P135" s="84"/>
      <c r="Q135" s="84"/>
      <c r="R135" s="84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5"/>
      <c r="AW135" s="66"/>
      <c r="AX135" s="66"/>
      <c r="AY135" s="106"/>
    </row>
    <row r="136" s="31" customFormat="1" spans="2:51">
      <c r="B136" s="65"/>
      <c r="C136" s="66"/>
      <c r="D136" s="66"/>
      <c r="E136" s="67"/>
      <c r="F136" s="66"/>
      <c r="G136" s="68"/>
      <c r="H136" s="66"/>
      <c r="I136" s="66"/>
      <c r="J136" s="66"/>
      <c r="K136" s="66"/>
      <c r="L136" s="84"/>
      <c r="M136" s="84"/>
      <c r="N136" s="41"/>
      <c r="O136" s="41"/>
      <c r="P136" s="84"/>
      <c r="Q136" s="84"/>
      <c r="R136" s="84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5"/>
      <c r="AW136" s="66"/>
      <c r="AX136" s="66"/>
      <c r="AY136" s="106"/>
    </row>
    <row r="137" s="31" customFormat="1" spans="2:51">
      <c r="B137" s="65"/>
      <c r="C137" s="66"/>
      <c r="D137" s="66"/>
      <c r="E137" s="67"/>
      <c r="F137" s="66"/>
      <c r="G137" s="68"/>
      <c r="H137" s="66"/>
      <c r="I137" s="66"/>
      <c r="J137" s="66"/>
      <c r="K137" s="66"/>
      <c r="L137" s="84"/>
      <c r="M137" s="84"/>
      <c r="N137" s="41"/>
      <c r="O137" s="41"/>
      <c r="P137" s="84"/>
      <c r="Q137" s="84"/>
      <c r="R137" s="84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5"/>
      <c r="AW137" s="66"/>
      <c r="AX137" s="66"/>
      <c r="AY137" s="106"/>
    </row>
    <row r="138" s="31" customFormat="1" spans="2:51">
      <c r="B138" s="65"/>
      <c r="C138" s="66"/>
      <c r="D138" s="66"/>
      <c r="E138" s="67"/>
      <c r="F138" s="66"/>
      <c r="G138" s="68"/>
      <c r="H138" s="66"/>
      <c r="I138" s="66"/>
      <c r="J138" s="66"/>
      <c r="K138" s="66"/>
      <c r="L138" s="84"/>
      <c r="M138" s="84"/>
      <c r="N138" s="41"/>
      <c r="O138" s="41"/>
      <c r="P138" s="84"/>
      <c r="Q138" s="84"/>
      <c r="R138" s="84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5"/>
      <c r="AW138" s="66"/>
      <c r="AX138" s="66"/>
      <c r="AY138" s="106"/>
    </row>
    <row r="139" s="31" customFormat="1" spans="2:51">
      <c r="B139" s="65"/>
      <c r="C139" s="66"/>
      <c r="D139" s="66"/>
      <c r="E139" s="67"/>
      <c r="F139" s="66"/>
      <c r="G139" s="68"/>
      <c r="H139" s="66"/>
      <c r="I139" s="66"/>
      <c r="J139" s="66"/>
      <c r="K139" s="66"/>
      <c r="L139" s="84"/>
      <c r="M139" s="84"/>
      <c r="N139" s="41"/>
      <c r="O139" s="41"/>
      <c r="P139" s="84"/>
      <c r="Q139" s="84"/>
      <c r="R139" s="84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5"/>
      <c r="AW139" s="66"/>
      <c r="AX139" s="66"/>
      <c r="AY139" s="106"/>
    </row>
    <row r="140" s="31" customFormat="1" spans="2:51">
      <c r="B140" s="65"/>
      <c r="C140" s="66"/>
      <c r="D140" s="66"/>
      <c r="E140" s="67"/>
      <c r="F140" s="66"/>
      <c r="G140" s="68"/>
      <c r="H140" s="66"/>
      <c r="I140" s="66"/>
      <c r="J140" s="66"/>
      <c r="K140" s="66"/>
      <c r="L140" s="84"/>
      <c r="M140" s="84"/>
      <c r="N140" s="41"/>
      <c r="O140" s="41"/>
      <c r="P140" s="84"/>
      <c r="Q140" s="84"/>
      <c r="R140" s="84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5"/>
      <c r="AW140" s="66"/>
      <c r="AX140" s="66"/>
      <c r="AY140" s="106"/>
    </row>
    <row r="141" s="31" customFormat="1" spans="2:51">
      <c r="B141" s="65"/>
      <c r="C141" s="66"/>
      <c r="D141" s="66"/>
      <c r="E141" s="67"/>
      <c r="F141" s="66"/>
      <c r="G141" s="68"/>
      <c r="H141" s="66"/>
      <c r="I141" s="66"/>
      <c r="J141" s="66"/>
      <c r="K141" s="66"/>
      <c r="L141" s="84"/>
      <c r="M141" s="84"/>
      <c r="N141" s="41"/>
      <c r="O141" s="41"/>
      <c r="P141" s="84"/>
      <c r="Q141" s="84"/>
      <c r="R141" s="84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5"/>
      <c r="AW141" s="66"/>
      <c r="AX141" s="66"/>
      <c r="AY141" s="106"/>
    </row>
    <row r="142" s="31" customFormat="1" spans="2:51">
      <c r="B142" s="65"/>
      <c r="C142" s="66"/>
      <c r="D142" s="66"/>
      <c r="E142" s="67"/>
      <c r="F142" s="66"/>
      <c r="G142" s="68"/>
      <c r="H142" s="66"/>
      <c r="I142" s="66"/>
      <c r="J142" s="66"/>
      <c r="K142" s="66"/>
      <c r="L142" s="84"/>
      <c r="M142" s="84"/>
      <c r="N142" s="41"/>
      <c r="O142" s="41"/>
      <c r="P142" s="84"/>
      <c r="Q142" s="84"/>
      <c r="R142" s="84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5"/>
      <c r="AW142" s="66"/>
      <c r="AX142" s="66"/>
      <c r="AY142" s="106"/>
    </row>
    <row r="143" s="31" customFormat="1" spans="2:51">
      <c r="B143" s="65"/>
      <c r="C143" s="66"/>
      <c r="D143" s="66"/>
      <c r="E143" s="67"/>
      <c r="F143" s="66"/>
      <c r="G143" s="68"/>
      <c r="H143" s="66"/>
      <c r="I143" s="66"/>
      <c r="J143" s="66"/>
      <c r="K143" s="66"/>
      <c r="L143" s="84"/>
      <c r="M143" s="84"/>
      <c r="N143" s="41"/>
      <c r="O143" s="41"/>
      <c r="P143" s="84"/>
      <c r="Q143" s="84"/>
      <c r="R143" s="84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5"/>
      <c r="AW143" s="66"/>
      <c r="AX143" s="66"/>
      <c r="AY143" s="106"/>
    </row>
    <row r="144" s="31" customFormat="1" spans="2:51">
      <c r="B144" s="65"/>
      <c r="C144" s="66"/>
      <c r="D144" s="66"/>
      <c r="E144" s="67"/>
      <c r="F144" s="66"/>
      <c r="G144" s="68"/>
      <c r="H144" s="66"/>
      <c r="I144" s="66"/>
      <c r="J144" s="66"/>
      <c r="K144" s="66"/>
      <c r="L144" s="84"/>
      <c r="M144" s="84"/>
      <c r="N144" s="41"/>
      <c r="O144" s="41"/>
      <c r="P144" s="84"/>
      <c r="Q144" s="84"/>
      <c r="R144" s="84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5"/>
      <c r="AW144" s="66"/>
      <c r="AX144" s="66"/>
      <c r="AY144" s="106"/>
    </row>
    <row r="145" s="31" customFormat="1" spans="2:51">
      <c r="B145" s="65"/>
      <c r="C145" s="66"/>
      <c r="D145" s="66"/>
      <c r="E145" s="67"/>
      <c r="F145" s="66"/>
      <c r="G145" s="68"/>
      <c r="H145" s="66"/>
      <c r="I145" s="66"/>
      <c r="J145" s="66"/>
      <c r="K145" s="66"/>
      <c r="L145" s="84"/>
      <c r="M145" s="84"/>
      <c r="N145" s="41"/>
      <c r="O145" s="41"/>
      <c r="P145" s="84"/>
      <c r="Q145" s="84"/>
      <c r="R145" s="84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5"/>
      <c r="AW145" s="66"/>
      <c r="AX145" s="66"/>
      <c r="AY145" s="106"/>
    </row>
    <row r="146" s="31" customFormat="1" spans="2:51">
      <c r="B146" s="65"/>
      <c r="C146" s="66"/>
      <c r="D146" s="66"/>
      <c r="E146" s="67"/>
      <c r="F146" s="66"/>
      <c r="G146" s="68"/>
      <c r="H146" s="66"/>
      <c r="I146" s="66"/>
      <c r="J146" s="66"/>
      <c r="K146" s="66"/>
      <c r="L146" s="84"/>
      <c r="M146" s="84"/>
      <c r="N146" s="41"/>
      <c r="O146" s="41"/>
      <c r="P146" s="84"/>
      <c r="Q146" s="84"/>
      <c r="R146" s="84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5"/>
      <c r="AW146" s="66"/>
      <c r="AX146" s="66"/>
      <c r="AY146" s="106"/>
    </row>
    <row r="147" s="31" customFormat="1" spans="2:51">
      <c r="B147" s="65"/>
      <c r="C147" s="66"/>
      <c r="D147" s="66"/>
      <c r="E147" s="67"/>
      <c r="F147" s="66"/>
      <c r="G147" s="68"/>
      <c r="H147" s="66"/>
      <c r="I147" s="66"/>
      <c r="J147" s="66"/>
      <c r="K147" s="66"/>
      <c r="L147" s="84"/>
      <c r="M147" s="84"/>
      <c r="N147" s="41"/>
      <c r="O147" s="41"/>
      <c r="P147" s="84"/>
      <c r="Q147" s="84"/>
      <c r="R147" s="84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5"/>
      <c r="AW147" s="66"/>
      <c r="AX147" s="66"/>
      <c r="AY147" s="106"/>
    </row>
    <row r="148" s="31" customFormat="1" spans="2:51">
      <c r="B148" s="65"/>
      <c r="C148" s="66"/>
      <c r="D148" s="66"/>
      <c r="E148" s="67"/>
      <c r="F148" s="66"/>
      <c r="G148" s="68"/>
      <c r="H148" s="66"/>
      <c r="I148" s="66"/>
      <c r="J148" s="66"/>
      <c r="K148" s="66"/>
      <c r="L148" s="84"/>
      <c r="M148" s="84"/>
      <c r="N148" s="41"/>
      <c r="O148" s="41"/>
      <c r="P148" s="84"/>
      <c r="Q148" s="84"/>
      <c r="R148" s="84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5"/>
      <c r="AW148" s="66"/>
      <c r="AX148" s="66"/>
      <c r="AY148" s="106"/>
    </row>
    <row r="149" s="31" customFormat="1" spans="2:51">
      <c r="B149" s="65"/>
      <c r="C149" s="66"/>
      <c r="D149" s="66"/>
      <c r="E149" s="67"/>
      <c r="F149" s="66"/>
      <c r="G149" s="68"/>
      <c r="H149" s="66"/>
      <c r="I149" s="66"/>
      <c r="J149" s="66"/>
      <c r="K149" s="66"/>
      <c r="L149" s="84"/>
      <c r="M149" s="84"/>
      <c r="N149" s="41"/>
      <c r="O149" s="41"/>
      <c r="P149" s="84"/>
      <c r="Q149" s="84"/>
      <c r="R149" s="84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5"/>
      <c r="AW149" s="66"/>
      <c r="AX149" s="66"/>
      <c r="AY149" s="106"/>
    </row>
    <row r="150" s="31" customFormat="1" spans="2:51">
      <c r="B150" s="65"/>
      <c r="C150" s="66"/>
      <c r="D150" s="66"/>
      <c r="E150" s="67"/>
      <c r="F150" s="66"/>
      <c r="G150" s="68"/>
      <c r="H150" s="66"/>
      <c r="I150" s="66"/>
      <c r="J150" s="66"/>
      <c r="K150" s="66"/>
      <c r="L150" s="84"/>
      <c r="M150" s="84"/>
      <c r="N150" s="41"/>
      <c r="O150" s="41"/>
      <c r="P150" s="84"/>
      <c r="Q150" s="84"/>
      <c r="R150" s="84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5"/>
      <c r="AW150" s="66"/>
      <c r="AX150" s="66"/>
      <c r="AY150" s="106"/>
    </row>
    <row r="151" s="31" customFormat="1" spans="2:51">
      <c r="B151" s="65"/>
      <c r="C151" s="66"/>
      <c r="D151" s="66"/>
      <c r="E151" s="67"/>
      <c r="F151" s="66"/>
      <c r="G151" s="68"/>
      <c r="H151" s="66"/>
      <c r="I151" s="66"/>
      <c r="J151" s="66"/>
      <c r="K151" s="66"/>
      <c r="L151" s="84"/>
      <c r="M151" s="84"/>
      <c r="N151" s="41"/>
      <c r="O151" s="41"/>
      <c r="P151" s="84"/>
      <c r="Q151" s="84"/>
      <c r="R151" s="84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5"/>
      <c r="AW151" s="66"/>
      <c r="AX151" s="66"/>
      <c r="AY151" s="106"/>
    </row>
    <row r="152" s="31" customFormat="1" spans="2:51">
      <c r="B152" s="65"/>
      <c r="C152" s="66"/>
      <c r="D152" s="66"/>
      <c r="E152" s="67"/>
      <c r="F152" s="66"/>
      <c r="G152" s="68"/>
      <c r="H152" s="66"/>
      <c r="I152" s="66"/>
      <c r="J152" s="66"/>
      <c r="K152" s="66"/>
      <c r="L152" s="84"/>
      <c r="M152" s="84"/>
      <c r="N152" s="41"/>
      <c r="O152" s="41"/>
      <c r="P152" s="84"/>
      <c r="Q152" s="84"/>
      <c r="R152" s="84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5"/>
      <c r="AW152" s="66"/>
      <c r="AX152" s="66"/>
      <c r="AY152" s="106"/>
    </row>
    <row r="153" s="31" customFormat="1" spans="2:51">
      <c r="B153" s="65"/>
      <c r="C153" s="66"/>
      <c r="D153" s="66"/>
      <c r="E153" s="67"/>
      <c r="F153" s="66"/>
      <c r="G153" s="68"/>
      <c r="H153" s="66"/>
      <c r="I153" s="66"/>
      <c r="J153" s="66"/>
      <c r="K153" s="66"/>
      <c r="L153" s="84"/>
      <c r="M153" s="84"/>
      <c r="N153" s="41"/>
      <c r="O153" s="41"/>
      <c r="P153" s="84"/>
      <c r="Q153" s="84"/>
      <c r="R153" s="84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5"/>
      <c r="AW153" s="66"/>
      <c r="AX153" s="66"/>
      <c r="AY153" s="106"/>
    </row>
    <row r="154" s="31" customFormat="1" spans="2:51">
      <c r="B154" s="65"/>
      <c r="C154" s="66"/>
      <c r="D154" s="66"/>
      <c r="E154" s="67"/>
      <c r="F154" s="66"/>
      <c r="G154" s="68"/>
      <c r="H154" s="66"/>
      <c r="I154" s="66"/>
      <c r="J154" s="66"/>
      <c r="K154" s="66"/>
      <c r="L154" s="84"/>
      <c r="M154" s="84"/>
      <c r="N154" s="41"/>
      <c r="O154" s="41"/>
      <c r="P154" s="84"/>
      <c r="Q154" s="84"/>
      <c r="R154" s="84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5"/>
      <c r="AW154" s="66"/>
      <c r="AX154" s="66"/>
      <c r="AY154" s="106"/>
    </row>
    <row r="155" s="31" customFormat="1" spans="2:51">
      <c r="B155" s="65"/>
      <c r="C155" s="66"/>
      <c r="D155" s="66"/>
      <c r="E155" s="67"/>
      <c r="F155" s="66"/>
      <c r="G155" s="68"/>
      <c r="H155" s="66"/>
      <c r="I155" s="66"/>
      <c r="J155" s="66"/>
      <c r="K155" s="66"/>
      <c r="L155" s="84"/>
      <c r="M155" s="84"/>
      <c r="N155" s="41"/>
      <c r="O155" s="41"/>
      <c r="P155" s="84"/>
      <c r="Q155" s="84"/>
      <c r="R155" s="84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5"/>
      <c r="AW155" s="66"/>
      <c r="AX155" s="66"/>
      <c r="AY155" s="106"/>
    </row>
    <row r="156" s="31" customFormat="1" spans="2:51">
      <c r="B156" s="65"/>
      <c r="C156" s="66"/>
      <c r="D156" s="66"/>
      <c r="E156" s="67"/>
      <c r="F156" s="66"/>
      <c r="G156" s="68"/>
      <c r="H156" s="66"/>
      <c r="I156" s="66"/>
      <c r="J156" s="66"/>
      <c r="K156" s="66"/>
      <c r="L156" s="84"/>
      <c r="M156" s="84"/>
      <c r="N156" s="41"/>
      <c r="O156" s="41"/>
      <c r="P156" s="84"/>
      <c r="Q156" s="84"/>
      <c r="R156" s="84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5"/>
      <c r="AW156" s="66"/>
      <c r="AX156" s="66"/>
      <c r="AY156" s="106"/>
    </row>
    <row r="157" s="31" customFormat="1" spans="2:51">
      <c r="B157" s="65"/>
      <c r="C157" s="66"/>
      <c r="D157" s="66"/>
      <c r="E157" s="67"/>
      <c r="F157" s="66"/>
      <c r="G157" s="68"/>
      <c r="H157" s="66"/>
      <c r="I157" s="66"/>
      <c r="J157" s="66"/>
      <c r="K157" s="66"/>
      <c r="L157" s="84"/>
      <c r="M157" s="84"/>
      <c r="N157" s="41"/>
      <c r="O157" s="41"/>
      <c r="P157" s="84"/>
      <c r="Q157" s="84"/>
      <c r="R157" s="84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5"/>
      <c r="AW157" s="66"/>
      <c r="AX157" s="66"/>
      <c r="AY157" s="106"/>
    </row>
    <row r="158" s="31" customFormat="1" spans="2:51">
      <c r="B158" s="65"/>
      <c r="C158" s="66"/>
      <c r="D158" s="66"/>
      <c r="E158" s="67"/>
      <c r="F158" s="66"/>
      <c r="G158" s="68"/>
      <c r="H158" s="66"/>
      <c r="I158" s="66"/>
      <c r="J158" s="66"/>
      <c r="K158" s="66"/>
      <c r="L158" s="84"/>
      <c r="M158" s="84"/>
      <c r="N158" s="41"/>
      <c r="O158" s="41"/>
      <c r="P158" s="84"/>
      <c r="Q158" s="84"/>
      <c r="R158" s="84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5"/>
      <c r="AW158" s="66"/>
      <c r="AX158" s="66"/>
      <c r="AY158" s="106"/>
    </row>
    <row r="159" s="31" customFormat="1" spans="2:51">
      <c r="B159" s="65"/>
      <c r="C159" s="66"/>
      <c r="D159" s="66"/>
      <c r="E159" s="67"/>
      <c r="F159" s="66"/>
      <c r="G159" s="68"/>
      <c r="H159" s="66"/>
      <c r="I159" s="66"/>
      <c r="J159" s="66"/>
      <c r="K159" s="66"/>
      <c r="L159" s="84"/>
      <c r="M159" s="84"/>
      <c r="N159" s="41"/>
      <c r="O159" s="41"/>
      <c r="P159" s="84"/>
      <c r="Q159" s="84"/>
      <c r="R159" s="84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5"/>
      <c r="AW159" s="66"/>
      <c r="AX159" s="66"/>
      <c r="AY159" s="106"/>
    </row>
    <row r="160" s="31" customFormat="1" spans="2:51">
      <c r="B160" s="65"/>
      <c r="C160" s="66"/>
      <c r="D160" s="66"/>
      <c r="E160" s="67"/>
      <c r="F160" s="66"/>
      <c r="G160" s="68"/>
      <c r="H160" s="66"/>
      <c r="I160" s="66"/>
      <c r="J160" s="66"/>
      <c r="K160" s="66"/>
      <c r="L160" s="84"/>
      <c r="M160" s="84"/>
      <c r="N160" s="41"/>
      <c r="O160" s="41"/>
      <c r="P160" s="84"/>
      <c r="Q160" s="84"/>
      <c r="R160" s="84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5"/>
      <c r="AW160" s="66"/>
      <c r="AX160" s="66"/>
      <c r="AY160" s="106"/>
    </row>
    <row r="161" s="31" customFormat="1" spans="2:51">
      <c r="B161" s="65"/>
      <c r="C161" s="66"/>
      <c r="D161" s="66"/>
      <c r="E161" s="67"/>
      <c r="F161" s="66"/>
      <c r="G161" s="68"/>
      <c r="H161" s="66"/>
      <c r="I161" s="66"/>
      <c r="J161" s="66"/>
      <c r="K161" s="66"/>
      <c r="L161" s="84"/>
      <c r="M161" s="84"/>
      <c r="N161" s="41"/>
      <c r="O161" s="41"/>
      <c r="P161" s="84"/>
      <c r="Q161" s="84"/>
      <c r="R161" s="84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5"/>
      <c r="AW161" s="66"/>
      <c r="AX161" s="66"/>
      <c r="AY161" s="106"/>
    </row>
    <row r="162" s="31" customFormat="1" spans="2:51">
      <c r="B162" s="65"/>
      <c r="C162" s="66"/>
      <c r="D162" s="66"/>
      <c r="E162" s="67"/>
      <c r="F162" s="66"/>
      <c r="G162" s="68"/>
      <c r="H162" s="66"/>
      <c r="I162" s="66"/>
      <c r="J162" s="66"/>
      <c r="K162" s="66"/>
      <c r="L162" s="84"/>
      <c r="M162" s="84"/>
      <c r="N162" s="41"/>
      <c r="O162" s="41"/>
      <c r="P162" s="84"/>
      <c r="Q162" s="84"/>
      <c r="R162" s="84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5"/>
      <c r="AW162" s="66"/>
      <c r="AX162" s="66"/>
      <c r="AY162" s="106"/>
    </row>
    <row r="163" s="31" customFormat="1" spans="2:51">
      <c r="B163" s="65"/>
      <c r="C163" s="66"/>
      <c r="D163" s="66"/>
      <c r="E163" s="67"/>
      <c r="F163" s="66"/>
      <c r="G163" s="68"/>
      <c r="H163" s="66"/>
      <c r="I163" s="66"/>
      <c r="J163" s="66"/>
      <c r="K163" s="66"/>
      <c r="L163" s="84"/>
      <c r="M163" s="84"/>
      <c r="N163" s="41"/>
      <c r="O163" s="41"/>
      <c r="P163" s="84"/>
      <c r="Q163" s="84"/>
      <c r="R163" s="84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5"/>
      <c r="AW163" s="66"/>
      <c r="AX163" s="66"/>
      <c r="AY163" s="106"/>
    </row>
    <row r="164" s="31" customFormat="1" spans="2:51">
      <c r="B164" s="65"/>
      <c r="C164" s="66"/>
      <c r="D164" s="66"/>
      <c r="E164" s="67"/>
      <c r="F164" s="66"/>
      <c r="G164" s="68"/>
      <c r="H164" s="66"/>
      <c r="I164" s="66"/>
      <c r="J164" s="66"/>
      <c r="K164" s="66"/>
      <c r="L164" s="84"/>
      <c r="M164" s="84"/>
      <c r="N164" s="41"/>
      <c r="O164" s="41"/>
      <c r="P164" s="84"/>
      <c r="Q164" s="84"/>
      <c r="R164" s="84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5"/>
      <c r="AW164" s="66"/>
      <c r="AX164" s="66"/>
      <c r="AY164" s="106"/>
    </row>
    <row r="165" s="31" customFormat="1" spans="2:51">
      <c r="B165" s="65"/>
      <c r="C165" s="66"/>
      <c r="D165" s="66"/>
      <c r="E165" s="67"/>
      <c r="F165" s="66"/>
      <c r="G165" s="68"/>
      <c r="H165" s="66"/>
      <c r="I165" s="66"/>
      <c r="J165" s="66"/>
      <c r="K165" s="66"/>
      <c r="L165" s="84"/>
      <c r="M165" s="84"/>
      <c r="N165" s="41"/>
      <c r="O165" s="41"/>
      <c r="P165" s="84"/>
      <c r="Q165" s="84"/>
      <c r="R165" s="84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5"/>
      <c r="AW165" s="66"/>
      <c r="AX165" s="66"/>
      <c r="AY165" s="106"/>
    </row>
    <row r="166" s="31" customFormat="1" spans="2:51">
      <c r="B166" s="65"/>
      <c r="C166" s="66"/>
      <c r="D166" s="66"/>
      <c r="E166" s="67"/>
      <c r="F166" s="66"/>
      <c r="G166" s="68"/>
      <c r="H166" s="66"/>
      <c r="I166" s="66"/>
      <c r="J166" s="66"/>
      <c r="K166" s="66"/>
      <c r="L166" s="84"/>
      <c r="M166" s="84"/>
      <c r="N166" s="41"/>
      <c r="O166" s="41"/>
      <c r="P166" s="84"/>
      <c r="Q166" s="84"/>
      <c r="R166" s="84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5"/>
      <c r="AW166" s="66"/>
      <c r="AX166" s="66"/>
      <c r="AY166" s="106"/>
    </row>
    <row r="167" s="31" customFormat="1" spans="2:51">
      <c r="B167" s="65"/>
      <c r="C167" s="66"/>
      <c r="D167" s="66"/>
      <c r="E167" s="67"/>
      <c r="F167" s="66"/>
      <c r="G167" s="68"/>
      <c r="H167" s="66"/>
      <c r="I167" s="66"/>
      <c r="J167" s="66"/>
      <c r="K167" s="66"/>
      <c r="L167" s="84"/>
      <c r="M167" s="84"/>
      <c r="N167" s="41"/>
      <c r="O167" s="41"/>
      <c r="P167" s="84"/>
      <c r="Q167" s="84"/>
      <c r="R167" s="84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5"/>
      <c r="AW167" s="66"/>
      <c r="AX167" s="66"/>
      <c r="AY167" s="106"/>
    </row>
    <row r="168" s="31" customFormat="1" spans="2:51">
      <c r="B168" s="65"/>
      <c r="C168" s="66"/>
      <c r="D168" s="66"/>
      <c r="E168" s="67"/>
      <c r="F168" s="66"/>
      <c r="G168" s="68"/>
      <c r="H168" s="66"/>
      <c r="I168" s="66"/>
      <c r="J168" s="66"/>
      <c r="K168" s="66"/>
      <c r="L168" s="84"/>
      <c r="M168" s="84"/>
      <c r="N168" s="41"/>
      <c r="O168" s="41"/>
      <c r="P168" s="84"/>
      <c r="Q168" s="84"/>
      <c r="R168" s="84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5"/>
      <c r="AW168" s="66"/>
      <c r="AX168" s="66"/>
      <c r="AY168" s="106"/>
    </row>
    <row r="169" s="31" customFormat="1" spans="2:51">
      <c r="B169" s="65"/>
      <c r="C169" s="66"/>
      <c r="D169" s="66"/>
      <c r="E169" s="67"/>
      <c r="F169" s="66"/>
      <c r="G169" s="68"/>
      <c r="H169" s="66"/>
      <c r="I169" s="66"/>
      <c r="J169" s="66"/>
      <c r="K169" s="66"/>
      <c r="L169" s="84"/>
      <c r="M169" s="84"/>
      <c r="N169" s="41"/>
      <c r="O169" s="41"/>
      <c r="P169" s="84"/>
      <c r="Q169" s="84"/>
      <c r="R169" s="84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5"/>
      <c r="AW169" s="66"/>
      <c r="AX169" s="66"/>
      <c r="AY169" s="106"/>
    </row>
    <row r="170" s="31" customFormat="1" spans="2:51">
      <c r="B170" s="65"/>
      <c r="C170" s="66"/>
      <c r="D170" s="66"/>
      <c r="E170" s="67"/>
      <c r="F170" s="66"/>
      <c r="G170" s="68"/>
      <c r="H170" s="66"/>
      <c r="I170" s="66"/>
      <c r="J170" s="66"/>
      <c r="K170" s="66"/>
      <c r="L170" s="84"/>
      <c r="M170" s="84"/>
      <c r="N170" s="41"/>
      <c r="O170" s="41"/>
      <c r="P170" s="84"/>
      <c r="Q170" s="84"/>
      <c r="R170" s="84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5"/>
      <c r="AW170" s="66"/>
      <c r="AX170" s="66"/>
      <c r="AY170" s="106"/>
    </row>
    <row r="171" s="31" customFormat="1" spans="2:51">
      <c r="B171" s="65"/>
      <c r="C171" s="66"/>
      <c r="D171" s="66"/>
      <c r="E171" s="67"/>
      <c r="F171" s="66"/>
      <c r="G171" s="68"/>
      <c r="H171" s="66"/>
      <c r="I171" s="66"/>
      <c r="J171" s="66"/>
      <c r="K171" s="66"/>
      <c r="L171" s="84"/>
      <c r="M171" s="84"/>
      <c r="N171" s="41"/>
      <c r="O171" s="41"/>
      <c r="P171" s="84"/>
      <c r="Q171" s="84"/>
      <c r="R171" s="84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5"/>
      <c r="AW171" s="66"/>
      <c r="AX171" s="66"/>
      <c r="AY171" s="106"/>
    </row>
    <row r="172" s="31" customFormat="1" spans="2:51">
      <c r="B172" s="65"/>
      <c r="C172" s="66"/>
      <c r="D172" s="66"/>
      <c r="E172" s="67"/>
      <c r="F172" s="66"/>
      <c r="G172" s="68"/>
      <c r="H172" s="66"/>
      <c r="I172" s="66"/>
      <c r="J172" s="66"/>
      <c r="K172" s="66"/>
      <c r="L172" s="84"/>
      <c r="M172" s="84"/>
      <c r="N172" s="41"/>
      <c r="O172" s="41"/>
      <c r="P172" s="84"/>
      <c r="Q172" s="84"/>
      <c r="R172" s="84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5"/>
      <c r="AW172" s="66"/>
      <c r="AX172" s="66"/>
      <c r="AY172" s="106"/>
    </row>
    <row r="173" s="31" customFormat="1" spans="2:51">
      <c r="B173" s="65"/>
      <c r="C173" s="66"/>
      <c r="D173" s="66"/>
      <c r="E173" s="67"/>
      <c r="F173" s="66"/>
      <c r="G173" s="68"/>
      <c r="H173" s="66"/>
      <c r="I173" s="66"/>
      <c r="J173" s="66"/>
      <c r="K173" s="66"/>
      <c r="L173" s="84"/>
      <c r="M173" s="84"/>
      <c r="N173" s="41"/>
      <c r="O173" s="41"/>
      <c r="P173" s="84"/>
      <c r="Q173" s="84"/>
      <c r="R173" s="84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5"/>
      <c r="AW173" s="66"/>
      <c r="AX173" s="66"/>
      <c r="AY173" s="106"/>
    </row>
    <row r="174" s="31" customFormat="1" spans="2:51">
      <c r="B174" s="65"/>
      <c r="C174" s="66"/>
      <c r="D174" s="66"/>
      <c r="E174" s="67"/>
      <c r="F174" s="66"/>
      <c r="G174" s="68"/>
      <c r="H174" s="66"/>
      <c r="I174" s="66"/>
      <c r="J174" s="66"/>
      <c r="K174" s="66"/>
      <c r="L174" s="84"/>
      <c r="M174" s="84"/>
      <c r="N174" s="41"/>
      <c r="O174" s="41"/>
      <c r="P174" s="84"/>
      <c r="Q174" s="84"/>
      <c r="R174" s="84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5"/>
      <c r="AW174" s="66"/>
      <c r="AX174" s="66"/>
      <c r="AY174" s="106"/>
    </row>
    <row r="175" s="31" customFormat="1" spans="2:51">
      <c r="B175" s="65"/>
      <c r="C175" s="66"/>
      <c r="D175" s="66"/>
      <c r="E175" s="67"/>
      <c r="F175" s="66"/>
      <c r="G175" s="68"/>
      <c r="H175" s="66"/>
      <c r="I175" s="66"/>
      <c r="J175" s="66"/>
      <c r="K175" s="66"/>
      <c r="L175" s="84"/>
      <c r="M175" s="84"/>
      <c r="N175" s="41"/>
      <c r="O175" s="41"/>
      <c r="P175" s="84"/>
      <c r="Q175" s="84"/>
      <c r="R175" s="84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5"/>
      <c r="AW175" s="66"/>
      <c r="AX175" s="66"/>
      <c r="AY175" s="106"/>
    </row>
    <row r="176" s="31" customFormat="1" spans="2:51">
      <c r="B176" s="65"/>
      <c r="C176" s="66"/>
      <c r="D176" s="66"/>
      <c r="E176" s="67"/>
      <c r="F176" s="66"/>
      <c r="G176" s="68"/>
      <c r="H176" s="66"/>
      <c r="I176" s="66"/>
      <c r="J176" s="66"/>
      <c r="K176" s="66"/>
      <c r="L176" s="84"/>
      <c r="M176" s="84"/>
      <c r="N176" s="41"/>
      <c r="O176" s="41"/>
      <c r="P176" s="84"/>
      <c r="Q176" s="84"/>
      <c r="R176" s="84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5"/>
      <c r="AW176" s="66"/>
      <c r="AX176" s="66"/>
      <c r="AY176" s="106"/>
    </row>
    <row r="177" s="31" customFormat="1" spans="2:51">
      <c r="B177" s="65"/>
      <c r="C177" s="66"/>
      <c r="D177" s="66"/>
      <c r="E177" s="67"/>
      <c r="F177" s="66"/>
      <c r="G177" s="68"/>
      <c r="H177" s="66"/>
      <c r="I177" s="66"/>
      <c r="J177" s="66"/>
      <c r="K177" s="66"/>
      <c r="L177" s="84"/>
      <c r="M177" s="84"/>
      <c r="N177" s="41"/>
      <c r="O177" s="41"/>
      <c r="P177" s="84"/>
      <c r="Q177" s="84"/>
      <c r="R177" s="84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5"/>
      <c r="AW177" s="66"/>
      <c r="AX177" s="66"/>
      <c r="AY177" s="106"/>
    </row>
    <row r="178" s="31" customFormat="1" spans="2:51">
      <c r="B178" s="65"/>
      <c r="C178" s="66"/>
      <c r="D178" s="66"/>
      <c r="E178" s="67"/>
      <c r="F178" s="66"/>
      <c r="G178" s="68"/>
      <c r="H178" s="66"/>
      <c r="I178" s="66"/>
      <c r="J178" s="66"/>
      <c r="K178" s="66"/>
      <c r="L178" s="84"/>
      <c r="M178" s="84"/>
      <c r="N178" s="41"/>
      <c r="O178" s="41"/>
      <c r="P178" s="84"/>
      <c r="Q178" s="84"/>
      <c r="R178" s="84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5"/>
      <c r="AW178" s="66"/>
      <c r="AX178" s="66"/>
      <c r="AY178" s="106"/>
    </row>
    <row r="179" s="31" customFormat="1" spans="2:51">
      <c r="B179" s="65"/>
      <c r="C179" s="66"/>
      <c r="D179" s="66"/>
      <c r="E179" s="67"/>
      <c r="F179" s="66"/>
      <c r="G179" s="68"/>
      <c r="H179" s="66"/>
      <c r="I179" s="66"/>
      <c r="J179" s="66"/>
      <c r="K179" s="66"/>
      <c r="L179" s="84"/>
      <c r="M179" s="84"/>
      <c r="N179" s="41"/>
      <c r="O179" s="41"/>
      <c r="P179" s="84"/>
      <c r="Q179" s="84"/>
      <c r="R179" s="84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5"/>
      <c r="AW179" s="66"/>
      <c r="AX179" s="66"/>
      <c r="AY179" s="106"/>
    </row>
    <row r="180" s="31" customFormat="1" spans="2:51">
      <c r="B180" s="65"/>
      <c r="C180" s="66"/>
      <c r="D180" s="66"/>
      <c r="E180" s="67"/>
      <c r="F180" s="66"/>
      <c r="G180" s="68"/>
      <c r="H180" s="66"/>
      <c r="I180" s="66"/>
      <c r="J180" s="66"/>
      <c r="K180" s="66"/>
      <c r="L180" s="84"/>
      <c r="M180" s="84"/>
      <c r="N180" s="41"/>
      <c r="O180" s="41"/>
      <c r="P180" s="84"/>
      <c r="Q180" s="84"/>
      <c r="R180" s="84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5"/>
      <c r="AW180" s="66"/>
      <c r="AX180" s="66"/>
      <c r="AY180" s="106"/>
    </row>
    <row r="181" s="31" customFormat="1" spans="2:51">
      <c r="B181" s="65"/>
      <c r="C181" s="66"/>
      <c r="D181" s="66"/>
      <c r="E181" s="67"/>
      <c r="F181" s="66"/>
      <c r="G181" s="68"/>
      <c r="H181" s="66"/>
      <c r="I181" s="66"/>
      <c r="J181" s="66"/>
      <c r="K181" s="66"/>
      <c r="L181" s="84"/>
      <c r="M181" s="84"/>
      <c r="N181" s="41"/>
      <c r="O181" s="41"/>
      <c r="P181" s="84"/>
      <c r="Q181" s="84"/>
      <c r="R181" s="84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5"/>
      <c r="AW181" s="66"/>
      <c r="AX181" s="66"/>
      <c r="AY181" s="106"/>
    </row>
    <row r="182" s="31" customFormat="1" spans="2:51">
      <c r="B182" s="65"/>
      <c r="C182" s="66"/>
      <c r="D182" s="66"/>
      <c r="E182" s="67"/>
      <c r="F182" s="66"/>
      <c r="G182" s="68"/>
      <c r="H182" s="66"/>
      <c r="I182" s="66"/>
      <c r="J182" s="66"/>
      <c r="K182" s="66"/>
      <c r="L182" s="84"/>
      <c r="M182" s="84"/>
      <c r="N182" s="41"/>
      <c r="O182" s="41"/>
      <c r="P182" s="84"/>
      <c r="Q182" s="84"/>
      <c r="R182" s="84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5"/>
      <c r="AW182" s="66"/>
      <c r="AX182" s="66"/>
      <c r="AY182" s="106"/>
    </row>
    <row r="183" s="31" customFormat="1" spans="2:51">
      <c r="B183" s="65"/>
      <c r="C183" s="66"/>
      <c r="D183" s="66"/>
      <c r="E183" s="67"/>
      <c r="F183" s="66"/>
      <c r="G183" s="68"/>
      <c r="H183" s="66"/>
      <c r="I183" s="66"/>
      <c r="J183" s="66"/>
      <c r="K183" s="66"/>
      <c r="L183" s="84"/>
      <c r="M183" s="84"/>
      <c r="N183" s="41"/>
      <c r="O183" s="41"/>
      <c r="P183" s="84"/>
      <c r="Q183" s="84"/>
      <c r="R183" s="84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5"/>
      <c r="AW183" s="66"/>
      <c r="AX183" s="66"/>
      <c r="AY183" s="106"/>
    </row>
    <row r="184" s="31" customFormat="1" spans="2:51">
      <c r="B184" s="65"/>
      <c r="C184" s="66"/>
      <c r="D184" s="66"/>
      <c r="E184" s="67"/>
      <c r="F184" s="66"/>
      <c r="G184" s="68"/>
      <c r="H184" s="66"/>
      <c r="I184" s="66"/>
      <c r="J184" s="66"/>
      <c r="K184" s="66"/>
      <c r="L184" s="84"/>
      <c r="M184" s="84"/>
      <c r="N184" s="41"/>
      <c r="O184" s="41"/>
      <c r="P184" s="84"/>
      <c r="Q184" s="84"/>
      <c r="R184" s="84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5"/>
      <c r="AW184" s="66"/>
      <c r="AX184" s="66"/>
      <c r="AY184" s="106"/>
    </row>
    <row r="185" s="31" customFormat="1" spans="2:51">
      <c r="B185" s="65"/>
      <c r="C185" s="66"/>
      <c r="D185" s="66"/>
      <c r="E185" s="67"/>
      <c r="F185" s="66"/>
      <c r="G185" s="68"/>
      <c r="H185" s="66"/>
      <c r="I185" s="66"/>
      <c r="J185" s="66"/>
      <c r="K185" s="66"/>
      <c r="L185" s="84"/>
      <c r="M185" s="84"/>
      <c r="N185" s="41"/>
      <c r="O185" s="41"/>
      <c r="P185" s="84"/>
      <c r="Q185" s="84"/>
      <c r="R185" s="84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5"/>
      <c r="AW185" s="66"/>
      <c r="AX185" s="66"/>
      <c r="AY185" s="106"/>
    </row>
    <row r="186" s="31" customFormat="1" spans="2:51">
      <c r="B186" s="65"/>
      <c r="C186" s="66"/>
      <c r="D186" s="66"/>
      <c r="E186" s="67"/>
      <c r="F186" s="66"/>
      <c r="G186" s="68"/>
      <c r="H186" s="66"/>
      <c r="I186" s="66"/>
      <c r="J186" s="66"/>
      <c r="K186" s="66"/>
      <c r="L186" s="84"/>
      <c r="M186" s="84"/>
      <c r="N186" s="41"/>
      <c r="O186" s="41"/>
      <c r="P186" s="84"/>
      <c r="Q186" s="84"/>
      <c r="R186" s="84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5"/>
      <c r="AW186" s="66"/>
      <c r="AX186" s="66"/>
      <c r="AY186" s="106"/>
    </row>
    <row r="187" s="31" customFormat="1" spans="2:51">
      <c r="B187" s="65"/>
      <c r="C187" s="66"/>
      <c r="D187" s="66"/>
      <c r="E187" s="67"/>
      <c r="F187" s="66"/>
      <c r="G187" s="68"/>
      <c r="H187" s="66"/>
      <c r="I187" s="66"/>
      <c r="J187" s="66"/>
      <c r="K187" s="66"/>
      <c r="L187" s="84"/>
      <c r="M187" s="84"/>
      <c r="N187" s="41"/>
      <c r="O187" s="41"/>
      <c r="P187" s="84"/>
      <c r="Q187" s="84"/>
      <c r="R187" s="84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5"/>
      <c r="AW187" s="66"/>
      <c r="AX187" s="66"/>
      <c r="AY187" s="106"/>
    </row>
    <row r="188" s="31" customFormat="1" spans="2:51">
      <c r="B188" s="65"/>
      <c r="C188" s="66"/>
      <c r="D188" s="66"/>
      <c r="E188" s="67"/>
      <c r="F188" s="66"/>
      <c r="G188" s="68"/>
      <c r="H188" s="66"/>
      <c r="I188" s="66"/>
      <c r="J188" s="66"/>
      <c r="K188" s="66"/>
      <c r="L188" s="84"/>
      <c r="M188" s="84"/>
      <c r="N188" s="41"/>
      <c r="O188" s="41"/>
      <c r="P188" s="84"/>
      <c r="Q188" s="84"/>
      <c r="R188" s="84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5"/>
      <c r="AW188" s="66"/>
      <c r="AX188" s="66"/>
      <c r="AY188" s="106"/>
    </row>
    <row r="189" s="31" customFormat="1" spans="2:51">
      <c r="B189" s="65"/>
      <c r="C189" s="66"/>
      <c r="D189" s="66"/>
      <c r="E189" s="67"/>
      <c r="F189" s="66"/>
      <c r="G189" s="68"/>
      <c r="H189" s="66"/>
      <c r="I189" s="66"/>
      <c r="J189" s="66"/>
      <c r="K189" s="66"/>
      <c r="L189" s="84"/>
      <c r="M189" s="84"/>
      <c r="N189" s="41"/>
      <c r="O189" s="41"/>
      <c r="P189" s="84"/>
      <c r="Q189" s="84"/>
      <c r="R189" s="84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5"/>
      <c r="AW189" s="66"/>
      <c r="AX189" s="66"/>
      <c r="AY189" s="106"/>
    </row>
    <row r="190" s="31" customFormat="1" spans="2:51">
      <c r="B190" s="65"/>
      <c r="C190" s="66"/>
      <c r="D190" s="66"/>
      <c r="E190" s="67"/>
      <c r="F190" s="66"/>
      <c r="G190" s="68"/>
      <c r="H190" s="66"/>
      <c r="I190" s="66"/>
      <c r="J190" s="66"/>
      <c r="K190" s="66"/>
      <c r="L190" s="84"/>
      <c r="M190" s="84"/>
      <c r="N190" s="41"/>
      <c r="O190" s="41"/>
      <c r="P190" s="84"/>
      <c r="Q190" s="84"/>
      <c r="R190" s="84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5"/>
      <c r="AW190" s="66"/>
      <c r="AX190" s="66"/>
      <c r="AY190" s="106"/>
    </row>
    <row r="191" s="31" customFormat="1" spans="2:51">
      <c r="B191" s="65"/>
      <c r="C191" s="66"/>
      <c r="D191" s="66"/>
      <c r="E191" s="67"/>
      <c r="F191" s="66"/>
      <c r="G191" s="68"/>
      <c r="H191" s="66"/>
      <c r="I191" s="66"/>
      <c r="J191" s="66"/>
      <c r="K191" s="66"/>
      <c r="L191" s="84"/>
      <c r="M191" s="84"/>
      <c r="N191" s="41"/>
      <c r="O191" s="41"/>
      <c r="P191" s="84"/>
      <c r="Q191" s="84"/>
      <c r="R191" s="84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5"/>
      <c r="AW191" s="66"/>
      <c r="AX191" s="66"/>
      <c r="AY191" s="106"/>
    </row>
    <row r="192" s="31" customFormat="1" spans="2:51">
      <c r="B192" s="65"/>
      <c r="C192" s="66"/>
      <c r="D192" s="66"/>
      <c r="E192" s="67"/>
      <c r="F192" s="66"/>
      <c r="G192" s="68"/>
      <c r="H192" s="66"/>
      <c r="I192" s="66"/>
      <c r="J192" s="66"/>
      <c r="K192" s="66"/>
      <c r="L192" s="84"/>
      <c r="M192" s="84"/>
      <c r="N192" s="41"/>
      <c r="O192" s="41"/>
      <c r="P192" s="84"/>
      <c r="Q192" s="84"/>
      <c r="R192" s="84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5"/>
      <c r="AW192" s="66"/>
      <c r="AX192" s="66"/>
      <c r="AY192" s="106"/>
    </row>
    <row r="193" s="31" customFormat="1" spans="2:51">
      <c r="B193" s="65"/>
      <c r="C193" s="66"/>
      <c r="D193" s="66"/>
      <c r="E193" s="67"/>
      <c r="F193" s="66"/>
      <c r="G193" s="68"/>
      <c r="H193" s="66"/>
      <c r="I193" s="66"/>
      <c r="J193" s="66"/>
      <c r="K193" s="66"/>
      <c r="L193" s="84"/>
      <c r="M193" s="84"/>
      <c r="N193" s="41"/>
      <c r="O193" s="41"/>
      <c r="P193" s="84"/>
      <c r="Q193" s="84"/>
      <c r="R193" s="84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5"/>
      <c r="AW193" s="66"/>
      <c r="AX193" s="66"/>
      <c r="AY193" s="106"/>
    </row>
    <row r="194" s="31" customFormat="1" spans="2:51">
      <c r="B194" s="65"/>
      <c r="C194" s="66"/>
      <c r="D194" s="66"/>
      <c r="E194" s="67"/>
      <c r="F194" s="66"/>
      <c r="G194" s="68"/>
      <c r="H194" s="66"/>
      <c r="I194" s="66"/>
      <c r="J194" s="66"/>
      <c r="K194" s="66"/>
      <c r="L194" s="84"/>
      <c r="M194" s="84"/>
      <c r="N194" s="41"/>
      <c r="O194" s="41"/>
      <c r="P194" s="84"/>
      <c r="Q194" s="84"/>
      <c r="R194" s="84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5"/>
      <c r="AW194" s="66"/>
      <c r="AX194" s="66"/>
      <c r="AY194" s="106"/>
    </row>
    <row r="195" s="31" customFormat="1" spans="2:51">
      <c r="B195" s="65"/>
      <c r="C195" s="66"/>
      <c r="D195" s="66"/>
      <c r="E195" s="67"/>
      <c r="F195" s="66"/>
      <c r="G195" s="68"/>
      <c r="H195" s="66"/>
      <c r="I195" s="66"/>
      <c r="J195" s="66"/>
      <c r="K195" s="66"/>
      <c r="L195" s="84"/>
      <c r="M195" s="84"/>
      <c r="N195" s="41"/>
      <c r="O195" s="41"/>
      <c r="P195" s="84"/>
      <c r="Q195" s="84"/>
      <c r="R195" s="84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5"/>
      <c r="AW195" s="66"/>
      <c r="AX195" s="66"/>
      <c r="AY195" s="106"/>
    </row>
    <row r="196" s="31" customFormat="1" spans="2:51">
      <c r="B196" s="65"/>
      <c r="C196" s="66"/>
      <c r="D196" s="66"/>
      <c r="E196" s="67"/>
      <c r="F196" s="66"/>
      <c r="G196" s="68"/>
      <c r="H196" s="66"/>
      <c r="I196" s="66"/>
      <c r="J196" s="66"/>
      <c r="K196" s="66"/>
      <c r="L196" s="84"/>
      <c r="M196" s="84"/>
      <c r="N196" s="41"/>
      <c r="O196" s="41"/>
      <c r="P196" s="84"/>
      <c r="Q196" s="84"/>
      <c r="R196" s="84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5"/>
      <c r="AW196" s="66"/>
      <c r="AX196" s="66"/>
      <c r="AY196" s="106"/>
    </row>
    <row r="197" s="31" customFormat="1" spans="2:51">
      <c r="B197" s="65"/>
      <c r="C197" s="66"/>
      <c r="D197" s="66"/>
      <c r="E197" s="67"/>
      <c r="F197" s="66"/>
      <c r="G197" s="68"/>
      <c r="H197" s="66"/>
      <c r="I197" s="66"/>
      <c r="J197" s="66"/>
      <c r="K197" s="66"/>
      <c r="L197" s="84"/>
      <c r="M197" s="84"/>
      <c r="N197" s="41"/>
      <c r="O197" s="41"/>
      <c r="P197" s="84"/>
      <c r="Q197" s="84"/>
      <c r="R197" s="84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5"/>
      <c r="AW197" s="66"/>
      <c r="AX197" s="66"/>
      <c r="AY197" s="106"/>
    </row>
    <row r="198" s="31" customFormat="1" spans="2:51">
      <c r="B198" s="65"/>
      <c r="C198" s="66"/>
      <c r="D198" s="66"/>
      <c r="E198" s="67"/>
      <c r="F198" s="66"/>
      <c r="G198" s="68"/>
      <c r="H198" s="66"/>
      <c r="I198" s="66"/>
      <c r="J198" s="66"/>
      <c r="K198" s="66"/>
      <c r="L198" s="84"/>
      <c r="M198" s="84"/>
      <c r="N198" s="41"/>
      <c r="O198" s="41"/>
      <c r="P198" s="84"/>
      <c r="Q198" s="84"/>
      <c r="R198" s="84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5"/>
      <c r="AW198" s="66"/>
      <c r="AX198" s="66"/>
      <c r="AY198" s="106"/>
    </row>
    <row r="199" s="31" customFormat="1" spans="2:51">
      <c r="B199" s="65"/>
      <c r="C199" s="66"/>
      <c r="D199" s="66"/>
      <c r="E199" s="67"/>
      <c r="F199" s="66"/>
      <c r="G199" s="68"/>
      <c r="H199" s="66"/>
      <c r="I199" s="66"/>
      <c r="J199" s="66"/>
      <c r="K199" s="66"/>
      <c r="L199" s="84"/>
      <c r="M199" s="84"/>
      <c r="N199" s="41"/>
      <c r="O199" s="41"/>
      <c r="P199" s="84"/>
      <c r="Q199" s="84"/>
      <c r="R199" s="84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5"/>
      <c r="AW199" s="66"/>
      <c r="AX199" s="66"/>
      <c r="AY199" s="106"/>
    </row>
    <row r="200" s="31" customFormat="1" spans="2:51">
      <c r="B200" s="65"/>
      <c r="C200" s="66"/>
      <c r="D200" s="66"/>
      <c r="E200" s="67"/>
      <c r="F200" s="66"/>
      <c r="G200" s="68"/>
      <c r="H200" s="66"/>
      <c r="I200" s="66"/>
      <c r="J200" s="66"/>
      <c r="K200" s="66"/>
      <c r="L200" s="84"/>
      <c r="M200" s="84"/>
      <c r="N200" s="41"/>
      <c r="O200" s="41"/>
      <c r="P200" s="84"/>
      <c r="Q200" s="84"/>
      <c r="R200" s="84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5"/>
      <c r="AW200" s="66"/>
      <c r="AX200" s="66"/>
      <c r="AY200" s="106"/>
    </row>
    <row r="201" s="31" customFormat="1" spans="2:51">
      <c r="B201" s="65"/>
      <c r="C201" s="66"/>
      <c r="D201" s="66"/>
      <c r="E201" s="67"/>
      <c r="F201" s="66"/>
      <c r="G201" s="68"/>
      <c r="H201" s="66"/>
      <c r="I201" s="66"/>
      <c r="J201" s="66"/>
      <c r="K201" s="66"/>
      <c r="L201" s="84"/>
      <c r="M201" s="84"/>
      <c r="N201" s="41"/>
      <c r="O201" s="41"/>
      <c r="P201" s="84"/>
      <c r="Q201" s="84"/>
      <c r="R201" s="84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5"/>
      <c r="AW201" s="66"/>
      <c r="AX201" s="66"/>
      <c r="AY201" s="106"/>
    </row>
    <row r="202" s="31" customFormat="1" spans="2:51">
      <c r="B202" s="65"/>
      <c r="C202" s="66"/>
      <c r="D202" s="66"/>
      <c r="E202" s="67"/>
      <c r="F202" s="66"/>
      <c r="G202" s="68"/>
      <c r="H202" s="66"/>
      <c r="I202" s="66"/>
      <c r="J202" s="66"/>
      <c r="K202" s="66"/>
      <c r="L202" s="84"/>
      <c r="M202" s="84"/>
      <c r="N202" s="41"/>
      <c r="O202" s="41"/>
      <c r="P202" s="84"/>
      <c r="Q202" s="84"/>
      <c r="R202" s="84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5"/>
      <c r="AW202" s="66"/>
      <c r="AX202" s="66"/>
      <c r="AY202" s="106"/>
    </row>
    <row r="203" s="31" customFormat="1" spans="2:51">
      <c r="B203" s="65"/>
      <c r="C203" s="66"/>
      <c r="D203" s="66"/>
      <c r="E203" s="67"/>
      <c r="F203" s="66"/>
      <c r="G203" s="68"/>
      <c r="H203" s="66"/>
      <c r="I203" s="66"/>
      <c r="J203" s="66"/>
      <c r="K203" s="66"/>
      <c r="L203" s="84"/>
      <c r="M203" s="84"/>
      <c r="N203" s="41"/>
      <c r="O203" s="41"/>
      <c r="P203" s="84"/>
      <c r="Q203" s="84"/>
      <c r="R203" s="84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5"/>
      <c r="AW203" s="66"/>
      <c r="AX203" s="66"/>
      <c r="AY203" s="106"/>
    </row>
    <row r="204" s="31" customFormat="1" spans="2:51">
      <c r="B204" s="65"/>
      <c r="C204" s="66"/>
      <c r="D204" s="66"/>
      <c r="E204" s="67"/>
      <c r="F204" s="66"/>
      <c r="G204" s="68"/>
      <c r="H204" s="66"/>
      <c r="I204" s="66"/>
      <c r="J204" s="66"/>
      <c r="K204" s="66"/>
      <c r="L204" s="84"/>
      <c r="M204" s="84"/>
      <c r="N204" s="41"/>
      <c r="O204" s="41"/>
      <c r="P204" s="84"/>
      <c r="Q204" s="84"/>
      <c r="R204" s="84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5"/>
      <c r="AW204" s="66"/>
      <c r="AX204" s="66"/>
      <c r="AY204" s="106"/>
    </row>
    <row r="205" s="31" customFormat="1" spans="2:51">
      <c r="B205" s="65"/>
      <c r="C205" s="66"/>
      <c r="D205" s="66"/>
      <c r="E205" s="67"/>
      <c r="F205" s="66"/>
      <c r="G205" s="68"/>
      <c r="H205" s="66"/>
      <c r="I205" s="66"/>
      <c r="J205" s="66"/>
      <c r="K205" s="66"/>
      <c r="L205" s="84"/>
      <c r="M205" s="84"/>
      <c r="N205" s="41"/>
      <c r="O205" s="41"/>
      <c r="P205" s="84"/>
      <c r="Q205" s="84"/>
      <c r="R205" s="84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5"/>
      <c r="AW205" s="66"/>
      <c r="AX205" s="66"/>
      <c r="AY205" s="106"/>
    </row>
    <row r="206" s="31" customFormat="1" spans="2:51">
      <c r="B206" s="65"/>
      <c r="C206" s="66"/>
      <c r="D206" s="66"/>
      <c r="E206" s="67"/>
      <c r="F206" s="66"/>
      <c r="G206" s="68"/>
      <c r="H206" s="66"/>
      <c r="I206" s="66"/>
      <c r="J206" s="66"/>
      <c r="K206" s="66"/>
      <c r="L206" s="84"/>
      <c r="M206" s="84"/>
      <c r="N206" s="41"/>
      <c r="O206" s="41"/>
      <c r="P206" s="84"/>
      <c r="Q206" s="84"/>
      <c r="R206" s="84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5"/>
      <c r="AW206" s="66"/>
      <c r="AX206" s="66"/>
      <c r="AY206" s="106"/>
    </row>
    <row r="207" s="31" customFormat="1" spans="2:51">
      <c r="B207" s="65"/>
      <c r="C207" s="66"/>
      <c r="D207" s="66"/>
      <c r="E207" s="67"/>
      <c r="F207" s="66"/>
      <c r="G207" s="68"/>
      <c r="H207" s="66"/>
      <c r="I207" s="66"/>
      <c r="J207" s="66"/>
      <c r="K207" s="66"/>
      <c r="L207" s="84"/>
      <c r="M207" s="84"/>
      <c r="N207" s="41"/>
      <c r="O207" s="41"/>
      <c r="P207" s="84"/>
      <c r="Q207" s="84"/>
      <c r="R207" s="84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5"/>
      <c r="AW207" s="66"/>
      <c r="AX207" s="66"/>
      <c r="AY207" s="106"/>
    </row>
    <row r="208" s="31" customFormat="1" spans="2:51">
      <c r="B208" s="65"/>
      <c r="C208" s="66"/>
      <c r="D208" s="66"/>
      <c r="E208" s="67"/>
      <c r="F208" s="66"/>
      <c r="G208" s="68"/>
      <c r="H208" s="66"/>
      <c r="I208" s="66"/>
      <c r="J208" s="66"/>
      <c r="K208" s="66"/>
      <c r="L208" s="84"/>
      <c r="M208" s="84"/>
      <c r="N208" s="41"/>
      <c r="O208" s="41"/>
      <c r="P208" s="84"/>
      <c r="Q208" s="84"/>
      <c r="R208" s="84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5"/>
      <c r="AW208" s="66"/>
      <c r="AX208" s="66"/>
      <c r="AY208" s="106"/>
    </row>
    <row r="209" s="31" customFormat="1" spans="2:51">
      <c r="B209" s="65"/>
      <c r="C209" s="66"/>
      <c r="D209" s="66"/>
      <c r="E209" s="67"/>
      <c r="F209" s="66"/>
      <c r="G209" s="68"/>
      <c r="H209" s="66"/>
      <c r="I209" s="66"/>
      <c r="J209" s="66"/>
      <c r="K209" s="66"/>
      <c r="L209" s="84"/>
      <c r="M209" s="84"/>
      <c r="N209" s="41"/>
      <c r="O209" s="41"/>
      <c r="P209" s="84"/>
      <c r="Q209" s="84"/>
      <c r="R209" s="84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5"/>
      <c r="AW209" s="66"/>
      <c r="AX209" s="66"/>
      <c r="AY209" s="106"/>
    </row>
    <row r="210" s="31" customFormat="1" spans="2:51">
      <c r="B210" s="65"/>
      <c r="C210" s="66"/>
      <c r="D210" s="66"/>
      <c r="E210" s="67"/>
      <c r="F210" s="66"/>
      <c r="G210" s="68"/>
      <c r="H210" s="66"/>
      <c r="I210" s="66"/>
      <c r="J210" s="66"/>
      <c r="K210" s="66"/>
      <c r="L210" s="84"/>
      <c r="M210" s="84"/>
      <c r="N210" s="41"/>
      <c r="O210" s="41"/>
      <c r="P210" s="84"/>
      <c r="Q210" s="84"/>
      <c r="R210" s="84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5"/>
      <c r="AW210" s="66"/>
      <c r="AX210" s="66"/>
      <c r="AY210" s="106"/>
    </row>
    <row r="211" s="31" customFormat="1" spans="2:51">
      <c r="B211" s="65"/>
      <c r="C211" s="66"/>
      <c r="D211" s="66"/>
      <c r="E211" s="67"/>
      <c r="F211" s="66"/>
      <c r="G211" s="68"/>
      <c r="H211" s="66"/>
      <c r="I211" s="66"/>
      <c r="J211" s="66"/>
      <c r="K211" s="66"/>
      <c r="L211" s="84"/>
      <c r="M211" s="84"/>
      <c r="N211" s="41"/>
      <c r="O211" s="41"/>
      <c r="P211" s="84"/>
      <c r="Q211" s="84"/>
      <c r="R211" s="84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5"/>
      <c r="AW211" s="66"/>
      <c r="AX211" s="66"/>
      <c r="AY211" s="106"/>
    </row>
    <row r="212" s="31" customFormat="1" spans="2:51">
      <c r="B212" s="65"/>
      <c r="C212" s="66"/>
      <c r="D212" s="66"/>
      <c r="E212" s="67"/>
      <c r="F212" s="66"/>
      <c r="G212" s="68"/>
      <c r="H212" s="66"/>
      <c r="I212" s="66"/>
      <c r="J212" s="66"/>
      <c r="K212" s="66"/>
      <c r="L212" s="84"/>
      <c r="M212" s="84"/>
      <c r="N212" s="41"/>
      <c r="O212" s="41"/>
      <c r="P212" s="84"/>
      <c r="Q212" s="84"/>
      <c r="R212" s="84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5"/>
      <c r="AW212" s="66"/>
      <c r="AX212" s="66"/>
      <c r="AY212" s="106"/>
    </row>
    <row r="213" s="31" customFormat="1" spans="2:51">
      <c r="B213" s="65"/>
      <c r="C213" s="66"/>
      <c r="D213" s="66"/>
      <c r="E213" s="67"/>
      <c r="F213" s="66"/>
      <c r="G213" s="68"/>
      <c r="H213" s="66"/>
      <c r="I213" s="66"/>
      <c r="J213" s="66"/>
      <c r="K213" s="66"/>
      <c r="L213" s="84"/>
      <c r="M213" s="84"/>
      <c r="N213" s="41"/>
      <c r="O213" s="41"/>
      <c r="P213" s="84"/>
      <c r="Q213" s="84"/>
      <c r="R213" s="84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5"/>
      <c r="AW213" s="66"/>
      <c r="AX213" s="66"/>
      <c r="AY213" s="106"/>
    </row>
    <row r="214" s="31" customFormat="1" spans="2:51">
      <c r="B214" s="65"/>
      <c r="C214" s="66"/>
      <c r="D214" s="66"/>
      <c r="E214" s="67"/>
      <c r="F214" s="66"/>
      <c r="G214" s="68"/>
      <c r="H214" s="66"/>
      <c r="I214" s="66"/>
      <c r="J214" s="66"/>
      <c r="K214" s="66"/>
      <c r="L214" s="84"/>
      <c r="M214" s="84"/>
      <c r="N214" s="41"/>
      <c r="O214" s="41"/>
      <c r="P214" s="84"/>
      <c r="Q214" s="84"/>
      <c r="R214" s="84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5"/>
      <c r="AW214" s="66"/>
      <c r="AX214" s="66"/>
      <c r="AY214" s="106"/>
    </row>
    <row r="215" s="31" customFormat="1" spans="2:51">
      <c r="B215" s="65"/>
      <c r="C215" s="66"/>
      <c r="D215" s="66"/>
      <c r="E215" s="67"/>
      <c r="F215" s="66"/>
      <c r="G215" s="68"/>
      <c r="H215" s="66"/>
      <c r="I215" s="66"/>
      <c r="J215" s="66"/>
      <c r="K215" s="66"/>
      <c r="L215" s="84"/>
      <c r="M215" s="84"/>
      <c r="N215" s="41"/>
      <c r="O215" s="41"/>
      <c r="P215" s="84"/>
      <c r="Q215" s="84"/>
      <c r="R215" s="84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5"/>
      <c r="AW215" s="66"/>
      <c r="AX215" s="66"/>
      <c r="AY215" s="106"/>
    </row>
    <row r="216" s="31" customFormat="1" spans="2:51">
      <c r="B216" s="65"/>
      <c r="C216" s="66"/>
      <c r="D216" s="66"/>
      <c r="E216" s="67"/>
      <c r="F216" s="66"/>
      <c r="G216" s="68"/>
      <c r="H216" s="66"/>
      <c r="I216" s="66"/>
      <c r="J216" s="66"/>
      <c r="K216" s="66"/>
      <c r="L216" s="84"/>
      <c r="M216" s="84"/>
      <c r="N216" s="41"/>
      <c r="O216" s="41"/>
      <c r="P216" s="84"/>
      <c r="Q216" s="84"/>
      <c r="R216" s="84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5"/>
      <c r="AW216" s="66"/>
      <c r="AX216" s="66"/>
      <c r="AY216" s="106"/>
    </row>
    <row r="217" s="31" customFormat="1" spans="2:51">
      <c r="B217" s="65"/>
      <c r="C217" s="66"/>
      <c r="D217" s="66"/>
      <c r="E217" s="67"/>
      <c r="F217" s="66"/>
      <c r="G217" s="68"/>
      <c r="H217" s="66"/>
      <c r="I217" s="66"/>
      <c r="J217" s="66"/>
      <c r="K217" s="66"/>
      <c r="L217" s="84"/>
      <c r="M217" s="84"/>
      <c r="N217" s="41"/>
      <c r="O217" s="41"/>
      <c r="P217" s="84"/>
      <c r="Q217" s="84"/>
      <c r="R217" s="84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5"/>
      <c r="AW217" s="66"/>
      <c r="AX217" s="66"/>
      <c r="AY217" s="106"/>
    </row>
    <row r="218" s="31" customFormat="1" spans="2:51">
      <c r="B218" s="65"/>
      <c r="C218" s="66"/>
      <c r="D218" s="66"/>
      <c r="E218" s="67"/>
      <c r="F218" s="66"/>
      <c r="G218" s="68"/>
      <c r="H218" s="66"/>
      <c r="I218" s="66"/>
      <c r="J218" s="66"/>
      <c r="K218" s="66"/>
      <c r="L218" s="84"/>
      <c r="M218" s="84"/>
      <c r="N218" s="41"/>
      <c r="O218" s="41"/>
      <c r="P218" s="84"/>
      <c r="Q218" s="84"/>
      <c r="R218" s="84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5"/>
      <c r="AW218" s="66"/>
      <c r="AX218" s="66"/>
      <c r="AY218" s="106"/>
    </row>
    <row r="219" s="31" customFormat="1" spans="2:51">
      <c r="B219" s="65"/>
      <c r="C219" s="66"/>
      <c r="D219" s="66"/>
      <c r="E219" s="67"/>
      <c r="F219" s="66"/>
      <c r="G219" s="68"/>
      <c r="H219" s="66"/>
      <c r="I219" s="66"/>
      <c r="J219" s="66"/>
      <c r="K219" s="66"/>
      <c r="L219" s="84"/>
      <c r="M219" s="84"/>
      <c r="N219" s="41"/>
      <c r="O219" s="41"/>
      <c r="P219" s="84"/>
      <c r="Q219" s="84"/>
      <c r="R219" s="84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5"/>
      <c r="AW219" s="66"/>
      <c r="AX219" s="66"/>
      <c r="AY219" s="106"/>
    </row>
    <row r="220" s="31" customFormat="1" spans="2:51">
      <c r="B220" s="65"/>
      <c r="C220" s="66"/>
      <c r="D220" s="66"/>
      <c r="E220" s="67"/>
      <c r="F220" s="66"/>
      <c r="G220" s="68"/>
      <c r="H220" s="66"/>
      <c r="I220" s="66"/>
      <c r="J220" s="66"/>
      <c r="K220" s="66"/>
      <c r="L220" s="84"/>
      <c r="M220" s="84"/>
      <c r="N220" s="41"/>
      <c r="O220" s="41"/>
      <c r="P220" s="84"/>
      <c r="Q220" s="84"/>
      <c r="R220" s="84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5"/>
      <c r="AW220" s="66"/>
      <c r="AX220" s="66"/>
      <c r="AY220" s="106"/>
    </row>
    <row r="221" s="31" customFormat="1" spans="2:51">
      <c r="B221" s="65"/>
      <c r="C221" s="66"/>
      <c r="D221" s="66"/>
      <c r="E221" s="67"/>
      <c r="F221" s="66"/>
      <c r="G221" s="68"/>
      <c r="H221" s="66"/>
      <c r="I221" s="66"/>
      <c r="J221" s="66"/>
      <c r="K221" s="66"/>
      <c r="L221" s="84"/>
      <c r="M221" s="84"/>
      <c r="N221" s="41"/>
      <c r="O221" s="41"/>
      <c r="P221" s="84"/>
      <c r="Q221" s="84"/>
      <c r="R221" s="84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5"/>
      <c r="AW221" s="66"/>
      <c r="AX221" s="66"/>
      <c r="AY221" s="106"/>
    </row>
    <row r="222" s="31" customFormat="1" spans="2:51">
      <c r="B222" s="65"/>
      <c r="C222" s="66"/>
      <c r="D222" s="66"/>
      <c r="E222" s="67"/>
      <c r="F222" s="66"/>
      <c r="G222" s="68"/>
      <c r="H222" s="66"/>
      <c r="I222" s="66"/>
      <c r="J222" s="66"/>
      <c r="K222" s="66"/>
      <c r="L222" s="84"/>
      <c r="M222" s="84"/>
      <c r="N222" s="41"/>
      <c r="O222" s="41"/>
      <c r="P222" s="84"/>
      <c r="Q222" s="84"/>
      <c r="R222" s="84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5"/>
      <c r="AW222" s="66"/>
      <c r="AX222" s="66"/>
      <c r="AY222" s="106"/>
    </row>
    <row r="223" s="31" customFormat="1" spans="2:51">
      <c r="B223" s="65"/>
      <c r="C223" s="66"/>
      <c r="D223" s="66"/>
      <c r="E223" s="67"/>
      <c r="F223" s="66"/>
      <c r="G223" s="68"/>
      <c r="H223" s="66"/>
      <c r="I223" s="66"/>
      <c r="J223" s="66"/>
      <c r="K223" s="66"/>
      <c r="L223" s="84"/>
      <c r="M223" s="84"/>
      <c r="N223" s="41"/>
      <c r="O223" s="41"/>
      <c r="P223" s="84"/>
      <c r="Q223" s="84"/>
      <c r="R223" s="84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5"/>
      <c r="AW223" s="66"/>
      <c r="AX223" s="66"/>
      <c r="AY223" s="106"/>
    </row>
    <row r="224" s="31" customFormat="1" spans="2:51">
      <c r="B224" s="65"/>
      <c r="C224" s="66"/>
      <c r="D224" s="66"/>
      <c r="E224" s="67"/>
      <c r="F224" s="66"/>
      <c r="G224" s="68"/>
      <c r="H224" s="66"/>
      <c r="I224" s="66"/>
      <c r="J224" s="66"/>
      <c r="K224" s="66"/>
      <c r="L224" s="84"/>
      <c r="M224" s="84"/>
      <c r="N224" s="41"/>
      <c r="O224" s="41"/>
      <c r="P224" s="84"/>
      <c r="Q224" s="84"/>
      <c r="R224" s="84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5"/>
      <c r="AW224" s="66"/>
      <c r="AX224" s="66"/>
      <c r="AY224" s="106"/>
    </row>
    <row r="225" s="31" customFormat="1" spans="2:51">
      <c r="B225" s="65"/>
      <c r="C225" s="66"/>
      <c r="D225" s="66"/>
      <c r="E225" s="67"/>
      <c r="F225" s="66"/>
      <c r="G225" s="68"/>
      <c r="H225" s="66"/>
      <c r="I225" s="66"/>
      <c r="J225" s="66"/>
      <c r="K225" s="66"/>
      <c r="L225" s="84"/>
      <c r="M225" s="84"/>
      <c r="N225" s="41"/>
      <c r="O225" s="41"/>
      <c r="P225" s="84"/>
      <c r="Q225" s="84"/>
      <c r="R225" s="84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5"/>
      <c r="AW225" s="66"/>
      <c r="AX225" s="66"/>
      <c r="AY225" s="106"/>
    </row>
    <row r="226" s="31" customFormat="1" spans="2:51">
      <c r="B226" s="65"/>
      <c r="C226" s="66"/>
      <c r="D226" s="66"/>
      <c r="E226" s="67"/>
      <c r="F226" s="66"/>
      <c r="G226" s="68"/>
      <c r="H226" s="66"/>
      <c r="I226" s="66"/>
      <c r="J226" s="66"/>
      <c r="K226" s="66"/>
      <c r="L226" s="84"/>
      <c r="M226" s="84"/>
      <c r="N226" s="41"/>
      <c r="O226" s="41"/>
      <c r="P226" s="84"/>
      <c r="Q226" s="84"/>
      <c r="R226" s="84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5"/>
      <c r="AW226" s="66"/>
      <c r="AX226" s="66"/>
      <c r="AY226" s="106"/>
    </row>
    <row r="227" s="31" customFormat="1" spans="2:51">
      <c r="B227" s="65"/>
      <c r="C227" s="66"/>
      <c r="D227" s="66"/>
      <c r="E227" s="67"/>
      <c r="F227" s="66"/>
      <c r="G227" s="68"/>
      <c r="H227" s="66"/>
      <c r="I227" s="66"/>
      <c r="J227" s="66"/>
      <c r="K227" s="66"/>
      <c r="L227" s="84"/>
      <c r="M227" s="84"/>
      <c r="N227" s="41"/>
      <c r="O227" s="41"/>
      <c r="P227" s="84"/>
      <c r="Q227" s="84"/>
      <c r="R227" s="84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5"/>
      <c r="AW227" s="66"/>
      <c r="AX227" s="66"/>
      <c r="AY227" s="106"/>
    </row>
    <row r="228" s="31" customFormat="1" spans="2:51">
      <c r="B228" s="65"/>
      <c r="C228" s="66"/>
      <c r="D228" s="66"/>
      <c r="E228" s="67"/>
      <c r="F228" s="66"/>
      <c r="G228" s="68"/>
      <c r="H228" s="66"/>
      <c r="I228" s="66"/>
      <c r="J228" s="66"/>
      <c r="K228" s="66"/>
      <c r="L228" s="84"/>
      <c r="M228" s="84"/>
      <c r="N228" s="41"/>
      <c r="O228" s="41"/>
      <c r="P228" s="84"/>
      <c r="Q228" s="84"/>
      <c r="R228" s="84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5"/>
      <c r="AW228" s="66"/>
      <c r="AX228" s="66"/>
      <c r="AY228" s="106"/>
    </row>
    <row r="229" s="31" customFormat="1" spans="2:51">
      <c r="B229" s="65"/>
      <c r="C229" s="66"/>
      <c r="D229" s="66"/>
      <c r="E229" s="67"/>
      <c r="F229" s="66"/>
      <c r="G229" s="68"/>
      <c r="H229" s="66"/>
      <c r="I229" s="66"/>
      <c r="J229" s="66"/>
      <c r="K229" s="66"/>
      <c r="L229" s="84"/>
      <c r="M229" s="84"/>
      <c r="N229" s="41"/>
      <c r="O229" s="41"/>
      <c r="P229" s="84"/>
      <c r="Q229" s="84"/>
      <c r="R229" s="84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5"/>
      <c r="AW229" s="66"/>
      <c r="AX229" s="66"/>
      <c r="AY229" s="106"/>
    </row>
    <row r="230" s="31" customFormat="1" spans="2:51">
      <c r="B230" s="65"/>
      <c r="C230" s="66"/>
      <c r="D230" s="66"/>
      <c r="E230" s="67"/>
      <c r="F230" s="66"/>
      <c r="G230" s="68"/>
      <c r="H230" s="66"/>
      <c r="I230" s="66"/>
      <c r="J230" s="66"/>
      <c r="K230" s="66"/>
      <c r="L230" s="84"/>
      <c r="M230" s="84"/>
      <c r="N230" s="41"/>
      <c r="O230" s="41"/>
      <c r="P230" s="84"/>
      <c r="Q230" s="84"/>
      <c r="R230" s="84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5"/>
      <c r="AW230" s="66"/>
      <c r="AX230" s="66"/>
      <c r="AY230" s="106"/>
    </row>
    <row r="231" s="31" customFormat="1" spans="2:51">
      <c r="B231" s="65"/>
      <c r="C231" s="66"/>
      <c r="D231" s="66"/>
      <c r="E231" s="67"/>
      <c r="F231" s="66"/>
      <c r="G231" s="68"/>
      <c r="H231" s="66"/>
      <c r="I231" s="66"/>
      <c r="J231" s="66"/>
      <c r="K231" s="66"/>
      <c r="L231" s="84"/>
      <c r="M231" s="84"/>
      <c r="N231" s="41"/>
      <c r="O231" s="41"/>
      <c r="P231" s="84"/>
      <c r="Q231" s="84"/>
      <c r="R231" s="84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5"/>
      <c r="AW231" s="66"/>
      <c r="AX231" s="66"/>
      <c r="AY231" s="106"/>
    </row>
    <row r="232" s="31" customFormat="1" spans="2:51">
      <c r="B232" s="65"/>
      <c r="C232" s="66"/>
      <c r="D232" s="66"/>
      <c r="E232" s="67"/>
      <c r="F232" s="66"/>
      <c r="G232" s="68"/>
      <c r="H232" s="66"/>
      <c r="I232" s="66"/>
      <c r="J232" s="66"/>
      <c r="K232" s="66"/>
      <c r="L232" s="84"/>
      <c r="M232" s="84"/>
      <c r="N232" s="41"/>
      <c r="O232" s="41"/>
      <c r="P232" s="84"/>
      <c r="Q232" s="84"/>
      <c r="R232" s="84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5"/>
      <c r="AW232" s="66"/>
      <c r="AX232" s="66"/>
      <c r="AY232" s="106"/>
    </row>
    <row r="233" s="31" customFormat="1" spans="2:51">
      <c r="B233" s="65"/>
      <c r="C233" s="66"/>
      <c r="D233" s="66"/>
      <c r="E233" s="67"/>
      <c r="F233" s="66"/>
      <c r="G233" s="68"/>
      <c r="H233" s="66"/>
      <c r="I233" s="66"/>
      <c r="J233" s="66"/>
      <c r="K233" s="66"/>
      <c r="L233" s="84"/>
      <c r="M233" s="84"/>
      <c r="N233" s="41"/>
      <c r="O233" s="41"/>
      <c r="P233" s="84"/>
      <c r="Q233" s="84"/>
      <c r="R233" s="84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5"/>
      <c r="AW233" s="66"/>
      <c r="AX233" s="66"/>
      <c r="AY233" s="106"/>
    </row>
    <row r="234" s="31" customFormat="1" spans="2:51">
      <c r="B234" s="65"/>
      <c r="C234" s="66"/>
      <c r="D234" s="66"/>
      <c r="E234" s="67"/>
      <c r="F234" s="66"/>
      <c r="G234" s="68"/>
      <c r="H234" s="66"/>
      <c r="I234" s="66"/>
      <c r="J234" s="66"/>
      <c r="K234" s="66"/>
      <c r="L234" s="84"/>
      <c r="M234" s="84"/>
      <c r="N234" s="41"/>
      <c r="O234" s="41"/>
      <c r="P234" s="84"/>
      <c r="Q234" s="84"/>
      <c r="R234" s="84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5"/>
      <c r="AW234" s="66"/>
      <c r="AX234" s="66"/>
      <c r="AY234" s="106"/>
    </row>
    <row r="235" s="31" customFormat="1" spans="2:51">
      <c r="B235" s="65"/>
      <c r="C235" s="66"/>
      <c r="D235" s="66"/>
      <c r="E235" s="67"/>
      <c r="F235" s="66"/>
      <c r="G235" s="68"/>
      <c r="H235" s="66"/>
      <c r="I235" s="66"/>
      <c r="J235" s="66"/>
      <c r="K235" s="66"/>
      <c r="L235" s="84"/>
      <c r="M235" s="84"/>
      <c r="N235" s="41"/>
      <c r="O235" s="41"/>
      <c r="P235" s="84"/>
      <c r="Q235" s="84"/>
      <c r="R235" s="84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5"/>
      <c r="AW235" s="66"/>
      <c r="AX235" s="66"/>
      <c r="AY235" s="106"/>
    </row>
    <row r="236" s="31" customFormat="1" spans="2:51">
      <c r="B236" s="65"/>
      <c r="C236" s="66"/>
      <c r="D236" s="66"/>
      <c r="E236" s="67"/>
      <c r="F236" s="66"/>
      <c r="G236" s="68"/>
      <c r="H236" s="66"/>
      <c r="I236" s="66"/>
      <c r="J236" s="66"/>
      <c r="K236" s="66"/>
      <c r="L236" s="84"/>
      <c r="M236" s="84"/>
      <c r="N236" s="41"/>
      <c r="O236" s="41"/>
      <c r="P236" s="84"/>
      <c r="Q236" s="84"/>
      <c r="R236" s="84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5"/>
      <c r="AW236" s="66"/>
      <c r="AX236" s="66"/>
      <c r="AY236" s="106"/>
    </row>
    <row r="237" s="31" customFormat="1" spans="2:51">
      <c r="B237" s="65"/>
      <c r="C237" s="66"/>
      <c r="D237" s="66"/>
      <c r="E237" s="67"/>
      <c r="F237" s="66"/>
      <c r="G237" s="68"/>
      <c r="H237" s="66"/>
      <c r="I237" s="66"/>
      <c r="J237" s="66"/>
      <c r="K237" s="66"/>
      <c r="L237" s="84"/>
      <c r="M237" s="84"/>
      <c r="N237" s="41"/>
      <c r="O237" s="41"/>
      <c r="P237" s="84"/>
      <c r="Q237" s="84"/>
      <c r="R237" s="84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5"/>
      <c r="AW237" s="66"/>
      <c r="AX237" s="66"/>
      <c r="AY237" s="106"/>
    </row>
    <row r="238" s="31" customFormat="1" spans="2:51">
      <c r="B238" s="65"/>
      <c r="C238" s="66"/>
      <c r="D238" s="66"/>
      <c r="E238" s="67"/>
      <c r="F238" s="66"/>
      <c r="G238" s="68"/>
      <c r="H238" s="66"/>
      <c r="I238" s="66"/>
      <c r="J238" s="66"/>
      <c r="K238" s="66"/>
      <c r="L238" s="84"/>
      <c r="M238" s="84"/>
      <c r="N238" s="41"/>
      <c r="O238" s="41"/>
      <c r="P238" s="84"/>
      <c r="Q238" s="84"/>
      <c r="R238" s="84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5"/>
      <c r="AW238" s="66"/>
      <c r="AX238" s="66"/>
      <c r="AY238" s="106"/>
    </row>
    <row r="239" s="31" customFormat="1" spans="2:51">
      <c r="B239" s="65"/>
      <c r="C239" s="66"/>
      <c r="D239" s="66"/>
      <c r="E239" s="67"/>
      <c r="F239" s="66"/>
      <c r="G239" s="68"/>
      <c r="H239" s="66"/>
      <c r="I239" s="66"/>
      <c r="J239" s="66"/>
      <c r="K239" s="66"/>
      <c r="L239" s="84"/>
      <c r="M239" s="84"/>
      <c r="N239" s="41"/>
      <c r="O239" s="41"/>
      <c r="P239" s="84"/>
      <c r="Q239" s="84"/>
      <c r="R239" s="84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5"/>
      <c r="AW239" s="66"/>
      <c r="AX239" s="66"/>
      <c r="AY239" s="106"/>
    </row>
    <row r="240" s="31" customFormat="1" spans="2:51">
      <c r="B240" s="65"/>
      <c r="C240" s="66"/>
      <c r="D240" s="66"/>
      <c r="E240" s="67"/>
      <c r="F240" s="66"/>
      <c r="G240" s="68"/>
      <c r="H240" s="66"/>
      <c r="I240" s="66"/>
      <c r="J240" s="66"/>
      <c r="K240" s="66"/>
      <c r="L240" s="84"/>
      <c r="M240" s="84"/>
      <c r="N240" s="41"/>
      <c r="O240" s="41"/>
      <c r="P240" s="84"/>
      <c r="Q240" s="84"/>
      <c r="R240" s="84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5"/>
      <c r="AW240" s="66"/>
      <c r="AX240" s="66"/>
      <c r="AY240" s="106"/>
    </row>
    <row r="241" s="31" customFormat="1" spans="2:51">
      <c r="B241" s="65"/>
      <c r="C241" s="66"/>
      <c r="D241" s="66"/>
      <c r="E241" s="67"/>
      <c r="F241" s="66"/>
      <c r="G241" s="68"/>
      <c r="H241" s="66"/>
      <c r="I241" s="66"/>
      <c r="J241" s="66"/>
      <c r="K241" s="66"/>
      <c r="L241" s="84"/>
      <c r="M241" s="84"/>
      <c r="N241" s="41"/>
      <c r="O241" s="41"/>
      <c r="P241" s="84"/>
      <c r="Q241" s="84"/>
      <c r="R241" s="84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5"/>
      <c r="AW241" s="66"/>
      <c r="AX241" s="66"/>
      <c r="AY241" s="106"/>
    </row>
    <row r="242" s="31" customFormat="1" spans="2:51">
      <c r="B242" s="65"/>
      <c r="C242" s="66"/>
      <c r="D242" s="66"/>
      <c r="E242" s="67"/>
      <c r="F242" s="66"/>
      <c r="G242" s="68"/>
      <c r="H242" s="66"/>
      <c r="I242" s="66"/>
      <c r="J242" s="66"/>
      <c r="K242" s="66"/>
      <c r="L242" s="84"/>
      <c r="M242" s="84"/>
      <c r="N242" s="41"/>
      <c r="O242" s="41"/>
      <c r="P242" s="84"/>
      <c r="Q242" s="84"/>
      <c r="R242" s="84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5"/>
      <c r="AW242" s="66"/>
      <c r="AX242" s="66"/>
      <c r="AY242" s="106"/>
    </row>
    <row r="243" s="31" customFormat="1" spans="2:51">
      <c r="B243" s="65"/>
      <c r="C243" s="66"/>
      <c r="D243" s="66"/>
      <c r="E243" s="67"/>
      <c r="F243" s="66"/>
      <c r="G243" s="68"/>
      <c r="H243" s="66"/>
      <c r="I243" s="66"/>
      <c r="J243" s="66"/>
      <c r="K243" s="66"/>
      <c r="L243" s="84"/>
      <c r="M243" s="84"/>
      <c r="N243" s="41"/>
      <c r="O243" s="41"/>
      <c r="P243" s="84"/>
      <c r="Q243" s="84"/>
      <c r="R243" s="84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5"/>
      <c r="AW243" s="66"/>
      <c r="AX243" s="66"/>
      <c r="AY243" s="106"/>
    </row>
    <row r="244" s="31" customFormat="1" spans="2:51">
      <c r="B244" s="65"/>
      <c r="C244" s="66"/>
      <c r="D244" s="66"/>
      <c r="E244" s="67"/>
      <c r="F244" s="66"/>
      <c r="G244" s="68"/>
      <c r="H244" s="66"/>
      <c r="I244" s="66"/>
      <c r="J244" s="66"/>
      <c r="K244" s="66"/>
      <c r="L244" s="84"/>
      <c r="M244" s="84"/>
      <c r="N244" s="41"/>
      <c r="O244" s="41"/>
      <c r="P244" s="84"/>
      <c r="Q244" s="84"/>
      <c r="R244" s="84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5"/>
      <c r="AW244" s="66"/>
      <c r="AX244" s="66"/>
      <c r="AY244" s="106"/>
    </row>
    <row r="245" s="31" customFormat="1" spans="2:51">
      <c r="B245" s="65"/>
      <c r="C245" s="66"/>
      <c r="D245" s="66"/>
      <c r="E245" s="67"/>
      <c r="F245" s="66"/>
      <c r="G245" s="68"/>
      <c r="H245" s="66"/>
      <c r="I245" s="66"/>
      <c r="J245" s="66"/>
      <c r="K245" s="66"/>
      <c r="L245" s="84"/>
      <c r="M245" s="84"/>
      <c r="N245" s="41"/>
      <c r="O245" s="41"/>
      <c r="P245" s="84"/>
      <c r="Q245" s="84"/>
      <c r="R245" s="84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5"/>
      <c r="AW245" s="66"/>
      <c r="AX245" s="66"/>
      <c r="AY245" s="106"/>
    </row>
    <row r="246" s="31" customFormat="1" spans="2:51">
      <c r="B246" s="65"/>
      <c r="C246" s="66"/>
      <c r="D246" s="66"/>
      <c r="E246" s="67"/>
      <c r="F246" s="66"/>
      <c r="G246" s="68"/>
      <c r="H246" s="66"/>
      <c r="I246" s="66"/>
      <c r="J246" s="66"/>
      <c r="K246" s="66"/>
      <c r="L246" s="84"/>
      <c r="M246" s="84"/>
      <c r="N246" s="41"/>
      <c r="O246" s="41"/>
      <c r="P246" s="84"/>
      <c r="Q246" s="84"/>
      <c r="R246" s="84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5"/>
      <c r="AW246" s="66"/>
      <c r="AX246" s="66"/>
      <c r="AY246" s="106"/>
    </row>
    <row r="247" s="31" customFormat="1" spans="2:51">
      <c r="B247" s="65"/>
      <c r="C247" s="66"/>
      <c r="D247" s="66"/>
      <c r="E247" s="67"/>
      <c r="F247" s="66"/>
      <c r="G247" s="68"/>
      <c r="H247" s="66"/>
      <c r="I247" s="66"/>
      <c r="J247" s="66"/>
      <c r="K247" s="66"/>
      <c r="L247" s="84"/>
      <c r="M247" s="84"/>
      <c r="N247" s="41"/>
      <c r="O247" s="41"/>
      <c r="P247" s="84"/>
      <c r="Q247" s="84"/>
      <c r="R247" s="84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5"/>
      <c r="AW247" s="66"/>
      <c r="AX247" s="66"/>
      <c r="AY247" s="106"/>
    </row>
    <row r="248" s="31" customFormat="1" spans="2:51">
      <c r="B248" s="65"/>
      <c r="C248" s="66"/>
      <c r="D248" s="66"/>
      <c r="E248" s="67"/>
      <c r="F248" s="66"/>
      <c r="G248" s="68"/>
      <c r="H248" s="66"/>
      <c r="I248" s="66"/>
      <c r="J248" s="66"/>
      <c r="K248" s="66"/>
      <c r="L248" s="84"/>
      <c r="M248" s="84"/>
      <c r="N248" s="41"/>
      <c r="O248" s="41"/>
      <c r="P248" s="84"/>
      <c r="Q248" s="84"/>
      <c r="R248" s="84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5"/>
      <c r="AW248" s="66"/>
      <c r="AX248" s="66"/>
      <c r="AY248" s="106"/>
    </row>
    <row r="249" s="31" customFormat="1" spans="2:51">
      <c r="B249" s="65"/>
      <c r="C249" s="66"/>
      <c r="D249" s="66"/>
      <c r="E249" s="67"/>
      <c r="F249" s="66"/>
      <c r="G249" s="68"/>
      <c r="H249" s="66"/>
      <c r="I249" s="66"/>
      <c r="J249" s="66"/>
      <c r="K249" s="66"/>
      <c r="L249" s="84"/>
      <c r="M249" s="84"/>
      <c r="N249" s="41"/>
      <c r="O249" s="41"/>
      <c r="P249" s="84"/>
      <c r="Q249" s="84"/>
      <c r="R249" s="84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5"/>
      <c r="AW249" s="66"/>
      <c r="AX249" s="66"/>
      <c r="AY249" s="106"/>
    </row>
    <row r="250" s="31" customFormat="1" spans="2:51">
      <c r="B250" s="65"/>
      <c r="C250" s="66"/>
      <c r="D250" s="66"/>
      <c r="E250" s="67"/>
      <c r="F250" s="66"/>
      <c r="G250" s="68"/>
      <c r="H250" s="66"/>
      <c r="I250" s="66"/>
      <c r="J250" s="66"/>
      <c r="K250" s="66"/>
      <c r="L250" s="84"/>
      <c r="M250" s="84"/>
      <c r="N250" s="41"/>
      <c r="O250" s="41"/>
      <c r="P250" s="84"/>
      <c r="Q250" s="84"/>
      <c r="R250" s="84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5"/>
      <c r="AW250" s="66"/>
      <c r="AX250" s="66"/>
      <c r="AY250" s="106"/>
    </row>
    <row r="251" s="31" customFormat="1" spans="2:51">
      <c r="B251" s="65"/>
      <c r="C251" s="66"/>
      <c r="D251" s="66"/>
      <c r="E251" s="67"/>
      <c r="F251" s="66"/>
      <c r="G251" s="68"/>
      <c r="H251" s="66"/>
      <c r="I251" s="66"/>
      <c r="J251" s="66"/>
      <c r="K251" s="66"/>
      <c r="L251" s="84"/>
      <c r="M251" s="84"/>
      <c r="N251" s="41"/>
      <c r="O251" s="41"/>
      <c r="P251" s="84"/>
      <c r="Q251" s="84"/>
      <c r="R251" s="84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5"/>
      <c r="AW251" s="66"/>
      <c r="AX251" s="66"/>
      <c r="AY251" s="106"/>
    </row>
    <row r="252" s="31" customFormat="1" spans="2:51">
      <c r="B252" s="65"/>
      <c r="C252" s="66"/>
      <c r="D252" s="66"/>
      <c r="E252" s="67"/>
      <c r="F252" s="66"/>
      <c r="G252" s="68"/>
      <c r="H252" s="66"/>
      <c r="I252" s="66"/>
      <c r="J252" s="66"/>
      <c r="K252" s="66"/>
      <c r="L252" s="84"/>
      <c r="M252" s="84"/>
      <c r="N252" s="41"/>
      <c r="O252" s="41"/>
      <c r="P252" s="84"/>
      <c r="Q252" s="84"/>
      <c r="R252" s="84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5"/>
      <c r="AW252" s="66"/>
      <c r="AX252" s="66"/>
      <c r="AY252" s="106"/>
    </row>
    <row r="253" s="31" customFormat="1" spans="2:51">
      <c r="B253" s="65"/>
      <c r="C253" s="66"/>
      <c r="D253" s="66"/>
      <c r="E253" s="67"/>
      <c r="F253" s="66"/>
      <c r="G253" s="68"/>
      <c r="H253" s="66"/>
      <c r="I253" s="66"/>
      <c r="J253" s="66"/>
      <c r="K253" s="66"/>
      <c r="L253" s="84"/>
      <c r="M253" s="84"/>
      <c r="N253" s="41"/>
      <c r="O253" s="41"/>
      <c r="P253" s="84"/>
      <c r="Q253" s="84"/>
      <c r="R253" s="84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5"/>
      <c r="AW253" s="66"/>
      <c r="AX253" s="66"/>
      <c r="AY253" s="106"/>
    </row>
    <row r="254" s="31" customFormat="1" spans="2:51">
      <c r="B254" s="65"/>
      <c r="C254" s="66"/>
      <c r="D254" s="66"/>
      <c r="E254" s="67"/>
      <c r="F254" s="66"/>
      <c r="G254" s="68"/>
      <c r="H254" s="66"/>
      <c r="I254" s="66"/>
      <c r="J254" s="66"/>
      <c r="K254" s="66"/>
      <c r="L254" s="84"/>
      <c r="M254" s="84"/>
      <c r="N254" s="41"/>
      <c r="O254" s="41"/>
      <c r="P254" s="84"/>
      <c r="Q254" s="84"/>
      <c r="R254" s="84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5"/>
      <c r="AW254" s="66"/>
      <c r="AX254" s="66"/>
      <c r="AY254" s="106"/>
    </row>
    <row r="255" s="31" customFormat="1" spans="2:51">
      <c r="B255" s="65"/>
      <c r="C255" s="66"/>
      <c r="D255" s="66"/>
      <c r="E255" s="67"/>
      <c r="F255" s="66"/>
      <c r="G255" s="68"/>
      <c r="H255" s="66"/>
      <c r="I255" s="66"/>
      <c r="J255" s="66"/>
      <c r="K255" s="66"/>
      <c r="L255" s="84"/>
      <c r="M255" s="84"/>
      <c r="N255" s="41"/>
      <c r="O255" s="41"/>
      <c r="P255" s="84"/>
      <c r="Q255" s="84"/>
      <c r="R255" s="84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5"/>
      <c r="AW255" s="66"/>
      <c r="AX255" s="66"/>
      <c r="AY255" s="106"/>
    </row>
    <row r="256" s="31" customFormat="1" spans="2:51">
      <c r="B256" s="65"/>
      <c r="C256" s="66"/>
      <c r="D256" s="66"/>
      <c r="E256" s="67"/>
      <c r="F256" s="66"/>
      <c r="G256" s="68"/>
      <c r="H256" s="66"/>
      <c r="I256" s="66"/>
      <c r="J256" s="66"/>
      <c r="K256" s="66"/>
      <c r="L256" s="84"/>
      <c r="M256" s="84"/>
      <c r="N256" s="41"/>
      <c r="O256" s="41"/>
      <c r="P256" s="84"/>
      <c r="Q256" s="84"/>
      <c r="R256" s="84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5"/>
      <c r="AW256" s="66"/>
      <c r="AX256" s="66"/>
      <c r="AY256" s="106"/>
    </row>
    <row r="257" s="31" customFormat="1" spans="2:51">
      <c r="B257" s="65"/>
      <c r="C257" s="66"/>
      <c r="D257" s="66"/>
      <c r="E257" s="67"/>
      <c r="F257" s="66"/>
      <c r="G257" s="68"/>
      <c r="H257" s="66"/>
      <c r="I257" s="66"/>
      <c r="J257" s="66"/>
      <c r="K257" s="66"/>
      <c r="L257" s="84"/>
      <c r="M257" s="84"/>
      <c r="N257" s="41"/>
      <c r="O257" s="41"/>
      <c r="P257" s="84"/>
      <c r="Q257" s="84"/>
      <c r="R257" s="84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5"/>
      <c r="AW257" s="66"/>
      <c r="AX257" s="66"/>
      <c r="AY257" s="106"/>
    </row>
    <row r="258" s="31" customFormat="1" spans="2:51">
      <c r="B258" s="65"/>
      <c r="C258" s="66"/>
      <c r="D258" s="66"/>
      <c r="E258" s="67"/>
      <c r="F258" s="66"/>
      <c r="G258" s="68"/>
      <c r="H258" s="66"/>
      <c r="I258" s="66"/>
      <c r="J258" s="66"/>
      <c r="K258" s="66"/>
      <c r="L258" s="84"/>
      <c r="M258" s="84"/>
      <c r="N258" s="41"/>
      <c r="O258" s="41"/>
      <c r="P258" s="84"/>
      <c r="Q258" s="84"/>
      <c r="R258" s="84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5"/>
      <c r="AW258" s="66"/>
      <c r="AX258" s="66"/>
      <c r="AY258" s="106"/>
    </row>
    <row r="259" s="31" customFormat="1" spans="2:51">
      <c r="B259" s="65"/>
      <c r="C259" s="66"/>
      <c r="D259" s="66"/>
      <c r="E259" s="67"/>
      <c r="F259" s="66"/>
      <c r="G259" s="68"/>
      <c r="H259" s="66"/>
      <c r="I259" s="66"/>
      <c r="J259" s="66"/>
      <c r="K259" s="66"/>
      <c r="L259" s="84"/>
      <c r="M259" s="84"/>
      <c r="N259" s="41"/>
      <c r="O259" s="41"/>
      <c r="P259" s="84"/>
      <c r="Q259" s="84"/>
      <c r="R259" s="84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5"/>
      <c r="AW259" s="66"/>
      <c r="AX259" s="66"/>
      <c r="AY259" s="106"/>
    </row>
    <row r="260" s="31" customFormat="1" spans="2:51">
      <c r="B260" s="65"/>
      <c r="C260" s="66"/>
      <c r="D260" s="66"/>
      <c r="E260" s="67"/>
      <c r="F260" s="66"/>
      <c r="G260" s="68"/>
      <c r="H260" s="66"/>
      <c r="I260" s="66"/>
      <c r="J260" s="66"/>
      <c r="K260" s="66"/>
      <c r="L260" s="84"/>
      <c r="M260" s="84"/>
      <c r="N260" s="41"/>
      <c r="O260" s="41"/>
      <c r="P260" s="84"/>
      <c r="Q260" s="84"/>
      <c r="R260" s="84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5"/>
      <c r="AW260" s="66"/>
      <c r="AX260" s="66"/>
      <c r="AY260" s="106"/>
    </row>
    <row r="261" s="31" customFormat="1" spans="2:51">
      <c r="B261" s="65"/>
      <c r="C261" s="66"/>
      <c r="D261" s="66"/>
      <c r="E261" s="67"/>
      <c r="F261" s="66"/>
      <c r="G261" s="68"/>
      <c r="H261" s="66"/>
      <c r="I261" s="66"/>
      <c r="J261" s="66"/>
      <c r="K261" s="66"/>
      <c r="L261" s="84"/>
      <c r="M261" s="84"/>
      <c r="N261" s="41"/>
      <c r="O261" s="41"/>
      <c r="P261" s="84"/>
      <c r="Q261" s="84"/>
      <c r="R261" s="84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5"/>
      <c r="AW261" s="66"/>
      <c r="AX261" s="66"/>
      <c r="AY261" s="106"/>
    </row>
    <row r="262" s="31" customFormat="1" spans="2:51">
      <c r="B262" s="65"/>
      <c r="C262" s="66"/>
      <c r="D262" s="66"/>
      <c r="E262" s="67"/>
      <c r="F262" s="66"/>
      <c r="G262" s="68"/>
      <c r="H262" s="66"/>
      <c r="I262" s="66"/>
      <c r="J262" s="66"/>
      <c r="K262" s="66"/>
      <c r="L262" s="84"/>
      <c r="M262" s="84"/>
      <c r="N262" s="41"/>
      <c r="O262" s="41"/>
      <c r="P262" s="84"/>
      <c r="Q262" s="84"/>
      <c r="R262" s="84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5"/>
      <c r="AW262" s="66"/>
      <c r="AX262" s="66"/>
      <c r="AY262" s="106"/>
    </row>
    <row r="263" s="31" customFormat="1" spans="2:51">
      <c r="B263" s="65"/>
      <c r="C263" s="66"/>
      <c r="D263" s="66"/>
      <c r="E263" s="67"/>
      <c r="F263" s="66"/>
      <c r="G263" s="68"/>
      <c r="H263" s="66"/>
      <c r="I263" s="66"/>
      <c r="J263" s="66"/>
      <c r="K263" s="66"/>
      <c r="L263" s="84"/>
      <c r="M263" s="84"/>
      <c r="N263" s="41"/>
      <c r="O263" s="41"/>
      <c r="P263" s="84"/>
      <c r="Q263" s="84"/>
      <c r="R263" s="84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5"/>
      <c r="AW263" s="66"/>
      <c r="AX263" s="66"/>
      <c r="AY263" s="106"/>
    </row>
    <row r="264" s="31" customFormat="1" spans="2:51">
      <c r="B264" s="65"/>
      <c r="C264" s="66"/>
      <c r="D264" s="66"/>
      <c r="E264" s="67"/>
      <c r="F264" s="66"/>
      <c r="G264" s="68"/>
      <c r="H264" s="66"/>
      <c r="I264" s="66"/>
      <c r="J264" s="66"/>
      <c r="K264" s="66"/>
      <c r="L264" s="84"/>
      <c r="M264" s="84"/>
      <c r="N264" s="41"/>
      <c r="O264" s="41"/>
      <c r="P264" s="84"/>
      <c r="Q264" s="84"/>
      <c r="R264" s="84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5"/>
      <c r="AW264" s="66"/>
      <c r="AX264" s="66"/>
      <c r="AY264" s="106"/>
    </row>
    <row r="265" s="31" customFormat="1" spans="2:51">
      <c r="B265" s="65"/>
      <c r="C265" s="66"/>
      <c r="D265" s="66"/>
      <c r="E265" s="67"/>
      <c r="F265" s="66"/>
      <c r="G265" s="68"/>
      <c r="H265" s="66"/>
      <c r="I265" s="66"/>
      <c r="J265" s="66"/>
      <c r="K265" s="66"/>
      <c r="L265" s="84"/>
      <c r="M265" s="84"/>
      <c r="N265" s="41"/>
      <c r="O265" s="41"/>
      <c r="P265" s="84"/>
      <c r="Q265" s="84"/>
      <c r="R265" s="84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5"/>
      <c r="AW265" s="66"/>
      <c r="AX265" s="66"/>
      <c r="AY265" s="106"/>
    </row>
    <row r="266" s="31" customFormat="1" spans="2:51">
      <c r="B266" s="65"/>
      <c r="C266" s="66"/>
      <c r="D266" s="66"/>
      <c r="E266" s="67"/>
      <c r="F266" s="66"/>
      <c r="G266" s="68"/>
      <c r="H266" s="66"/>
      <c r="I266" s="66"/>
      <c r="J266" s="66"/>
      <c r="K266" s="66"/>
      <c r="L266" s="84"/>
      <c r="M266" s="84"/>
      <c r="N266" s="41"/>
      <c r="O266" s="41"/>
      <c r="P266" s="84"/>
      <c r="Q266" s="84"/>
      <c r="R266" s="84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5"/>
      <c r="AW266" s="66"/>
      <c r="AX266" s="66"/>
      <c r="AY266" s="106"/>
    </row>
    <row r="267" s="31" customFormat="1" spans="2:51">
      <c r="B267" s="65"/>
      <c r="C267" s="66"/>
      <c r="D267" s="66"/>
      <c r="E267" s="67"/>
      <c r="F267" s="66"/>
      <c r="G267" s="68"/>
      <c r="H267" s="66"/>
      <c r="I267" s="66"/>
      <c r="J267" s="66"/>
      <c r="K267" s="66"/>
      <c r="L267" s="84"/>
      <c r="M267" s="84"/>
      <c r="N267" s="41"/>
      <c r="O267" s="41"/>
      <c r="P267" s="84"/>
      <c r="Q267" s="84"/>
      <c r="R267" s="84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5"/>
      <c r="AW267" s="66"/>
      <c r="AX267" s="66"/>
      <c r="AY267" s="106"/>
    </row>
    <row r="268" s="31" customFormat="1" spans="2:51">
      <c r="B268" s="65"/>
      <c r="C268" s="66"/>
      <c r="D268" s="66"/>
      <c r="E268" s="67"/>
      <c r="F268" s="66"/>
      <c r="G268" s="68"/>
      <c r="H268" s="66"/>
      <c r="I268" s="66"/>
      <c r="J268" s="66"/>
      <c r="K268" s="66"/>
      <c r="L268" s="84"/>
      <c r="M268" s="84"/>
      <c r="N268" s="41"/>
      <c r="O268" s="41"/>
      <c r="P268" s="84"/>
      <c r="Q268" s="84"/>
      <c r="R268" s="84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5"/>
      <c r="AW268" s="66"/>
      <c r="AX268" s="66"/>
      <c r="AY268" s="106"/>
    </row>
    <row r="269" s="31" customFormat="1" spans="2:51">
      <c r="B269" s="65"/>
      <c r="C269" s="66"/>
      <c r="D269" s="66"/>
      <c r="E269" s="67"/>
      <c r="F269" s="66"/>
      <c r="G269" s="68"/>
      <c r="H269" s="66"/>
      <c r="I269" s="66"/>
      <c r="J269" s="66"/>
      <c r="K269" s="66"/>
      <c r="L269" s="84"/>
      <c r="M269" s="84"/>
      <c r="N269" s="41"/>
      <c r="O269" s="41"/>
      <c r="P269" s="84"/>
      <c r="Q269" s="84"/>
      <c r="R269" s="84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5"/>
      <c r="AW269" s="66"/>
      <c r="AX269" s="66"/>
      <c r="AY269" s="106"/>
    </row>
    <row r="270" s="31" customFormat="1" spans="2:51">
      <c r="B270" s="65"/>
      <c r="C270" s="66"/>
      <c r="D270" s="66"/>
      <c r="E270" s="67"/>
      <c r="F270" s="66"/>
      <c r="G270" s="68"/>
      <c r="H270" s="66"/>
      <c r="I270" s="66"/>
      <c r="J270" s="66"/>
      <c r="K270" s="66"/>
      <c r="L270" s="84"/>
      <c r="M270" s="84"/>
      <c r="N270" s="41"/>
      <c r="O270" s="41"/>
      <c r="P270" s="84"/>
      <c r="Q270" s="84"/>
      <c r="R270" s="84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5"/>
      <c r="AW270" s="66"/>
      <c r="AX270" s="66"/>
      <c r="AY270" s="106"/>
    </row>
    <row r="271" s="31" customFormat="1" spans="2:51">
      <c r="B271" s="65"/>
      <c r="C271" s="66"/>
      <c r="D271" s="66"/>
      <c r="E271" s="67"/>
      <c r="F271" s="66"/>
      <c r="G271" s="68"/>
      <c r="H271" s="66"/>
      <c r="I271" s="66"/>
      <c r="J271" s="66"/>
      <c r="K271" s="66"/>
      <c r="L271" s="84"/>
      <c r="M271" s="84"/>
      <c r="N271" s="41"/>
      <c r="O271" s="41"/>
      <c r="P271" s="84"/>
      <c r="Q271" s="84"/>
      <c r="R271" s="84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5"/>
      <c r="AW271" s="66"/>
      <c r="AX271" s="66"/>
      <c r="AY271" s="106"/>
    </row>
    <row r="272" s="31" customFormat="1" spans="2:51">
      <c r="B272" s="65"/>
      <c r="C272" s="66"/>
      <c r="D272" s="66"/>
      <c r="E272" s="67"/>
      <c r="F272" s="66"/>
      <c r="G272" s="68"/>
      <c r="H272" s="66"/>
      <c r="I272" s="66"/>
      <c r="J272" s="66"/>
      <c r="K272" s="66"/>
      <c r="L272" s="84"/>
      <c r="M272" s="84"/>
      <c r="N272" s="41"/>
      <c r="O272" s="41"/>
      <c r="P272" s="84"/>
      <c r="Q272" s="84"/>
      <c r="R272" s="84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5"/>
      <c r="AW272" s="66"/>
      <c r="AX272" s="66"/>
      <c r="AY272" s="106"/>
    </row>
    <row r="273" s="31" customFormat="1" spans="2:51">
      <c r="B273" s="65"/>
      <c r="C273" s="66"/>
      <c r="D273" s="66"/>
      <c r="E273" s="67"/>
      <c r="F273" s="66"/>
      <c r="G273" s="68"/>
      <c r="H273" s="66"/>
      <c r="I273" s="66"/>
      <c r="J273" s="66"/>
      <c r="K273" s="66"/>
      <c r="L273" s="84"/>
      <c r="M273" s="84"/>
      <c r="N273" s="41"/>
      <c r="O273" s="41"/>
      <c r="P273" s="84"/>
      <c r="Q273" s="84"/>
      <c r="R273" s="84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5"/>
      <c r="AW273" s="66"/>
      <c r="AX273" s="66"/>
      <c r="AY273" s="106"/>
    </row>
    <row r="274" s="31" customFormat="1" spans="2:51">
      <c r="B274" s="65"/>
      <c r="C274" s="66"/>
      <c r="D274" s="66"/>
      <c r="E274" s="67"/>
      <c r="F274" s="66"/>
      <c r="G274" s="68"/>
      <c r="H274" s="66"/>
      <c r="I274" s="66"/>
      <c r="J274" s="66"/>
      <c r="K274" s="66"/>
      <c r="L274" s="84"/>
      <c r="M274" s="84"/>
      <c r="N274" s="41"/>
      <c r="O274" s="41"/>
      <c r="P274" s="84"/>
      <c r="Q274" s="84"/>
      <c r="R274" s="84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5"/>
      <c r="AW274" s="66"/>
      <c r="AX274" s="66"/>
      <c r="AY274" s="106"/>
    </row>
    <row r="275" s="31" customFormat="1" spans="2:51">
      <c r="B275" s="65"/>
      <c r="C275" s="66"/>
      <c r="D275" s="66"/>
      <c r="E275" s="67"/>
      <c r="F275" s="66"/>
      <c r="G275" s="68"/>
      <c r="H275" s="66"/>
      <c r="I275" s="66"/>
      <c r="J275" s="66"/>
      <c r="K275" s="66"/>
      <c r="L275" s="84"/>
      <c r="M275" s="84"/>
      <c r="N275" s="41"/>
      <c r="O275" s="41"/>
      <c r="P275" s="84"/>
      <c r="Q275" s="84"/>
      <c r="R275" s="84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5"/>
      <c r="AW275" s="66"/>
      <c r="AX275" s="66"/>
      <c r="AY275" s="106"/>
    </row>
    <row r="276" s="31" customFormat="1" spans="2:51">
      <c r="B276" s="65"/>
      <c r="C276" s="66"/>
      <c r="D276" s="66"/>
      <c r="E276" s="67"/>
      <c r="F276" s="66"/>
      <c r="G276" s="68"/>
      <c r="H276" s="66"/>
      <c r="I276" s="66"/>
      <c r="J276" s="66"/>
      <c r="K276" s="66"/>
      <c r="L276" s="84"/>
      <c r="M276" s="84"/>
      <c r="N276" s="41"/>
      <c r="O276" s="41"/>
      <c r="P276" s="84"/>
      <c r="Q276" s="84"/>
      <c r="R276" s="84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5"/>
      <c r="AW276" s="66"/>
      <c r="AX276" s="66"/>
      <c r="AY276" s="106"/>
    </row>
    <row r="277" s="31" customFormat="1" spans="2:51">
      <c r="B277" s="65"/>
      <c r="C277" s="66"/>
      <c r="D277" s="66"/>
      <c r="E277" s="67"/>
      <c r="F277" s="66"/>
      <c r="G277" s="68"/>
      <c r="H277" s="66"/>
      <c r="I277" s="66"/>
      <c r="J277" s="66"/>
      <c r="K277" s="66"/>
      <c r="L277" s="84"/>
      <c r="M277" s="84"/>
      <c r="N277" s="41"/>
      <c r="O277" s="41"/>
      <c r="P277" s="84"/>
      <c r="Q277" s="84"/>
      <c r="R277" s="84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5"/>
      <c r="AW277" s="66"/>
      <c r="AX277" s="66"/>
      <c r="AY277" s="106"/>
    </row>
    <row r="278" s="31" customFormat="1" spans="2:51">
      <c r="B278" s="65"/>
      <c r="C278" s="66"/>
      <c r="D278" s="66"/>
      <c r="E278" s="67"/>
      <c r="F278" s="66"/>
      <c r="G278" s="68"/>
      <c r="H278" s="66"/>
      <c r="I278" s="66"/>
      <c r="J278" s="66"/>
      <c r="K278" s="66"/>
      <c r="L278" s="84"/>
      <c r="M278" s="84"/>
      <c r="N278" s="41"/>
      <c r="O278" s="41"/>
      <c r="P278" s="84"/>
      <c r="Q278" s="84"/>
      <c r="R278" s="84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5"/>
      <c r="AW278" s="66"/>
      <c r="AX278" s="66"/>
      <c r="AY278" s="106"/>
    </row>
    <row r="279" s="31" customFormat="1" spans="2:51">
      <c r="B279" s="65"/>
      <c r="C279" s="66"/>
      <c r="D279" s="66"/>
      <c r="E279" s="67"/>
      <c r="F279" s="66"/>
      <c r="G279" s="68"/>
      <c r="H279" s="66"/>
      <c r="I279" s="66"/>
      <c r="J279" s="66"/>
      <c r="K279" s="66"/>
      <c r="L279" s="84"/>
      <c r="M279" s="84"/>
      <c r="N279" s="41"/>
      <c r="O279" s="41"/>
      <c r="P279" s="84"/>
      <c r="Q279" s="84"/>
      <c r="R279" s="84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5"/>
      <c r="AW279" s="66"/>
      <c r="AX279" s="66"/>
      <c r="AY279" s="106"/>
    </row>
    <row r="280" s="31" customFormat="1" spans="2:51">
      <c r="B280" s="65"/>
      <c r="C280" s="66"/>
      <c r="D280" s="66"/>
      <c r="E280" s="67"/>
      <c r="F280" s="66"/>
      <c r="G280" s="68"/>
      <c r="H280" s="66"/>
      <c r="I280" s="66"/>
      <c r="J280" s="66"/>
      <c r="K280" s="66"/>
      <c r="L280" s="84"/>
      <c r="M280" s="84"/>
      <c r="N280" s="41"/>
      <c r="O280" s="41"/>
      <c r="P280" s="84"/>
      <c r="Q280" s="84"/>
      <c r="R280" s="84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5"/>
      <c r="AW280" s="66"/>
      <c r="AX280" s="66"/>
      <c r="AY280" s="106"/>
    </row>
    <row r="281" s="31" customFormat="1" spans="2:51">
      <c r="B281" s="65"/>
      <c r="C281" s="66"/>
      <c r="D281" s="66"/>
      <c r="E281" s="67"/>
      <c r="F281" s="66"/>
      <c r="G281" s="68"/>
      <c r="H281" s="66"/>
      <c r="I281" s="66"/>
      <c r="J281" s="66"/>
      <c r="K281" s="66"/>
      <c r="L281" s="84"/>
      <c r="M281" s="84"/>
      <c r="N281" s="41"/>
      <c r="O281" s="41"/>
      <c r="P281" s="84"/>
      <c r="Q281" s="84"/>
      <c r="R281" s="84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5"/>
      <c r="AW281" s="66"/>
      <c r="AX281" s="66"/>
      <c r="AY281" s="106"/>
    </row>
    <row r="282" s="31" customFormat="1" spans="2:51">
      <c r="B282" s="65"/>
      <c r="C282" s="66"/>
      <c r="D282" s="66"/>
      <c r="E282" s="67"/>
      <c r="F282" s="66"/>
      <c r="G282" s="68"/>
      <c r="H282" s="66"/>
      <c r="I282" s="66"/>
      <c r="J282" s="66"/>
      <c r="K282" s="66"/>
      <c r="L282" s="84"/>
      <c r="M282" s="84"/>
      <c r="N282" s="41"/>
      <c r="O282" s="41"/>
      <c r="P282" s="84"/>
      <c r="Q282" s="84"/>
      <c r="R282" s="84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5"/>
      <c r="AW282" s="66"/>
      <c r="AX282" s="66"/>
      <c r="AY282" s="106"/>
    </row>
    <row r="283" s="31" customFormat="1" spans="2:51">
      <c r="B283" s="65"/>
      <c r="C283" s="66"/>
      <c r="D283" s="66"/>
      <c r="E283" s="67"/>
      <c r="F283" s="66"/>
      <c r="G283" s="68"/>
      <c r="H283" s="66"/>
      <c r="I283" s="66"/>
      <c r="J283" s="66"/>
      <c r="K283" s="66"/>
      <c r="L283" s="84"/>
      <c r="M283" s="84"/>
      <c r="N283" s="41"/>
      <c r="O283" s="41"/>
      <c r="P283" s="84"/>
      <c r="Q283" s="84"/>
      <c r="R283" s="84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5"/>
      <c r="AW283" s="66"/>
      <c r="AX283" s="66"/>
      <c r="AY283" s="106"/>
    </row>
    <row r="284" s="31" customFormat="1" spans="2:51">
      <c r="B284" s="65"/>
      <c r="C284" s="66"/>
      <c r="D284" s="66"/>
      <c r="E284" s="67"/>
      <c r="F284" s="66"/>
      <c r="G284" s="68"/>
      <c r="H284" s="66"/>
      <c r="I284" s="66"/>
      <c r="J284" s="66"/>
      <c r="K284" s="66"/>
      <c r="L284" s="84"/>
      <c r="M284" s="84"/>
      <c r="N284" s="41"/>
      <c r="O284" s="41"/>
      <c r="P284" s="84"/>
      <c r="Q284" s="84"/>
      <c r="R284" s="84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5"/>
      <c r="AW284" s="66"/>
      <c r="AX284" s="66"/>
      <c r="AY284" s="106"/>
    </row>
    <row r="285" s="31" customFormat="1" spans="2:51">
      <c r="B285" s="65"/>
      <c r="C285" s="66"/>
      <c r="D285" s="66"/>
      <c r="E285" s="67"/>
      <c r="F285" s="66"/>
      <c r="G285" s="68"/>
      <c r="H285" s="66"/>
      <c r="I285" s="66"/>
      <c r="J285" s="66"/>
      <c r="K285" s="66"/>
      <c r="L285" s="84"/>
      <c r="M285" s="84"/>
      <c r="N285" s="41"/>
      <c r="O285" s="41"/>
      <c r="P285" s="84"/>
      <c r="Q285" s="84"/>
      <c r="R285" s="84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5"/>
      <c r="AW285" s="66"/>
      <c r="AX285" s="66"/>
      <c r="AY285" s="106"/>
    </row>
    <row r="286" s="31" customFormat="1" spans="2:51">
      <c r="B286" s="65"/>
      <c r="C286" s="66"/>
      <c r="D286" s="66"/>
      <c r="E286" s="67"/>
      <c r="F286" s="66"/>
      <c r="G286" s="68"/>
      <c r="H286" s="66"/>
      <c r="I286" s="66"/>
      <c r="J286" s="66"/>
      <c r="K286" s="66"/>
      <c r="L286" s="84"/>
      <c r="M286" s="84"/>
      <c r="N286" s="41"/>
      <c r="O286" s="41"/>
      <c r="P286" s="84"/>
      <c r="Q286" s="84"/>
      <c r="R286" s="84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5"/>
      <c r="AW286" s="66"/>
      <c r="AX286" s="66"/>
      <c r="AY286" s="106"/>
    </row>
    <row r="287" s="31" customFormat="1" spans="2:51">
      <c r="B287" s="65"/>
      <c r="C287" s="66"/>
      <c r="D287" s="66"/>
      <c r="E287" s="67"/>
      <c r="F287" s="66"/>
      <c r="G287" s="68"/>
      <c r="H287" s="66"/>
      <c r="I287" s="66"/>
      <c r="J287" s="66"/>
      <c r="K287" s="66"/>
      <c r="L287" s="84"/>
      <c r="M287" s="84"/>
      <c r="N287" s="41"/>
      <c r="O287" s="41"/>
      <c r="P287" s="84"/>
      <c r="Q287" s="84"/>
      <c r="R287" s="84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5"/>
      <c r="AW287" s="66"/>
      <c r="AX287" s="66"/>
      <c r="AY287" s="106"/>
    </row>
    <row r="288" s="31" customFormat="1" spans="2:51">
      <c r="B288" s="65"/>
      <c r="C288" s="66"/>
      <c r="D288" s="66"/>
      <c r="E288" s="67"/>
      <c r="F288" s="66"/>
      <c r="G288" s="68"/>
      <c r="H288" s="66"/>
      <c r="I288" s="66"/>
      <c r="J288" s="66"/>
      <c r="K288" s="66"/>
      <c r="L288" s="84"/>
      <c r="M288" s="84"/>
      <c r="N288" s="41"/>
      <c r="O288" s="41"/>
      <c r="P288" s="84"/>
      <c r="Q288" s="84"/>
      <c r="R288" s="84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5"/>
      <c r="AW288" s="66"/>
      <c r="AX288" s="66"/>
      <c r="AY288" s="106"/>
    </row>
    <row r="289" s="31" customFormat="1" spans="2:51">
      <c r="B289" s="65"/>
      <c r="C289" s="66"/>
      <c r="D289" s="66"/>
      <c r="E289" s="67"/>
      <c r="F289" s="66"/>
      <c r="G289" s="68"/>
      <c r="H289" s="66"/>
      <c r="I289" s="66"/>
      <c r="J289" s="66"/>
      <c r="K289" s="66"/>
      <c r="L289" s="84"/>
      <c r="M289" s="84"/>
      <c r="N289" s="41"/>
      <c r="O289" s="41"/>
      <c r="P289" s="84"/>
      <c r="Q289" s="84"/>
      <c r="R289" s="84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5"/>
      <c r="AW289" s="66"/>
      <c r="AX289" s="66"/>
      <c r="AY289" s="106"/>
    </row>
    <row r="290" s="31" customFormat="1" spans="2:51">
      <c r="B290" s="65"/>
      <c r="C290" s="66"/>
      <c r="D290" s="66"/>
      <c r="E290" s="67"/>
      <c r="F290" s="66"/>
      <c r="G290" s="68"/>
      <c r="H290" s="66"/>
      <c r="I290" s="66"/>
      <c r="J290" s="66"/>
      <c r="K290" s="66"/>
      <c r="L290" s="84"/>
      <c r="M290" s="84"/>
      <c r="N290" s="41"/>
      <c r="O290" s="41"/>
      <c r="P290" s="84"/>
      <c r="Q290" s="84"/>
      <c r="R290" s="84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5"/>
      <c r="AW290" s="66"/>
      <c r="AX290" s="66"/>
      <c r="AY290" s="106"/>
    </row>
    <row r="291" s="31" customFormat="1" spans="2:51">
      <c r="B291" s="65"/>
      <c r="C291" s="66"/>
      <c r="D291" s="66"/>
      <c r="E291" s="67"/>
      <c r="F291" s="66"/>
      <c r="G291" s="68"/>
      <c r="H291" s="66"/>
      <c r="I291" s="66"/>
      <c r="J291" s="66"/>
      <c r="K291" s="66"/>
      <c r="L291" s="84"/>
      <c r="M291" s="84"/>
      <c r="N291" s="41"/>
      <c r="O291" s="41"/>
      <c r="P291" s="84"/>
      <c r="Q291" s="84"/>
      <c r="R291" s="84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5"/>
      <c r="AW291" s="66"/>
      <c r="AX291" s="66"/>
      <c r="AY291" s="106"/>
    </row>
    <row r="292" s="31" customFormat="1" spans="2:51">
      <c r="B292" s="65"/>
      <c r="C292" s="66"/>
      <c r="D292" s="66"/>
      <c r="E292" s="67"/>
      <c r="F292" s="66"/>
      <c r="G292" s="68"/>
      <c r="H292" s="66"/>
      <c r="I292" s="66"/>
      <c r="J292" s="66"/>
      <c r="K292" s="66"/>
      <c r="L292" s="84"/>
      <c r="M292" s="84"/>
      <c r="N292" s="41"/>
      <c r="O292" s="41"/>
      <c r="P292" s="84"/>
      <c r="Q292" s="84"/>
      <c r="R292" s="84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5"/>
      <c r="AW292" s="66"/>
      <c r="AX292" s="66"/>
      <c r="AY292" s="106"/>
    </row>
    <row r="293" s="31" customFormat="1" spans="2:51">
      <c r="B293" s="65"/>
      <c r="C293" s="66"/>
      <c r="D293" s="66"/>
      <c r="E293" s="67"/>
      <c r="F293" s="66"/>
      <c r="G293" s="68"/>
      <c r="H293" s="66"/>
      <c r="I293" s="66"/>
      <c r="J293" s="66"/>
      <c r="K293" s="66"/>
      <c r="L293" s="84"/>
      <c r="M293" s="84"/>
      <c r="N293" s="41"/>
      <c r="O293" s="41"/>
      <c r="P293" s="84"/>
      <c r="Q293" s="84"/>
      <c r="R293" s="84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5"/>
      <c r="AW293" s="66"/>
      <c r="AX293" s="66"/>
      <c r="AY293" s="106"/>
    </row>
    <row r="294" s="31" customFormat="1" spans="2:51">
      <c r="B294" s="65"/>
      <c r="C294" s="66"/>
      <c r="D294" s="66"/>
      <c r="E294" s="67"/>
      <c r="F294" s="66"/>
      <c r="G294" s="68"/>
      <c r="H294" s="66"/>
      <c r="I294" s="66"/>
      <c r="J294" s="66"/>
      <c r="K294" s="66"/>
      <c r="L294" s="84"/>
      <c r="M294" s="84"/>
      <c r="N294" s="41"/>
      <c r="O294" s="41"/>
      <c r="P294" s="84"/>
      <c r="Q294" s="84"/>
      <c r="R294" s="84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5"/>
      <c r="AW294" s="66"/>
      <c r="AX294" s="66"/>
      <c r="AY294" s="106"/>
    </row>
    <row r="295" s="31" customFormat="1" spans="2:51">
      <c r="B295" s="65"/>
      <c r="C295" s="66"/>
      <c r="D295" s="66"/>
      <c r="E295" s="67"/>
      <c r="F295" s="66"/>
      <c r="G295" s="68"/>
      <c r="H295" s="66"/>
      <c r="I295" s="66"/>
      <c r="J295" s="66"/>
      <c r="K295" s="66"/>
      <c r="L295" s="84"/>
      <c r="M295" s="84"/>
      <c r="N295" s="41"/>
      <c r="O295" s="41"/>
      <c r="P295" s="84"/>
      <c r="Q295" s="84"/>
      <c r="R295" s="84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5"/>
      <c r="AW295" s="66"/>
      <c r="AX295" s="66"/>
      <c r="AY295" s="106"/>
    </row>
    <row r="296" s="31" customFormat="1" spans="2:51">
      <c r="B296" s="65"/>
      <c r="C296" s="66"/>
      <c r="D296" s="66"/>
      <c r="E296" s="67"/>
      <c r="F296" s="66"/>
      <c r="G296" s="68"/>
      <c r="H296" s="66"/>
      <c r="I296" s="66"/>
      <c r="J296" s="66"/>
      <c r="K296" s="66"/>
      <c r="L296" s="84"/>
      <c r="M296" s="84"/>
      <c r="N296" s="41"/>
      <c r="O296" s="41"/>
      <c r="P296" s="84"/>
      <c r="Q296" s="84"/>
      <c r="R296" s="84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5"/>
      <c r="AW296" s="66"/>
      <c r="AX296" s="66"/>
      <c r="AY296" s="106"/>
    </row>
    <row r="297" s="31" customFormat="1" spans="2:51">
      <c r="B297" s="65"/>
      <c r="C297" s="66"/>
      <c r="D297" s="66"/>
      <c r="E297" s="67"/>
      <c r="F297" s="66"/>
      <c r="G297" s="68"/>
      <c r="H297" s="66"/>
      <c r="I297" s="66"/>
      <c r="J297" s="66"/>
      <c r="K297" s="66"/>
      <c r="L297" s="84"/>
      <c r="M297" s="84"/>
      <c r="N297" s="41"/>
      <c r="O297" s="41"/>
      <c r="P297" s="84"/>
      <c r="Q297" s="84"/>
      <c r="R297" s="84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5"/>
      <c r="AW297" s="66"/>
      <c r="AX297" s="66"/>
      <c r="AY297" s="106"/>
    </row>
    <row r="298" s="31" customFormat="1" spans="2:51">
      <c r="B298" s="65"/>
      <c r="C298" s="66"/>
      <c r="D298" s="66"/>
      <c r="E298" s="67"/>
      <c r="F298" s="66"/>
      <c r="G298" s="68"/>
      <c r="H298" s="66"/>
      <c r="I298" s="66"/>
      <c r="J298" s="66"/>
      <c r="K298" s="66"/>
      <c r="L298" s="84"/>
      <c r="M298" s="84"/>
      <c r="N298" s="41"/>
      <c r="O298" s="41"/>
      <c r="P298" s="84"/>
      <c r="Q298" s="84"/>
      <c r="R298" s="84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5"/>
      <c r="AW298" s="66"/>
      <c r="AX298" s="66"/>
      <c r="AY298" s="106"/>
    </row>
    <row r="299" s="31" customFormat="1" spans="2:51">
      <c r="B299" s="65"/>
      <c r="C299" s="66"/>
      <c r="D299" s="66"/>
      <c r="E299" s="67"/>
      <c r="F299" s="66"/>
      <c r="G299" s="68"/>
      <c r="H299" s="66"/>
      <c r="I299" s="66"/>
      <c r="J299" s="66"/>
      <c r="K299" s="66"/>
      <c r="L299" s="84"/>
      <c r="M299" s="84"/>
      <c r="N299" s="41"/>
      <c r="O299" s="41"/>
      <c r="P299" s="84"/>
      <c r="Q299" s="84"/>
      <c r="R299" s="84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5"/>
      <c r="AW299" s="66"/>
      <c r="AX299" s="66"/>
      <c r="AY299" s="106"/>
    </row>
    <row r="300" s="31" customFormat="1" spans="2:51">
      <c r="B300" s="65"/>
      <c r="C300" s="66"/>
      <c r="D300" s="66"/>
      <c r="E300" s="67"/>
      <c r="F300" s="66"/>
      <c r="G300" s="68"/>
      <c r="H300" s="66"/>
      <c r="I300" s="66"/>
      <c r="J300" s="66"/>
      <c r="K300" s="66"/>
      <c r="L300" s="84"/>
      <c r="M300" s="84"/>
      <c r="N300" s="41"/>
      <c r="O300" s="41"/>
      <c r="P300" s="84"/>
      <c r="Q300" s="84"/>
      <c r="R300" s="84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5"/>
      <c r="AW300" s="66"/>
      <c r="AX300" s="66"/>
      <c r="AY300" s="106"/>
    </row>
    <row r="301" s="31" customFormat="1" spans="2:51">
      <c r="B301" s="65"/>
      <c r="C301" s="66"/>
      <c r="D301" s="66"/>
      <c r="E301" s="67"/>
      <c r="F301" s="66"/>
      <c r="G301" s="68"/>
      <c r="H301" s="66"/>
      <c r="I301" s="66"/>
      <c r="J301" s="66"/>
      <c r="K301" s="66"/>
      <c r="L301" s="84"/>
      <c r="M301" s="84"/>
      <c r="N301" s="41"/>
      <c r="O301" s="41"/>
      <c r="P301" s="84"/>
      <c r="Q301" s="84"/>
      <c r="R301" s="84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5"/>
      <c r="AW301" s="66"/>
      <c r="AX301" s="66"/>
      <c r="AY301" s="106"/>
    </row>
    <row r="302" s="31" customFormat="1" spans="2:51">
      <c r="B302" s="65"/>
      <c r="C302" s="66"/>
      <c r="D302" s="66"/>
      <c r="E302" s="67"/>
      <c r="F302" s="66"/>
      <c r="G302" s="68"/>
      <c r="H302" s="66"/>
      <c r="I302" s="66"/>
      <c r="J302" s="66"/>
      <c r="K302" s="66"/>
      <c r="L302" s="84"/>
      <c r="M302" s="84"/>
      <c r="N302" s="41"/>
      <c r="O302" s="41"/>
      <c r="P302" s="84"/>
      <c r="Q302" s="84"/>
      <c r="R302" s="84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5"/>
      <c r="AW302" s="66"/>
      <c r="AX302" s="66"/>
      <c r="AY302" s="106"/>
    </row>
    <row r="303" s="31" customFormat="1" spans="2:51">
      <c r="B303" s="65"/>
      <c r="C303" s="66"/>
      <c r="D303" s="66"/>
      <c r="E303" s="67"/>
      <c r="F303" s="66"/>
      <c r="G303" s="68"/>
      <c r="H303" s="66"/>
      <c r="I303" s="66"/>
      <c r="J303" s="66"/>
      <c r="K303" s="66"/>
      <c r="L303" s="84"/>
      <c r="M303" s="84"/>
      <c r="N303" s="41"/>
      <c r="O303" s="41"/>
      <c r="P303" s="84"/>
      <c r="Q303" s="84"/>
      <c r="R303" s="84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5"/>
      <c r="AW303" s="66"/>
      <c r="AX303" s="66"/>
      <c r="AY303" s="106"/>
    </row>
    <row r="304" s="31" customFormat="1" spans="2:51">
      <c r="B304" s="65"/>
      <c r="C304" s="66"/>
      <c r="D304" s="66"/>
      <c r="E304" s="67"/>
      <c r="F304" s="66"/>
      <c r="G304" s="68"/>
      <c r="H304" s="66"/>
      <c r="I304" s="66"/>
      <c r="J304" s="66"/>
      <c r="K304" s="66"/>
      <c r="L304" s="84"/>
      <c r="M304" s="84"/>
      <c r="N304" s="41"/>
      <c r="O304" s="41"/>
      <c r="P304" s="84"/>
      <c r="Q304" s="84"/>
      <c r="R304" s="84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5"/>
      <c r="AW304" s="66"/>
      <c r="AX304" s="66"/>
      <c r="AY304" s="106"/>
    </row>
    <row r="305" s="31" customFormat="1" spans="2:51">
      <c r="B305" s="65"/>
      <c r="C305" s="66"/>
      <c r="D305" s="66"/>
      <c r="E305" s="67"/>
      <c r="F305" s="66"/>
      <c r="G305" s="68"/>
      <c r="H305" s="66"/>
      <c r="I305" s="66"/>
      <c r="J305" s="66"/>
      <c r="K305" s="66"/>
      <c r="L305" s="84"/>
      <c r="M305" s="84"/>
      <c r="N305" s="41"/>
      <c r="O305" s="41"/>
      <c r="P305" s="84"/>
      <c r="Q305" s="84"/>
      <c r="R305" s="84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5"/>
      <c r="AW305" s="66"/>
      <c r="AX305" s="66"/>
      <c r="AY305" s="106"/>
    </row>
    <row r="306" s="31" customFormat="1" spans="2:51">
      <c r="B306" s="65"/>
      <c r="C306" s="66"/>
      <c r="D306" s="66"/>
      <c r="E306" s="67"/>
      <c r="F306" s="66"/>
      <c r="G306" s="68"/>
      <c r="H306" s="66"/>
      <c r="I306" s="66"/>
      <c r="J306" s="66"/>
      <c r="K306" s="66"/>
      <c r="L306" s="84"/>
      <c r="M306" s="84"/>
      <c r="N306" s="41"/>
      <c r="O306" s="41"/>
      <c r="P306" s="84"/>
      <c r="Q306" s="84"/>
      <c r="R306" s="84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5"/>
      <c r="AW306" s="66"/>
      <c r="AX306" s="66"/>
      <c r="AY306" s="106"/>
    </row>
    <row r="307" s="31" customFormat="1" spans="2:51">
      <c r="B307" s="65"/>
      <c r="C307" s="66"/>
      <c r="D307" s="66"/>
      <c r="E307" s="67"/>
      <c r="F307" s="66"/>
      <c r="G307" s="68"/>
      <c r="H307" s="66"/>
      <c r="I307" s="66"/>
      <c r="J307" s="66"/>
      <c r="K307" s="66"/>
      <c r="L307" s="84"/>
      <c r="M307" s="84"/>
      <c r="N307" s="41"/>
      <c r="O307" s="41"/>
      <c r="P307" s="84"/>
      <c r="Q307" s="84"/>
      <c r="R307" s="84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5"/>
      <c r="AW307" s="66"/>
      <c r="AX307" s="66"/>
      <c r="AY307" s="106"/>
    </row>
    <row r="308" s="31" customFormat="1" spans="2:51">
      <c r="B308" s="65"/>
      <c r="C308" s="66"/>
      <c r="D308" s="66"/>
      <c r="E308" s="67"/>
      <c r="F308" s="66"/>
      <c r="G308" s="68"/>
      <c r="H308" s="66"/>
      <c r="I308" s="66"/>
      <c r="J308" s="66"/>
      <c r="K308" s="66"/>
      <c r="L308" s="84"/>
      <c r="M308" s="84"/>
      <c r="N308" s="41"/>
      <c r="O308" s="41"/>
      <c r="P308" s="84"/>
      <c r="Q308" s="84"/>
      <c r="R308" s="84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5"/>
      <c r="AW308" s="66"/>
      <c r="AX308" s="66"/>
      <c r="AY308" s="106"/>
    </row>
    <row r="309" s="31" customFormat="1" spans="2:51">
      <c r="B309" s="65"/>
      <c r="C309" s="66"/>
      <c r="D309" s="66"/>
      <c r="E309" s="67"/>
      <c r="F309" s="66"/>
      <c r="G309" s="68"/>
      <c r="H309" s="66"/>
      <c r="I309" s="66"/>
      <c r="J309" s="66"/>
      <c r="K309" s="66"/>
      <c r="L309" s="84"/>
      <c r="M309" s="84"/>
      <c r="N309" s="41"/>
      <c r="O309" s="41"/>
      <c r="P309" s="84"/>
      <c r="Q309" s="84"/>
      <c r="R309" s="84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5"/>
      <c r="AW309" s="66"/>
      <c r="AX309" s="66"/>
      <c r="AY309" s="106"/>
    </row>
    <row r="310" s="31" customFormat="1" spans="2:51">
      <c r="B310" s="65"/>
      <c r="C310" s="66"/>
      <c r="D310" s="66"/>
      <c r="E310" s="67"/>
      <c r="F310" s="66"/>
      <c r="G310" s="68"/>
      <c r="H310" s="66"/>
      <c r="I310" s="66"/>
      <c r="J310" s="66"/>
      <c r="K310" s="66"/>
      <c r="L310" s="84"/>
      <c r="M310" s="84"/>
      <c r="N310" s="41"/>
      <c r="O310" s="41"/>
      <c r="P310" s="84"/>
      <c r="Q310" s="84"/>
      <c r="R310" s="84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5"/>
      <c r="AW310" s="66"/>
      <c r="AX310" s="66"/>
      <c r="AY310" s="106"/>
    </row>
    <row r="311" s="31" customFormat="1" spans="2:51">
      <c r="B311" s="65"/>
      <c r="C311" s="66"/>
      <c r="D311" s="66"/>
      <c r="E311" s="67"/>
      <c r="F311" s="66"/>
      <c r="G311" s="68"/>
      <c r="H311" s="66"/>
      <c r="I311" s="66"/>
      <c r="J311" s="66"/>
      <c r="K311" s="66"/>
      <c r="L311" s="84"/>
      <c r="M311" s="84"/>
      <c r="N311" s="41"/>
      <c r="O311" s="41"/>
      <c r="P311" s="84"/>
      <c r="Q311" s="84"/>
      <c r="R311" s="84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5"/>
      <c r="AW311" s="66"/>
      <c r="AX311" s="66"/>
      <c r="AY311" s="106"/>
    </row>
    <row r="312" s="31" customFormat="1" spans="2:51">
      <c r="B312" s="65"/>
      <c r="C312" s="66"/>
      <c r="D312" s="66"/>
      <c r="E312" s="67"/>
      <c r="F312" s="66"/>
      <c r="G312" s="68"/>
      <c r="H312" s="66"/>
      <c r="I312" s="66"/>
      <c r="J312" s="66"/>
      <c r="K312" s="66"/>
      <c r="L312" s="84"/>
      <c r="M312" s="84"/>
      <c r="N312" s="41"/>
      <c r="O312" s="41"/>
      <c r="P312" s="84"/>
      <c r="Q312" s="84"/>
      <c r="R312" s="84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5"/>
      <c r="AW312" s="66"/>
      <c r="AX312" s="66"/>
      <c r="AY312" s="106"/>
    </row>
    <row r="313" s="31" customFormat="1" spans="2:51">
      <c r="B313" s="65"/>
      <c r="C313" s="66"/>
      <c r="D313" s="66"/>
      <c r="E313" s="67"/>
      <c r="F313" s="66"/>
      <c r="G313" s="68"/>
      <c r="H313" s="66"/>
      <c r="I313" s="66"/>
      <c r="J313" s="66"/>
      <c r="K313" s="66"/>
      <c r="L313" s="84"/>
      <c r="M313" s="84"/>
      <c r="N313" s="41"/>
      <c r="O313" s="41"/>
      <c r="P313" s="84"/>
      <c r="Q313" s="84"/>
      <c r="R313" s="84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5"/>
      <c r="AW313" s="66"/>
      <c r="AX313" s="66"/>
      <c r="AY313" s="106"/>
    </row>
    <row r="314" s="31" customFormat="1" spans="2:51">
      <c r="B314" s="65"/>
      <c r="C314" s="66"/>
      <c r="D314" s="66"/>
      <c r="E314" s="67"/>
      <c r="F314" s="66"/>
      <c r="G314" s="68"/>
      <c r="H314" s="66"/>
      <c r="I314" s="66"/>
      <c r="J314" s="66"/>
      <c r="K314" s="66"/>
      <c r="L314" s="84"/>
      <c r="M314" s="84"/>
      <c r="N314" s="41"/>
      <c r="O314" s="41"/>
      <c r="P314" s="84"/>
      <c r="Q314" s="84"/>
      <c r="R314" s="84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5"/>
      <c r="AW314" s="66"/>
      <c r="AX314" s="66"/>
      <c r="AY314" s="106"/>
    </row>
    <row r="315" s="31" customFormat="1" spans="2:51">
      <c r="B315" s="65"/>
      <c r="C315" s="66"/>
      <c r="D315" s="66"/>
      <c r="E315" s="67"/>
      <c r="F315" s="66"/>
      <c r="G315" s="68"/>
      <c r="H315" s="66"/>
      <c r="I315" s="66"/>
      <c r="J315" s="66"/>
      <c r="K315" s="66"/>
      <c r="L315" s="84"/>
      <c r="M315" s="84"/>
      <c r="N315" s="41"/>
      <c r="O315" s="41"/>
      <c r="P315" s="84"/>
      <c r="Q315" s="84"/>
      <c r="R315" s="84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5"/>
      <c r="AW315" s="66"/>
      <c r="AX315" s="66"/>
      <c r="AY315" s="106"/>
    </row>
    <row r="316" s="31" customFormat="1" spans="2:51">
      <c r="B316" s="65"/>
      <c r="C316" s="66"/>
      <c r="D316" s="66"/>
      <c r="E316" s="67"/>
      <c r="F316" s="66"/>
      <c r="G316" s="68"/>
      <c r="H316" s="66"/>
      <c r="I316" s="66"/>
      <c r="J316" s="66"/>
      <c r="K316" s="66"/>
      <c r="L316" s="84"/>
      <c r="M316" s="84"/>
      <c r="N316" s="41"/>
      <c r="O316" s="41"/>
      <c r="P316" s="84"/>
      <c r="Q316" s="84"/>
      <c r="R316" s="84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5"/>
      <c r="AW316" s="66"/>
      <c r="AX316" s="66"/>
      <c r="AY316" s="106"/>
    </row>
    <row r="317" s="31" customFormat="1" spans="2:51">
      <c r="B317" s="65"/>
      <c r="C317" s="66"/>
      <c r="D317" s="66"/>
      <c r="E317" s="67"/>
      <c r="F317" s="66"/>
      <c r="G317" s="68"/>
      <c r="H317" s="66"/>
      <c r="I317" s="66"/>
      <c r="J317" s="66"/>
      <c r="K317" s="66"/>
      <c r="L317" s="84"/>
      <c r="M317" s="84"/>
      <c r="N317" s="41"/>
      <c r="O317" s="41"/>
      <c r="P317" s="84"/>
      <c r="Q317" s="84"/>
      <c r="R317" s="84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5"/>
      <c r="AW317" s="66"/>
      <c r="AX317" s="66"/>
      <c r="AY317" s="106"/>
    </row>
    <row r="318" s="31" customFormat="1" spans="2:51">
      <c r="B318" s="65"/>
      <c r="C318" s="66"/>
      <c r="D318" s="66"/>
      <c r="E318" s="67"/>
      <c r="F318" s="66"/>
      <c r="G318" s="68"/>
      <c r="H318" s="66"/>
      <c r="I318" s="66"/>
      <c r="J318" s="66"/>
      <c r="K318" s="66"/>
      <c r="L318" s="84"/>
      <c r="M318" s="84"/>
      <c r="N318" s="41"/>
      <c r="O318" s="41"/>
      <c r="P318" s="84"/>
      <c r="Q318" s="84"/>
      <c r="R318" s="84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5"/>
      <c r="AW318" s="66"/>
      <c r="AX318" s="66"/>
      <c r="AY318" s="106"/>
    </row>
    <row r="319" s="31" customFormat="1" spans="2:51">
      <c r="B319" s="65"/>
      <c r="C319" s="66"/>
      <c r="D319" s="66"/>
      <c r="E319" s="67"/>
      <c r="F319" s="66"/>
      <c r="G319" s="68"/>
      <c r="H319" s="66"/>
      <c r="I319" s="66"/>
      <c r="J319" s="66"/>
      <c r="K319" s="66"/>
      <c r="L319" s="84"/>
      <c r="M319" s="84"/>
      <c r="N319" s="41"/>
      <c r="O319" s="41"/>
      <c r="P319" s="84"/>
      <c r="Q319" s="84"/>
      <c r="R319" s="84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5"/>
      <c r="AW319" s="66"/>
      <c r="AX319" s="66"/>
      <c r="AY319" s="106"/>
    </row>
    <row r="320" s="31" customFormat="1" spans="2:51">
      <c r="B320" s="65"/>
      <c r="C320" s="66"/>
      <c r="D320" s="66"/>
      <c r="E320" s="67"/>
      <c r="F320" s="66"/>
      <c r="G320" s="68"/>
      <c r="H320" s="66"/>
      <c r="I320" s="66"/>
      <c r="J320" s="66"/>
      <c r="K320" s="66"/>
      <c r="L320" s="84"/>
      <c r="M320" s="84"/>
      <c r="N320" s="41"/>
      <c r="O320" s="41"/>
      <c r="P320" s="84"/>
      <c r="Q320" s="84"/>
      <c r="R320" s="84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5"/>
      <c r="AW320" s="66"/>
      <c r="AX320" s="66"/>
      <c r="AY320" s="106"/>
    </row>
    <row r="321" s="31" customFormat="1" spans="2:51">
      <c r="B321" s="65"/>
      <c r="C321" s="66"/>
      <c r="D321" s="66"/>
      <c r="E321" s="67"/>
      <c r="F321" s="66"/>
      <c r="G321" s="68"/>
      <c r="H321" s="66"/>
      <c r="I321" s="66"/>
      <c r="J321" s="66"/>
      <c r="K321" s="66"/>
      <c r="L321" s="84"/>
      <c r="M321" s="84"/>
      <c r="N321" s="41"/>
      <c r="O321" s="41"/>
      <c r="P321" s="84"/>
      <c r="Q321" s="84"/>
      <c r="R321" s="84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5"/>
      <c r="AW321" s="66"/>
      <c r="AX321" s="66"/>
      <c r="AY321" s="106"/>
    </row>
    <row r="322" s="31" customFormat="1" spans="2:51">
      <c r="B322" s="65"/>
      <c r="C322" s="66"/>
      <c r="D322" s="66"/>
      <c r="E322" s="67"/>
      <c r="F322" s="66"/>
      <c r="G322" s="68"/>
      <c r="H322" s="66"/>
      <c r="I322" s="66"/>
      <c r="J322" s="66"/>
      <c r="K322" s="66"/>
      <c r="L322" s="84"/>
      <c r="M322" s="84"/>
      <c r="N322" s="41"/>
      <c r="O322" s="41"/>
      <c r="P322" s="84"/>
      <c r="Q322" s="84"/>
      <c r="R322" s="84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5"/>
      <c r="AW322" s="66"/>
      <c r="AX322" s="66"/>
      <c r="AY322" s="106"/>
    </row>
    <row r="323" s="31" customFormat="1" spans="2:51">
      <c r="B323" s="65"/>
      <c r="C323" s="66"/>
      <c r="D323" s="66"/>
      <c r="E323" s="67"/>
      <c r="F323" s="66"/>
      <c r="G323" s="68"/>
      <c r="H323" s="66"/>
      <c r="I323" s="66"/>
      <c r="J323" s="66"/>
      <c r="K323" s="66"/>
      <c r="L323" s="84"/>
      <c r="M323" s="84"/>
      <c r="N323" s="41"/>
      <c r="O323" s="41"/>
      <c r="P323" s="84"/>
      <c r="Q323" s="84"/>
      <c r="R323" s="84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5"/>
      <c r="AW323" s="66"/>
      <c r="AX323" s="66"/>
      <c r="AY323" s="106"/>
    </row>
    <row r="324" s="31" customFormat="1" spans="2:51">
      <c r="B324" s="65"/>
      <c r="C324" s="66"/>
      <c r="D324" s="66"/>
      <c r="E324" s="67"/>
      <c r="F324" s="66"/>
      <c r="G324" s="68"/>
      <c r="H324" s="66"/>
      <c r="I324" s="66"/>
      <c r="J324" s="66"/>
      <c r="K324" s="66"/>
      <c r="L324" s="84"/>
      <c r="M324" s="84"/>
      <c r="N324" s="41"/>
      <c r="O324" s="41"/>
      <c r="P324" s="84"/>
      <c r="Q324" s="84"/>
      <c r="R324" s="84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5"/>
      <c r="AW324" s="66"/>
      <c r="AX324" s="66"/>
      <c r="AY324" s="106"/>
    </row>
    <row r="325" s="31" customFormat="1" spans="2:51">
      <c r="B325" s="65"/>
      <c r="C325" s="66"/>
      <c r="D325" s="66"/>
      <c r="E325" s="67"/>
      <c r="F325" s="66"/>
      <c r="G325" s="68"/>
      <c r="H325" s="66"/>
      <c r="I325" s="66"/>
      <c r="J325" s="66"/>
      <c r="K325" s="66"/>
      <c r="L325" s="84"/>
      <c r="M325" s="84"/>
      <c r="N325" s="41"/>
      <c r="O325" s="41"/>
      <c r="P325" s="84"/>
      <c r="Q325" s="84"/>
      <c r="R325" s="84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5"/>
      <c r="AW325" s="66"/>
      <c r="AX325" s="66"/>
      <c r="AY325" s="106"/>
    </row>
    <row r="326" s="31" customFormat="1" spans="2:51">
      <c r="B326" s="65"/>
      <c r="C326" s="66"/>
      <c r="D326" s="66"/>
      <c r="E326" s="67"/>
      <c r="F326" s="66"/>
      <c r="G326" s="68"/>
      <c r="H326" s="66"/>
      <c r="I326" s="66"/>
      <c r="J326" s="66"/>
      <c r="K326" s="66"/>
      <c r="L326" s="84"/>
      <c r="M326" s="84"/>
      <c r="N326" s="41"/>
      <c r="O326" s="41"/>
      <c r="P326" s="84"/>
      <c r="Q326" s="84"/>
      <c r="R326" s="84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5"/>
      <c r="AW326" s="66"/>
      <c r="AX326" s="66"/>
      <c r="AY326" s="106"/>
    </row>
    <row r="327" s="31" customFormat="1" spans="2:51">
      <c r="B327" s="65"/>
      <c r="C327" s="66"/>
      <c r="D327" s="66"/>
      <c r="E327" s="67"/>
      <c r="F327" s="66"/>
      <c r="G327" s="68"/>
      <c r="H327" s="66"/>
      <c r="I327" s="66"/>
      <c r="J327" s="66"/>
      <c r="K327" s="66"/>
      <c r="L327" s="84"/>
      <c r="M327" s="84"/>
      <c r="N327" s="41"/>
      <c r="O327" s="41"/>
      <c r="P327" s="84"/>
      <c r="Q327" s="84"/>
      <c r="R327" s="84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5"/>
      <c r="AW327" s="66"/>
      <c r="AX327" s="66"/>
      <c r="AY327" s="106"/>
    </row>
    <row r="328" s="31" customFormat="1" spans="2:51">
      <c r="B328" s="65"/>
      <c r="C328" s="66"/>
      <c r="D328" s="66"/>
      <c r="E328" s="67"/>
      <c r="F328" s="66"/>
      <c r="G328" s="68"/>
      <c r="H328" s="66"/>
      <c r="I328" s="66"/>
      <c r="J328" s="66"/>
      <c r="K328" s="66"/>
      <c r="L328" s="84"/>
      <c r="M328" s="84"/>
      <c r="N328" s="41"/>
      <c r="O328" s="41"/>
      <c r="P328" s="84"/>
      <c r="Q328" s="84"/>
      <c r="R328" s="84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5"/>
      <c r="AW328" s="66"/>
      <c r="AX328" s="66"/>
      <c r="AY328" s="106"/>
    </row>
    <row r="329" s="31" customFormat="1" spans="2:51">
      <c r="B329" s="65"/>
      <c r="C329" s="66"/>
      <c r="D329" s="66"/>
      <c r="E329" s="67"/>
      <c r="F329" s="66"/>
      <c r="G329" s="68"/>
      <c r="H329" s="66"/>
      <c r="I329" s="66"/>
      <c r="J329" s="66"/>
      <c r="K329" s="66"/>
      <c r="L329" s="84"/>
      <c r="M329" s="84"/>
      <c r="N329" s="41"/>
      <c r="O329" s="41"/>
      <c r="P329" s="84"/>
      <c r="Q329" s="84"/>
      <c r="R329" s="84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5"/>
      <c r="AW329" s="66"/>
      <c r="AX329" s="66"/>
      <c r="AY329" s="106"/>
    </row>
    <row r="330" s="31" customFormat="1" spans="2:51">
      <c r="B330" s="65"/>
      <c r="C330" s="66"/>
      <c r="D330" s="66"/>
      <c r="E330" s="67"/>
      <c r="F330" s="66"/>
      <c r="G330" s="68"/>
      <c r="H330" s="66"/>
      <c r="I330" s="66"/>
      <c r="J330" s="66"/>
      <c r="K330" s="66"/>
      <c r="L330" s="84"/>
      <c r="M330" s="84"/>
      <c r="N330" s="41"/>
      <c r="O330" s="41"/>
      <c r="P330" s="84"/>
      <c r="Q330" s="84"/>
      <c r="R330" s="84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5"/>
      <c r="AW330" s="66"/>
      <c r="AX330" s="66"/>
      <c r="AY330" s="106"/>
    </row>
    <row r="331" s="31" customFormat="1" spans="2:51">
      <c r="B331" s="65"/>
      <c r="C331" s="66"/>
      <c r="D331" s="66"/>
      <c r="E331" s="67"/>
      <c r="F331" s="66"/>
      <c r="G331" s="68"/>
      <c r="H331" s="66"/>
      <c r="I331" s="66"/>
      <c r="J331" s="66"/>
      <c r="K331" s="66"/>
      <c r="L331" s="84"/>
      <c r="M331" s="84"/>
      <c r="N331" s="41"/>
      <c r="O331" s="41"/>
      <c r="P331" s="84"/>
      <c r="Q331" s="84"/>
      <c r="R331" s="84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5"/>
      <c r="AW331" s="66"/>
      <c r="AX331" s="66"/>
      <c r="AY331" s="106"/>
    </row>
    <row r="332" s="31" customFormat="1" spans="2:51">
      <c r="B332" s="65"/>
      <c r="C332" s="66"/>
      <c r="D332" s="66"/>
      <c r="E332" s="67"/>
      <c r="F332" s="66"/>
      <c r="G332" s="68"/>
      <c r="H332" s="66"/>
      <c r="I332" s="66"/>
      <c r="J332" s="66"/>
      <c r="K332" s="66"/>
      <c r="L332" s="84"/>
      <c r="M332" s="84"/>
      <c r="N332" s="41"/>
      <c r="O332" s="41"/>
      <c r="P332" s="84"/>
      <c r="Q332" s="84"/>
      <c r="R332" s="84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5"/>
      <c r="AW332" s="66"/>
      <c r="AX332" s="66"/>
      <c r="AY332" s="106"/>
    </row>
    <row r="333" s="31" customFormat="1" spans="2:51">
      <c r="B333" s="65"/>
      <c r="C333" s="66"/>
      <c r="D333" s="66"/>
      <c r="E333" s="67"/>
      <c r="F333" s="66"/>
      <c r="G333" s="68"/>
      <c r="H333" s="66"/>
      <c r="I333" s="66"/>
      <c r="J333" s="66"/>
      <c r="K333" s="66"/>
      <c r="L333" s="84"/>
      <c r="M333" s="84"/>
      <c r="N333" s="41"/>
      <c r="O333" s="41"/>
      <c r="P333" s="84"/>
      <c r="Q333" s="84"/>
      <c r="R333" s="84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5"/>
      <c r="AW333" s="66"/>
      <c r="AX333" s="66"/>
      <c r="AY333" s="106"/>
    </row>
    <row r="334" s="31" customFormat="1" spans="2:51">
      <c r="B334" s="65"/>
      <c r="C334" s="66"/>
      <c r="D334" s="66"/>
      <c r="E334" s="67"/>
      <c r="F334" s="66"/>
      <c r="G334" s="68"/>
      <c r="H334" s="66"/>
      <c r="I334" s="66"/>
      <c r="J334" s="66"/>
      <c r="K334" s="66"/>
      <c r="L334" s="84"/>
      <c r="M334" s="84"/>
      <c r="N334" s="41"/>
      <c r="O334" s="41"/>
      <c r="P334" s="84"/>
      <c r="Q334" s="84"/>
      <c r="R334" s="84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5"/>
      <c r="AW334" s="66"/>
      <c r="AX334" s="66"/>
      <c r="AY334" s="106"/>
    </row>
    <row r="335" s="31" customFormat="1" spans="2:51">
      <c r="B335" s="65"/>
      <c r="C335" s="66"/>
      <c r="D335" s="66"/>
      <c r="E335" s="67"/>
      <c r="F335" s="66"/>
      <c r="G335" s="68"/>
      <c r="H335" s="66"/>
      <c r="I335" s="66"/>
      <c r="J335" s="66"/>
      <c r="K335" s="66"/>
      <c r="L335" s="84"/>
      <c r="M335" s="84"/>
      <c r="N335" s="41"/>
      <c r="O335" s="41"/>
      <c r="P335" s="84"/>
      <c r="Q335" s="84"/>
      <c r="R335" s="84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5"/>
      <c r="AW335" s="66"/>
      <c r="AX335" s="66"/>
      <c r="AY335" s="106"/>
    </row>
    <row r="336" s="31" customFormat="1" spans="2:51">
      <c r="B336" s="65"/>
      <c r="C336" s="66"/>
      <c r="D336" s="66"/>
      <c r="E336" s="67"/>
      <c r="F336" s="66"/>
      <c r="G336" s="68"/>
      <c r="H336" s="66"/>
      <c r="I336" s="66"/>
      <c r="J336" s="66"/>
      <c r="K336" s="66"/>
      <c r="L336" s="84"/>
      <c r="M336" s="84"/>
      <c r="N336" s="41"/>
      <c r="O336" s="41"/>
      <c r="P336" s="84"/>
      <c r="Q336" s="84"/>
      <c r="R336" s="84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5"/>
      <c r="AW336" s="66"/>
      <c r="AX336" s="66"/>
      <c r="AY336" s="106"/>
    </row>
    <row r="337" s="31" customFormat="1" spans="2:51">
      <c r="B337" s="65"/>
      <c r="C337" s="66"/>
      <c r="D337" s="66"/>
      <c r="E337" s="67"/>
      <c r="F337" s="66"/>
      <c r="G337" s="68"/>
      <c r="H337" s="66"/>
      <c r="I337" s="66"/>
      <c r="J337" s="66"/>
      <c r="K337" s="66"/>
      <c r="L337" s="84"/>
      <c r="M337" s="84"/>
      <c r="N337" s="41"/>
      <c r="O337" s="41"/>
      <c r="P337" s="84"/>
      <c r="Q337" s="84"/>
      <c r="R337" s="84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5"/>
      <c r="AW337" s="66"/>
      <c r="AX337" s="66"/>
      <c r="AY337" s="106"/>
    </row>
    <row r="338" s="31" customFormat="1" spans="2:51">
      <c r="B338" s="65"/>
      <c r="C338" s="66"/>
      <c r="D338" s="66"/>
      <c r="E338" s="67"/>
      <c r="F338" s="66"/>
      <c r="G338" s="68"/>
      <c r="H338" s="66"/>
      <c r="I338" s="66"/>
      <c r="J338" s="66"/>
      <c r="K338" s="66"/>
      <c r="L338" s="84"/>
      <c r="M338" s="84"/>
      <c r="N338" s="41"/>
      <c r="O338" s="41"/>
      <c r="P338" s="84"/>
      <c r="Q338" s="84"/>
      <c r="R338" s="84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5"/>
      <c r="AW338" s="66"/>
      <c r="AX338" s="66"/>
      <c r="AY338" s="106"/>
    </row>
    <row r="339" s="31" customFormat="1" spans="2:51">
      <c r="B339" s="65"/>
      <c r="C339" s="66"/>
      <c r="D339" s="66"/>
      <c r="E339" s="67"/>
      <c r="F339" s="66"/>
      <c r="G339" s="68"/>
      <c r="H339" s="66"/>
      <c r="I339" s="66"/>
      <c r="J339" s="66"/>
      <c r="K339" s="66"/>
      <c r="L339" s="84"/>
      <c r="M339" s="84"/>
      <c r="N339" s="41"/>
      <c r="O339" s="41"/>
      <c r="P339" s="84"/>
      <c r="Q339" s="84"/>
      <c r="R339" s="84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5"/>
      <c r="AW339" s="66"/>
      <c r="AX339" s="66"/>
      <c r="AY339" s="106"/>
    </row>
    <row r="340" s="31" customFormat="1" spans="2:51">
      <c r="B340" s="65"/>
      <c r="C340" s="66"/>
      <c r="D340" s="66"/>
      <c r="E340" s="67"/>
      <c r="F340" s="66"/>
      <c r="G340" s="68"/>
      <c r="H340" s="66"/>
      <c r="I340" s="66"/>
      <c r="J340" s="66"/>
      <c r="K340" s="66"/>
      <c r="L340" s="84"/>
      <c r="M340" s="84"/>
      <c r="N340" s="41"/>
      <c r="O340" s="41"/>
      <c r="P340" s="84"/>
      <c r="Q340" s="84"/>
      <c r="R340" s="84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5"/>
      <c r="AW340" s="66"/>
      <c r="AX340" s="66"/>
      <c r="AY340" s="106"/>
    </row>
    <row r="341" s="31" customFormat="1" spans="2:51">
      <c r="B341" s="65"/>
      <c r="C341" s="66"/>
      <c r="D341" s="66"/>
      <c r="E341" s="67"/>
      <c r="F341" s="66"/>
      <c r="G341" s="68"/>
      <c r="H341" s="66"/>
      <c r="I341" s="66"/>
      <c r="J341" s="66"/>
      <c r="K341" s="66"/>
      <c r="L341" s="84"/>
      <c r="M341" s="84"/>
      <c r="N341" s="41"/>
      <c r="O341" s="41"/>
      <c r="P341" s="84"/>
      <c r="Q341" s="84"/>
      <c r="R341" s="84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5"/>
      <c r="AW341" s="66"/>
      <c r="AX341" s="66"/>
      <c r="AY341" s="106"/>
    </row>
    <row r="342" s="31" customFormat="1" spans="2:51">
      <c r="B342" s="65"/>
      <c r="C342" s="66"/>
      <c r="D342" s="66"/>
      <c r="E342" s="67"/>
      <c r="F342" s="66"/>
      <c r="G342" s="68"/>
      <c r="H342" s="66"/>
      <c r="I342" s="66"/>
      <c r="J342" s="66"/>
      <c r="K342" s="66"/>
      <c r="L342" s="84"/>
      <c r="M342" s="84"/>
      <c r="N342" s="41"/>
      <c r="O342" s="41"/>
      <c r="P342" s="84"/>
      <c r="Q342" s="84"/>
      <c r="R342" s="84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5"/>
      <c r="AW342" s="66"/>
      <c r="AX342" s="66"/>
      <c r="AY342" s="106"/>
    </row>
    <row r="343" s="31" customFormat="1" spans="2:51">
      <c r="B343" s="65"/>
      <c r="C343" s="66"/>
      <c r="D343" s="66"/>
      <c r="E343" s="67"/>
      <c r="F343" s="66"/>
      <c r="G343" s="68"/>
      <c r="H343" s="66"/>
      <c r="I343" s="66"/>
      <c r="J343" s="66"/>
      <c r="K343" s="66"/>
      <c r="L343" s="84"/>
      <c r="M343" s="84"/>
      <c r="N343" s="41"/>
      <c r="O343" s="41"/>
      <c r="P343" s="84"/>
      <c r="Q343" s="84"/>
      <c r="R343" s="84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5"/>
      <c r="AW343" s="66"/>
      <c r="AX343" s="66"/>
      <c r="AY343" s="106"/>
    </row>
    <row r="344" s="31" customFormat="1" spans="2:51">
      <c r="B344" s="65"/>
      <c r="C344" s="66"/>
      <c r="D344" s="66"/>
      <c r="E344" s="67"/>
      <c r="F344" s="66"/>
      <c r="G344" s="68"/>
      <c r="H344" s="66"/>
      <c r="I344" s="66"/>
      <c r="J344" s="66"/>
      <c r="K344" s="66"/>
      <c r="L344" s="84"/>
      <c r="M344" s="84"/>
      <c r="N344" s="41"/>
      <c r="O344" s="41"/>
      <c r="P344" s="84"/>
      <c r="Q344" s="84"/>
      <c r="R344" s="84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5"/>
      <c r="AW344" s="66"/>
      <c r="AX344" s="66"/>
      <c r="AY344" s="106"/>
    </row>
    <row r="345" s="31" customFormat="1" spans="2:51">
      <c r="B345" s="65"/>
      <c r="C345" s="66"/>
      <c r="D345" s="66"/>
      <c r="E345" s="67"/>
      <c r="F345" s="66"/>
      <c r="G345" s="68"/>
      <c r="H345" s="66"/>
      <c r="I345" s="66"/>
      <c r="J345" s="66"/>
      <c r="K345" s="66"/>
      <c r="L345" s="84"/>
      <c r="M345" s="84"/>
      <c r="N345" s="41"/>
      <c r="O345" s="41"/>
      <c r="P345" s="84"/>
      <c r="Q345" s="84"/>
      <c r="R345" s="84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5"/>
      <c r="AW345" s="66"/>
      <c r="AX345" s="66"/>
      <c r="AY345" s="106"/>
    </row>
    <row r="346" s="31" customFormat="1" spans="2:51">
      <c r="B346" s="65"/>
      <c r="C346" s="66"/>
      <c r="D346" s="66"/>
      <c r="E346" s="67"/>
      <c r="F346" s="66"/>
      <c r="G346" s="68"/>
      <c r="H346" s="66"/>
      <c r="I346" s="66"/>
      <c r="J346" s="66"/>
      <c r="K346" s="66"/>
      <c r="L346" s="84"/>
      <c r="M346" s="84"/>
      <c r="N346" s="41"/>
      <c r="O346" s="41"/>
      <c r="P346" s="84"/>
      <c r="Q346" s="84"/>
      <c r="R346" s="84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5"/>
      <c r="AW346" s="66"/>
      <c r="AX346" s="66"/>
      <c r="AY346" s="106"/>
    </row>
    <row r="347" s="31" customFormat="1" spans="2:51">
      <c r="B347" s="65"/>
      <c r="C347" s="66"/>
      <c r="D347" s="66"/>
      <c r="E347" s="67"/>
      <c r="F347" s="66"/>
      <c r="G347" s="68"/>
      <c r="H347" s="66"/>
      <c r="I347" s="66"/>
      <c r="J347" s="66"/>
      <c r="K347" s="66"/>
      <c r="L347" s="84"/>
      <c r="M347" s="84"/>
      <c r="N347" s="41"/>
      <c r="O347" s="41"/>
      <c r="P347" s="84"/>
      <c r="Q347" s="84"/>
      <c r="R347" s="84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5"/>
      <c r="AW347" s="66"/>
      <c r="AX347" s="66"/>
      <c r="AY347" s="106"/>
    </row>
    <row r="348" s="31" customFormat="1" spans="2:51">
      <c r="B348" s="65"/>
      <c r="C348" s="66"/>
      <c r="D348" s="66"/>
      <c r="E348" s="67"/>
      <c r="F348" s="66"/>
      <c r="G348" s="68"/>
      <c r="H348" s="66"/>
      <c r="I348" s="66"/>
      <c r="J348" s="66"/>
      <c r="K348" s="66"/>
      <c r="L348" s="84"/>
      <c r="M348" s="84"/>
      <c r="N348" s="41"/>
      <c r="O348" s="41"/>
      <c r="P348" s="84"/>
      <c r="Q348" s="84"/>
      <c r="R348" s="84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5"/>
      <c r="AW348" s="66"/>
      <c r="AX348" s="66"/>
      <c r="AY348" s="106"/>
    </row>
    <row r="349" s="31" customFormat="1" spans="2:51">
      <c r="B349" s="65"/>
      <c r="C349" s="66"/>
      <c r="D349" s="66"/>
      <c r="E349" s="67"/>
      <c r="F349" s="66"/>
      <c r="G349" s="68"/>
      <c r="H349" s="66"/>
      <c r="I349" s="66"/>
      <c r="J349" s="66"/>
      <c r="K349" s="66"/>
      <c r="L349" s="84"/>
      <c r="M349" s="84"/>
      <c r="N349" s="41"/>
      <c r="O349" s="41"/>
      <c r="P349" s="84"/>
      <c r="Q349" s="84"/>
      <c r="R349" s="84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5"/>
      <c r="AW349" s="66"/>
      <c r="AX349" s="66"/>
      <c r="AY349" s="106"/>
    </row>
    <row r="350" s="31" customFormat="1" spans="2:51">
      <c r="B350" s="65"/>
      <c r="C350" s="66"/>
      <c r="D350" s="66"/>
      <c r="E350" s="67"/>
      <c r="F350" s="66"/>
      <c r="G350" s="68"/>
      <c r="H350" s="66"/>
      <c r="I350" s="66"/>
      <c r="J350" s="66"/>
      <c r="K350" s="66"/>
      <c r="L350" s="84"/>
      <c r="M350" s="84"/>
      <c r="N350" s="41"/>
      <c r="O350" s="41"/>
      <c r="P350" s="84"/>
      <c r="Q350" s="84"/>
      <c r="R350" s="84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5"/>
      <c r="AW350" s="66"/>
      <c r="AX350" s="66"/>
      <c r="AY350" s="106"/>
    </row>
    <row r="351" s="31" customFormat="1" spans="2:51">
      <c r="B351" s="65"/>
      <c r="C351" s="66"/>
      <c r="D351" s="66"/>
      <c r="E351" s="67"/>
      <c r="F351" s="66"/>
      <c r="G351" s="68"/>
      <c r="H351" s="66"/>
      <c r="I351" s="66"/>
      <c r="J351" s="66"/>
      <c r="K351" s="66"/>
      <c r="L351" s="84"/>
      <c r="M351" s="84"/>
      <c r="N351" s="41"/>
      <c r="O351" s="41"/>
      <c r="P351" s="84"/>
      <c r="Q351" s="84"/>
      <c r="R351" s="84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5"/>
      <c r="AW351" s="66"/>
      <c r="AX351" s="66"/>
      <c r="AY351" s="106"/>
    </row>
    <row r="352" s="31" customFormat="1" spans="2:51">
      <c r="B352" s="65"/>
      <c r="C352" s="66"/>
      <c r="D352" s="66"/>
      <c r="E352" s="67"/>
      <c r="F352" s="66"/>
      <c r="G352" s="68"/>
      <c r="H352" s="66"/>
      <c r="I352" s="66"/>
      <c r="J352" s="66"/>
      <c r="K352" s="66"/>
      <c r="L352" s="84"/>
      <c r="M352" s="84"/>
      <c r="N352" s="41"/>
      <c r="O352" s="41"/>
      <c r="P352" s="84"/>
      <c r="Q352" s="84"/>
      <c r="R352" s="84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5"/>
      <c r="AW352" s="66"/>
      <c r="AX352" s="66"/>
      <c r="AY352" s="106"/>
    </row>
    <row r="353" s="31" customFormat="1" spans="2:51">
      <c r="B353" s="65"/>
      <c r="C353" s="66"/>
      <c r="D353" s="66"/>
      <c r="E353" s="67"/>
      <c r="F353" s="66"/>
      <c r="G353" s="68"/>
      <c r="H353" s="66"/>
      <c r="I353" s="66"/>
      <c r="J353" s="66"/>
      <c r="K353" s="66"/>
      <c r="L353" s="84"/>
      <c r="M353" s="84"/>
      <c r="N353" s="41"/>
      <c r="O353" s="41"/>
      <c r="P353" s="84"/>
      <c r="Q353" s="84"/>
      <c r="R353" s="84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5"/>
      <c r="AW353" s="66"/>
      <c r="AX353" s="66"/>
      <c r="AY353" s="106"/>
    </row>
    <row r="354" s="31" customFormat="1" spans="2:51">
      <c r="B354" s="65"/>
      <c r="C354" s="66"/>
      <c r="D354" s="66"/>
      <c r="E354" s="67"/>
      <c r="F354" s="66"/>
      <c r="G354" s="68"/>
      <c r="H354" s="66"/>
      <c r="I354" s="66"/>
      <c r="J354" s="66"/>
      <c r="K354" s="66"/>
      <c r="L354" s="84"/>
      <c r="M354" s="84"/>
      <c r="N354" s="41"/>
      <c r="O354" s="41"/>
      <c r="P354" s="84"/>
      <c r="Q354" s="84"/>
      <c r="R354" s="84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5"/>
      <c r="AW354" s="66"/>
      <c r="AX354" s="66"/>
      <c r="AY354" s="106"/>
    </row>
    <row r="355" s="31" customFormat="1" spans="2:51">
      <c r="B355" s="65"/>
      <c r="C355" s="66"/>
      <c r="D355" s="66"/>
      <c r="E355" s="67"/>
      <c r="F355" s="66"/>
      <c r="G355" s="68"/>
      <c r="H355" s="66"/>
      <c r="I355" s="66"/>
      <c r="J355" s="66"/>
      <c r="K355" s="66"/>
      <c r="L355" s="84"/>
      <c r="M355" s="84"/>
      <c r="N355" s="41"/>
      <c r="O355" s="41"/>
      <c r="P355" s="84"/>
      <c r="Q355" s="84"/>
      <c r="R355" s="84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5"/>
      <c r="AW355" s="66"/>
      <c r="AX355" s="66"/>
      <c r="AY355" s="106"/>
    </row>
    <row r="356" s="31" customFormat="1" spans="2:51">
      <c r="B356" s="65"/>
      <c r="C356" s="66"/>
      <c r="D356" s="66"/>
      <c r="E356" s="67"/>
      <c r="F356" s="66"/>
      <c r="G356" s="68"/>
      <c r="H356" s="66"/>
      <c r="I356" s="66"/>
      <c r="J356" s="66"/>
      <c r="K356" s="66"/>
      <c r="L356" s="84"/>
      <c r="M356" s="84"/>
      <c r="N356" s="41"/>
      <c r="O356" s="41"/>
      <c r="P356" s="84"/>
      <c r="Q356" s="84"/>
      <c r="R356" s="84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5"/>
      <c r="AW356" s="66"/>
      <c r="AX356" s="66"/>
      <c r="AY356" s="106"/>
    </row>
    <row r="357" s="31" customFormat="1" spans="2:51">
      <c r="B357" s="65"/>
      <c r="C357" s="66"/>
      <c r="D357" s="66"/>
      <c r="E357" s="67"/>
      <c r="F357" s="66"/>
      <c r="G357" s="68"/>
      <c r="H357" s="66"/>
      <c r="I357" s="66"/>
      <c r="J357" s="66"/>
      <c r="K357" s="66"/>
      <c r="L357" s="84"/>
      <c r="M357" s="84"/>
      <c r="N357" s="41"/>
      <c r="O357" s="41"/>
      <c r="P357" s="84"/>
      <c r="Q357" s="84"/>
      <c r="R357" s="84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5"/>
      <c r="AW357" s="66"/>
      <c r="AX357" s="66"/>
      <c r="AY357" s="106"/>
    </row>
    <row r="358" s="31" customFormat="1" spans="2:51">
      <c r="B358" s="65"/>
      <c r="C358" s="66"/>
      <c r="D358" s="66"/>
      <c r="E358" s="67"/>
      <c r="F358" s="66"/>
      <c r="G358" s="68"/>
      <c r="H358" s="66"/>
      <c r="I358" s="66"/>
      <c r="J358" s="66"/>
      <c r="K358" s="66"/>
      <c r="L358" s="84"/>
      <c r="M358" s="84"/>
      <c r="N358" s="41"/>
      <c r="O358" s="41"/>
      <c r="P358" s="84"/>
      <c r="Q358" s="84"/>
      <c r="R358" s="84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5"/>
      <c r="AW358" s="66"/>
      <c r="AX358" s="66"/>
      <c r="AY358" s="106"/>
    </row>
    <row r="359" s="31" customFormat="1" spans="2:51">
      <c r="B359" s="65"/>
      <c r="C359" s="66"/>
      <c r="D359" s="66"/>
      <c r="E359" s="67"/>
      <c r="F359" s="66"/>
      <c r="G359" s="68"/>
      <c r="H359" s="66"/>
      <c r="I359" s="66"/>
      <c r="J359" s="66"/>
      <c r="K359" s="66"/>
      <c r="L359" s="84"/>
      <c r="M359" s="84"/>
      <c r="N359" s="41"/>
      <c r="O359" s="41"/>
      <c r="P359" s="84"/>
      <c r="Q359" s="84"/>
      <c r="R359" s="84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5"/>
      <c r="AW359" s="66"/>
      <c r="AX359" s="66"/>
      <c r="AY359" s="106"/>
    </row>
    <row r="360" s="31" customFormat="1" spans="2:51">
      <c r="B360" s="65"/>
      <c r="C360" s="66"/>
      <c r="D360" s="66"/>
      <c r="E360" s="67"/>
      <c r="F360" s="66"/>
      <c r="G360" s="68"/>
      <c r="H360" s="66"/>
      <c r="I360" s="66"/>
      <c r="J360" s="66"/>
      <c r="K360" s="66"/>
      <c r="L360" s="84"/>
      <c r="M360" s="84"/>
      <c r="N360" s="41"/>
      <c r="O360" s="41"/>
      <c r="P360" s="84"/>
      <c r="Q360" s="84"/>
      <c r="R360" s="84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5"/>
      <c r="AW360" s="66"/>
      <c r="AX360" s="66"/>
      <c r="AY360" s="106"/>
    </row>
    <row r="361" s="31" customFormat="1" spans="2:51">
      <c r="B361" s="65"/>
      <c r="C361" s="66"/>
      <c r="D361" s="66"/>
      <c r="E361" s="67"/>
      <c r="F361" s="66"/>
      <c r="G361" s="68"/>
      <c r="H361" s="66"/>
      <c r="I361" s="66"/>
      <c r="J361" s="66"/>
      <c r="K361" s="66"/>
      <c r="L361" s="84"/>
      <c r="M361" s="84"/>
      <c r="N361" s="41"/>
      <c r="O361" s="41"/>
      <c r="P361" s="84"/>
      <c r="Q361" s="84"/>
      <c r="R361" s="84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5"/>
      <c r="AW361" s="66"/>
      <c r="AX361" s="66"/>
      <c r="AY361" s="106"/>
    </row>
    <row r="362" s="31" customFormat="1" spans="2:51">
      <c r="B362" s="65"/>
      <c r="C362" s="66"/>
      <c r="D362" s="66"/>
      <c r="E362" s="67"/>
      <c r="F362" s="66"/>
      <c r="G362" s="68"/>
      <c r="H362" s="66"/>
      <c r="I362" s="66"/>
      <c r="J362" s="66"/>
      <c r="K362" s="66"/>
      <c r="L362" s="84"/>
      <c r="M362" s="84"/>
      <c r="N362" s="41"/>
      <c r="O362" s="41"/>
      <c r="P362" s="84"/>
      <c r="Q362" s="84"/>
      <c r="R362" s="84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5"/>
      <c r="AW362" s="66"/>
      <c r="AX362" s="66"/>
      <c r="AY362" s="106"/>
    </row>
    <row r="363" s="31" customFormat="1" spans="2:51">
      <c r="B363" s="65"/>
      <c r="C363" s="66"/>
      <c r="D363" s="66"/>
      <c r="E363" s="67"/>
      <c r="F363" s="66"/>
      <c r="G363" s="68"/>
      <c r="H363" s="66"/>
      <c r="I363" s="66"/>
      <c r="J363" s="66"/>
      <c r="K363" s="66"/>
      <c r="L363" s="84"/>
      <c r="M363" s="84"/>
      <c r="N363" s="41"/>
      <c r="O363" s="41"/>
      <c r="P363" s="84"/>
      <c r="Q363" s="84"/>
      <c r="R363" s="84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5"/>
      <c r="AW363" s="66"/>
      <c r="AX363" s="66"/>
      <c r="AY363" s="106"/>
    </row>
    <row r="364" s="31" customFormat="1" spans="2:51">
      <c r="B364" s="65"/>
      <c r="C364" s="66"/>
      <c r="D364" s="66"/>
      <c r="E364" s="67"/>
      <c r="F364" s="66"/>
      <c r="G364" s="68"/>
      <c r="H364" s="66"/>
      <c r="I364" s="66"/>
      <c r="J364" s="66"/>
      <c r="K364" s="66"/>
      <c r="L364" s="84"/>
      <c r="M364" s="84"/>
      <c r="N364" s="41"/>
      <c r="O364" s="41"/>
      <c r="P364" s="84"/>
      <c r="Q364" s="84"/>
      <c r="R364" s="84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5"/>
      <c r="AW364" s="66"/>
      <c r="AX364" s="66"/>
      <c r="AY364" s="106"/>
    </row>
    <row r="365" s="31" customFormat="1" spans="2:51">
      <c r="B365" s="65"/>
      <c r="C365" s="66"/>
      <c r="D365" s="66"/>
      <c r="E365" s="67"/>
      <c r="F365" s="66"/>
      <c r="G365" s="68"/>
      <c r="H365" s="66"/>
      <c r="I365" s="66"/>
      <c r="J365" s="66"/>
      <c r="K365" s="66"/>
      <c r="L365" s="84"/>
      <c r="M365" s="84"/>
      <c r="N365" s="41"/>
      <c r="O365" s="41"/>
      <c r="P365" s="84"/>
      <c r="Q365" s="84"/>
      <c r="R365" s="84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5"/>
      <c r="AW365" s="66"/>
      <c r="AX365" s="66"/>
      <c r="AY365" s="106"/>
    </row>
    <row r="366" s="31" customFormat="1" spans="2:51">
      <c r="B366" s="65"/>
      <c r="C366" s="66"/>
      <c r="D366" s="66"/>
      <c r="E366" s="67"/>
      <c r="F366" s="66"/>
      <c r="G366" s="68"/>
      <c r="H366" s="66"/>
      <c r="I366" s="66"/>
      <c r="J366" s="66"/>
      <c r="K366" s="66"/>
      <c r="L366" s="84"/>
      <c r="M366" s="84"/>
      <c r="N366" s="41"/>
      <c r="O366" s="41"/>
      <c r="P366" s="84"/>
      <c r="Q366" s="84"/>
      <c r="R366" s="84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5"/>
      <c r="AW366" s="66"/>
      <c r="AX366" s="66"/>
      <c r="AY366" s="106"/>
    </row>
    <row r="367" s="31" customFormat="1" spans="2:51">
      <c r="B367" s="65"/>
      <c r="C367" s="66"/>
      <c r="D367" s="66"/>
      <c r="E367" s="67"/>
      <c r="F367" s="66"/>
      <c r="G367" s="68"/>
      <c r="H367" s="66"/>
      <c r="I367" s="66"/>
      <c r="J367" s="66"/>
      <c r="K367" s="66"/>
      <c r="L367" s="84"/>
      <c r="M367" s="84"/>
      <c r="N367" s="41"/>
      <c r="O367" s="41"/>
      <c r="P367" s="84"/>
      <c r="Q367" s="84"/>
      <c r="R367" s="84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5"/>
      <c r="AW367" s="66"/>
      <c r="AX367" s="66"/>
      <c r="AY367" s="106"/>
    </row>
    <row r="368" s="31" customFormat="1" spans="2:51">
      <c r="B368" s="65"/>
      <c r="C368" s="66"/>
      <c r="D368" s="66"/>
      <c r="E368" s="67"/>
      <c r="F368" s="66"/>
      <c r="G368" s="68"/>
      <c r="H368" s="66"/>
      <c r="I368" s="66"/>
      <c r="J368" s="66"/>
      <c r="K368" s="66"/>
      <c r="L368" s="84"/>
      <c r="M368" s="84"/>
      <c r="N368" s="41"/>
      <c r="O368" s="41"/>
      <c r="P368" s="84"/>
      <c r="Q368" s="84"/>
      <c r="R368" s="84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5"/>
      <c r="AW368" s="66"/>
      <c r="AX368" s="66"/>
      <c r="AY368" s="106"/>
    </row>
    <row r="369" s="31" customFormat="1" spans="2:51">
      <c r="B369" s="65"/>
      <c r="C369" s="66"/>
      <c r="D369" s="66"/>
      <c r="E369" s="67"/>
      <c r="F369" s="66"/>
      <c r="G369" s="68"/>
      <c r="H369" s="66"/>
      <c r="I369" s="66"/>
      <c r="J369" s="66"/>
      <c r="K369" s="66"/>
      <c r="L369" s="84"/>
      <c r="M369" s="84"/>
      <c r="N369" s="41"/>
      <c r="O369" s="41"/>
      <c r="P369" s="84"/>
      <c r="Q369" s="84"/>
      <c r="R369" s="84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5"/>
      <c r="AW369" s="66"/>
      <c r="AX369" s="66"/>
      <c r="AY369" s="106"/>
    </row>
    <row r="370" s="31" customFormat="1" spans="2:51">
      <c r="B370" s="65"/>
      <c r="C370" s="66"/>
      <c r="D370" s="66"/>
      <c r="E370" s="67"/>
      <c r="F370" s="66"/>
      <c r="G370" s="68"/>
      <c r="H370" s="66"/>
      <c r="I370" s="66"/>
      <c r="J370" s="66"/>
      <c r="K370" s="66"/>
      <c r="L370" s="84"/>
      <c r="M370" s="84"/>
      <c r="N370" s="41"/>
      <c r="O370" s="41"/>
      <c r="P370" s="84"/>
      <c r="Q370" s="84"/>
      <c r="R370" s="84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5"/>
      <c r="AW370" s="66"/>
      <c r="AX370" s="66"/>
      <c r="AY370" s="106"/>
    </row>
    <row r="371" s="31" customFormat="1" spans="2:51">
      <c r="B371" s="65"/>
      <c r="C371" s="66"/>
      <c r="D371" s="66"/>
      <c r="E371" s="67"/>
      <c r="F371" s="66"/>
      <c r="G371" s="68"/>
      <c r="H371" s="66"/>
      <c r="I371" s="66"/>
      <c r="J371" s="66"/>
      <c r="K371" s="66"/>
      <c r="L371" s="84"/>
      <c r="M371" s="84"/>
      <c r="N371" s="41"/>
      <c r="O371" s="41"/>
      <c r="P371" s="84"/>
      <c r="Q371" s="84"/>
      <c r="R371" s="84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5"/>
      <c r="AW371" s="66"/>
      <c r="AX371" s="66"/>
      <c r="AY371" s="106"/>
    </row>
    <row r="372" s="31" customFormat="1" spans="2:51">
      <c r="B372" s="65"/>
      <c r="C372" s="66"/>
      <c r="D372" s="66"/>
      <c r="E372" s="67"/>
      <c r="F372" s="66"/>
      <c r="G372" s="68"/>
      <c r="H372" s="66"/>
      <c r="I372" s="66"/>
      <c r="J372" s="66"/>
      <c r="K372" s="66"/>
      <c r="L372" s="84"/>
      <c r="M372" s="84"/>
      <c r="N372" s="41"/>
      <c r="O372" s="41"/>
      <c r="P372" s="84"/>
      <c r="Q372" s="84"/>
      <c r="R372" s="84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5"/>
      <c r="AW372" s="66"/>
      <c r="AX372" s="66"/>
      <c r="AY372" s="106"/>
    </row>
    <row r="373" s="31" customFormat="1" spans="2:51">
      <c r="B373" s="65"/>
      <c r="C373" s="66"/>
      <c r="D373" s="66"/>
      <c r="E373" s="67"/>
      <c r="F373" s="66"/>
      <c r="G373" s="68"/>
      <c r="H373" s="66"/>
      <c r="I373" s="66"/>
      <c r="J373" s="66"/>
      <c r="K373" s="66"/>
      <c r="L373" s="84"/>
      <c r="M373" s="84"/>
      <c r="N373" s="41"/>
      <c r="O373" s="41"/>
      <c r="P373" s="84"/>
      <c r="Q373" s="84"/>
      <c r="R373" s="84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5"/>
      <c r="AW373" s="66"/>
      <c r="AX373" s="66"/>
      <c r="AY373" s="106"/>
    </row>
    <row r="374" s="31" customFormat="1" spans="2:51">
      <c r="B374" s="65"/>
      <c r="C374" s="66"/>
      <c r="D374" s="66"/>
      <c r="E374" s="67"/>
      <c r="F374" s="66"/>
      <c r="G374" s="68"/>
      <c r="H374" s="66"/>
      <c r="I374" s="66"/>
      <c r="J374" s="66"/>
      <c r="K374" s="66"/>
      <c r="L374" s="84"/>
      <c r="M374" s="84"/>
      <c r="N374" s="41"/>
      <c r="O374" s="41"/>
      <c r="P374" s="84"/>
      <c r="Q374" s="84"/>
      <c r="R374" s="84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5"/>
      <c r="AW374" s="66"/>
      <c r="AX374" s="66"/>
      <c r="AY374" s="106"/>
    </row>
    <row r="375" s="31" customFormat="1" spans="2:51">
      <c r="B375" s="65"/>
      <c r="C375" s="66"/>
      <c r="D375" s="66"/>
      <c r="E375" s="67"/>
      <c r="F375" s="66"/>
      <c r="G375" s="68"/>
      <c r="H375" s="66"/>
      <c r="I375" s="66"/>
      <c r="J375" s="66"/>
      <c r="K375" s="66"/>
      <c r="L375" s="84"/>
      <c r="M375" s="84"/>
      <c r="N375" s="41"/>
      <c r="O375" s="41"/>
      <c r="P375" s="84"/>
      <c r="Q375" s="84"/>
      <c r="R375" s="84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5"/>
      <c r="AW375" s="66"/>
      <c r="AX375" s="66"/>
      <c r="AY375" s="106"/>
    </row>
    <row r="376" s="31" customFormat="1" spans="2:51">
      <c r="B376" s="65"/>
      <c r="C376" s="66"/>
      <c r="D376" s="66"/>
      <c r="E376" s="67"/>
      <c r="F376" s="66"/>
      <c r="G376" s="68"/>
      <c r="H376" s="66"/>
      <c r="I376" s="66"/>
      <c r="J376" s="66"/>
      <c r="K376" s="66"/>
      <c r="L376" s="84"/>
      <c r="M376" s="84"/>
      <c r="N376" s="41"/>
      <c r="O376" s="41"/>
      <c r="P376" s="84"/>
      <c r="Q376" s="84"/>
      <c r="R376" s="84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5"/>
      <c r="AW376" s="66"/>
      <c r="AX376" s="66"/>
      <c r="AY376" s="106"/>
    </row>
    <row r="377" s="31" customFormat="1" spans="2:51">
      <c r="B377" s="65"/>
      <c r="C377" s="66"/>
      <c r="D377" s="66"/>
      <c r="E377" s="67"/>
      <c r="F377" s="66"/>
      <c r="G377" s="68"/>
      <c r="H377" s="66"/>
      <c r="I377" s="66"/>
      <c r="J377" s="66"/>
      <c r="K377" s="66"/>
      <c r="L377" s="84"/>
      <c r="M377" s="84"/>
      <c r="N377" s="41"/>
      <c r="O377" s="41"/>
      <c r="P377" s="84"/>
      <c r="Q377" s="84"/>
      <c r="R377" s="84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5"/>
      <c r="AW377" s="66"/>
      <c r="AX377" s="66"/>
      <c r="AY377" s="106"/>
    </row>
    <row r="378" s="31" customFormat="1" spans="2:51">
      <c r="B378" s="65"/>
      <c r="C378" s="66"/>
      <c r="D378" s="66"/>
      <c r="E378" s="67"/>
      <c r="F378" s="66"/>
      <c r="G378" s="68"/>
      <c r="H378" s="66"/>
      <c r="I378" s="66"/>
      <c r="J378" s="66"/>
      <c r="K378" s="66"/>
      <c r="L378" s="84"/>
      <c r="M378" s="84"/>
      <c r="N378" s="41"/>
      <c r="O378" s="41"/>
      <c r="P378" s="84"/>
      <c r="Q378" s="84"/>
      <c r="R378" s="84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5"/>
      <c r="AW378" s="66"/>
      <c r="AX378" s="66"/>
      <c r="AY378" s="106"/>
    </row>
    <row r="379" s="31" customFormat="1" spans="2:51">
      <c r="B379" s="65"/>
      <c r="C379" s="66"/>
      <c r="D379" s="66"/>
      <c r="E379" s="67"/>
      <c r="F379" s="66"/>
      <c r="G379" s="68"/>
      <c r="H379" s="66"/>
      <c r="I379" s="66"/>
      <c r="J379" s="66"/>
      <c r="K379" s="66"/>
      <c r="L379" s="84"/>
      <c r="M379" s="84"/>
      <c r="N379" s="41"/>
      <c r="O379" s="41"/>
      <c r="P379" s="84"/>
      <c r="Q379" s="84"/>
      <c r="R379" s="84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5"/>
      <c r="AW379" s="66"/>
      <c r="AX379" s="66"/>
      <c r="AY379" s="106"/>
    </row>
    <row r="380" s="31" customFormat="1" spans="2:51">
      <c r="B380" s="65"/>
      <c r="C380" s="66"/>
      <c r="D380" s="66"/>
      <c r="E380" s="67"/>
      <c r="F380" s="66"/>
      <c r="G380" s="68"/>
      <c r="H380" s="66"/>
      <c r="I380" s="66"/>
      <c r="J380" s="66"/>
      <c r="K380" s="66"/>
      <c r="L380" s="84"/>
      <c r="M380" s="84"/>
      <c r="N380" s="41"/>
      <c r="O380" s="41"/>
      <c r="P380" s="84"/>
      <c r="Q380" s="84"/>
      <c r="R380" s="84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5"/>
      <c r="AW380" s="66"/>
      <c r="AX380" s="66"/>
      <c r="AY380" s="106"/>
    </row>
    <row r="381" s="31" customFormat="1" spans="2:51">
      <c r="B381" s="65"/>
      <c r="C381" s="66"/>
      <c r="D381" s="66"/>
      <c r="E381" s="67"/>
      <c r="F381" s="66"/>
      <c r="G381" s="68"/>
      <c r="H381" s="66"/>
      <c r="I381" s="66"/>
      <c r="J381" s="66"/>
      <c r="K381" s="66"/>
      <c r="L381" s="84"/>
      <c r="M381" s="84"/>
      <c r="N381" s="41"/>
      <c r="O381" s="41"/>
      <c r="P381" s="84"/>
      <c r="Q381" s="84"/>
      <c r="R381" s="84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5"/>
      <c r="AW381" s="66"/>
      <c r="AX381" s="66"/>
      <c r="AY381" s="106"/>
    </row>
    <row r="382" s="31" customFormat="1" spans="2:51">
      <c r="B382" s="65"/>
      <c r="C382" s="66"/>
      <c r="D382" s="66"/>
      <c r="E382" s="67"/>
      <c r="F382" s="66"/>
      <c r="G382" s="68"/>
      <c r="H382" s="66"/>
      <c r="I382" s="66"/>
      <c r="J382" s="66"/>
      <c r="K382" s="66"/>
      <c r="L382" s="84"/>
      <c r="M382" s="84"/>
      <c r="N382" s="41"/>
      <c r="O382" s="41"/>
      <c r="P382" s="84"/>
      <c r="Q382" s="84"/>
      <c r="R382" s="84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5"/>
      <c r="AW382" s="66"/>
      <c r="AX382" s="66"/>
      <c r="AY382" s="106"/>
    </row>
    <row r="383" s="31" customFormat="1" spans="2:51">
      <c r="B383" s="65"/>
      <c r="C383" s="66"/>
      <c r="D383" s="66"/>
      <c r="E383" s="67"/>
      <c r="F383" s="66"/>
      <c r="G383" s="68"/>
      <c r="H383" s="66"/>
      <c r="I383" s="66"/>
      <c r="J383" s="66"/>
      <c r="K383" s="66"/>
      <c r="L383" s="84"/>
      <c r="M383" s="84"/>
      <c r="N383" s="41"/>
      <c r="O383" s="41"/>
      <c r="P383" s="84"/>
      <c r="Q383" s="84"/>
      <c r="R383" s="84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5"/>
      <c r="AW383" s="66"/>
      <c r="AX383" s="66"/>
      <c r="AY383" s="106"/>
    </row>
    <row r="384" s="31" customFormat="1" spans="2:51">
      <c r="B384" s="65"/>
      <c r="C384" s="66"/>
      <c r="D384" s="66"/>
      <c r="E384" s="67"/>
      <c r="F384" s="66"/>
      <c r="G384" s="68"/>
      <c r="H384" s="66"/>
      <c r="I384" s="66"/>
      <c r="J384" s="66"/>
      <c r="K384" s="66"/>
      <c r="L384" s="84"/>
      <c r="M384" s="84"/>
      <c r="N384" s="41"/>
      <c r="O384" s="41"/>
      <c r="P384" s="84"/>
      <c r="Q384" s="84"/>
      <c r="R384" s="84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5"/>
      <c r="AW384" s="66"/>
      <c r="AX384" s="66"/>
      <c r="AY384" s="106"/>
    </row>
    <row r="385" s="31" customFormat="1" spans="2:51">
      <c r="B385" s="65"/>
      <c r="C385" s="66"/>
      <c r="D385" s="66"/>
      <c r="E385" s="67"/>
      <c r="F385" s="66"/>
      <c r="G385" s="68"/>
      <c r="H385" s="66"/>
      <c r="I385" s="66"/>
      <c r="J385" s="66"/>
      <c r="K385" s="66"/>
      <c r="L385" s="84"/>
      <c r="M385" s="84"/>
      <c r="N385" s="41"/>
      <c r="O385" s="41"/>
      <c r="P385" s="84"/>
      <c r="Q385" s="84"/>
      <c r="R385" s="84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5"/>
      <c r="AW385" s="66"/>
      <c r="AX385" s="66"/>
      <c r="AY385" s="106"/>
    </row>
    <row r="386" s="31" customFormat="1" spans="2:51">
      <c r="B386" s="65"/>
      <c r="C386" s="66"/>
      <c r="D386" s="66"/>
      <c r="E386" s="67"/>
      <c r="F386" s="66"/>
      <c r="G386" s="68"/>
      <c r="H386" s="66"/>
      <c r="I386" s="66"/>
      <c r="J386" s="66"/>
      <c r="K386" s="66"/>
      <c r="L386" s="84"/>
      <c r="M386" s="84"/>
      <c r="N386" s="41"/>
      <c r="O386" s="41"/>
      <c r="P386" s="84"/>
      <c r="Q386" s="84"/>
      <c r="R386" s="84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5"/>
      <c r="AW386" s="66"/>
      <c r="AX386" s="66"/>
      <c r="AY386" s="106"/>
    </row>
    <row r="387" s="31" customFormat="1" spans="2:51">
      <c r="B387" s="65"/>
      <c r="C387" s="66"/>
      <c r="D387" s="66"/>
      <c r="E387" s="67"/>
      <c r="F387" s="66"/>
      <c r="G387" s="68"/>
      <c r="H387" s="66"/>
      <c r="I387" s="66"/>
      <c r="J387" s="66"/>
      <c r="K387" s="66"/>
      <c r="L387" s="84"/>
      <c r="M387" s="84"/>
      <c r="N387" s="41"/>
      <c r="O387" s="41"/>
      <c r="P387" s="84"/>
      <c r="Q387" s="84"/>
      <c r="R387" s="84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5"/>
      <c r="AW387" s="66"/>
      <c r="AX387" s="66"/>
      <c r="AY387" s="106"/>
    </row>
    <row r="388" s="31" customFormat="1" spans="2:51">
      <c r="B388" s="65"/>
      <c r="C388" s="66"/>
      <c r="D388" s="66"/>
      <c r="E388" s="67"/>
      <c r="F388" s="66"/>
      <c r="G388" s="68"/>
      <c r="H388" s="66"/>
      <c r="I388" s="66"/>
      <c r="J388" s="66"/>
      <c r="K388" s="66"/>
      <c r="L388" s="84"/>
      <c r="M388" s="84"/>
      <c r="N388" s="41"/>
      <c r="O388" s="41"/>
      <c r="P388" s="84"/>
      <c r="Q388" s="84"/>
      <c r="R388" s="84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5"/>
      <c r="AW388" s="66"/>
      <c r="AX388" s="66"/>
      <c r="AY388" s="106"/>
    </row>
    <row r="389" s="31" customFormat="1" spans="2:51">
      <c r="B389" s="65"/>
      <c r="C389" s="66"/>
      <c r="D389" s="66"/>
      <c r="E389" s="67"/>
      <c r="F389" s="66"/>
      <c r="G389" s="68"/>
      <c r="H389" s="66"/>
      <c r="I389" s="66"/>
      <c r="J389" s="66"/>
      <c r="K389" s="66"/>
      <c r="L389" s="84"/>
      <c r="M389" s="84"/>
      <c r="N389" s="41"/>
      <c r="O389" s="41"/>
      <c r="P389" s="84"/>
      <c r="Q389" s="84"/>
      <c r="R389" s="84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5"/>
      <c r="AW389" s="66"/>
      <c r="AX389" s="66"/>
      <c r="AY389" s="106"/>
    </row>
    <row r="390" s="31" customFormat="1" spans="2:51">
      <c r="B390" s="65"/>
      <c r="C390" s="66"/>
      <c r="D390" s="66"/>
      <c r="E390" s="67"/>
      <c r="F390" s="66"/>
      <c r="G390" s="68"/>
      <c r="H390" s="66"/>
      <c r="I390" s="66"/>
      <c r="J390" s="66"/>
      <c r="K390" s="66"/>
      <c r="L390" s="84"/>
      <c r="M390" s="84"/>
      <c r="N390" s="41"/>
      <c r="O390" s="41"/>
      <c r="P390" s="84"/>
      <c r="Q390" s="84"/>
      <c r="R390" s="84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5"/>
      <c r="AW390" s="66"/>
      <c r="AX390" s="66"/>
      <c r="AY390" s="106"/>
    </row>
    <row r="391" s="31" customFormat="1" spans="2:51">
      <c r="B391" s="65"/>
      <c r="C391" s="66"/>
      <c r="D391" s="66"/>
      <c r="E391" s="67"/>
      <c r="F391" s="66"/>
      <c r="G391" s="68"/>
      <c r="H391" s="66"/>
      <c r="I391" s="66"/>
      <c r="J391" s="66"/>
      <c r="K391" s="66"/>
      <c r="L391" s="84"/>
      <c r="M391" s="84"/>
      <c r="N391" s="41"/>
      <c r="O391" s="41"/>
      <c r="P391" s="84"/>
      <c r="Q391" s="84"/>
      <c r="R391" s="84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5"/>
      <c r="AW391" s="66"/>
      <c r="AX391" s="66"/>
      <c r="AY391" s="106"/>
    </row>
    <row r="392" s="31" customFormat="1" spans="2:51">
      <c r="B392" s="65"/>
      <c r="C392" s="66"/>
      <c r="D392" s="66"/>
      <c r="E392" s="67"/>
      <c r="F392" s="66"/>
      <c r="G392" s="68"/>
      <c r="H392" s="66"/>
      <c r="I392" s="66"/>
      <c r="J392" s="66"/>
      <c r="K392" s="66"/>
      <c r="L392" s="84"/>
      <c r="M392" s="84"/>
      <c r="N392" s="41"/>
      <c r="O392" s="41"/>
      <c r="P392" s="84"/>
      <c r="Q392" s="84"/>
      <c r="R392" s="84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5"/>
      <c r="AW392" s="66"/>
      <c r="AX392" s="66"/>
      <c r="AY392" s="106"/>
    </row>
    <row r="393" s="31" customFormat="1" spans="2:51">
      <c r="B393" s="65"/>
      <c r="C393" s="66"/>
      <c r="D393" s="66"/>
      <c r="E393" s="67"/>
      <c r="F393" s="66"/>
      <c r="G393" s="68"/>
      <c r="H393" s="66"/>
      <c r="I393" s="66"/>
      <c r="J393" s="66"/>
      <c r="K393" s="66"/>
      <c r="L393" s="84"/>
      <c r="M393" s="84"/>
      <c r="N393" s="41"/>
      <c r="O393" s="41"/>
      <c r="P393" s="84"/>
      <c r="Q393" s="84"/>
      <c r="R393" s="84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5"/>
      <c r="AW393" s="66"/>
      <c r="AX393" s="66"/>
      <c r="AY393" s="106"/>
    </row>
    <row r="394" s="31" customFormat="1" spans="2:51">
      <c r="B394" s="65"/>
      <c r="C394" s="66"/>
      <c r="D394" s="66"/>
      <c r="E394" s="67"/>
      <c r="F394" s="66"/>
      <c r="G394" s="68"/>
      <c r="H394" s="66"/>
      <c r="I394" s="66"/>
      <c r="J394" s="66"/>
      <c r="K394" s="66"/>
      <c r="L394" s="84"/>
      <c r="M394" s="84"/>
      <c r="N394" s="41"/>
      <c r="O394" s="41"/>
      <c r="P394" s="84"/>
      <c r="Q394" s="84"/>
      <c r="R394" s="84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5"/>
      <c r="AW394" s="66"/>
      <c r="AX394" s="66"/>
      <c r="AY394" s="106"/>
    </row>
    <row r="395" s="31" customFormat="1" spans="2:51">
      <c r="B395" s="65"/>
      <c r="C395" s="66"/>
      <c r="D395" s="66"/>
      <c r="E395" s="67"/>
      <c r="F395" s="66"/>
      <c r="G395" s="68"/>
      <c r="H395" s="66"/>
      <c r="I395" s="66"/>
      <c r="J395" s="66"/>
      <c r="K395" s="66"/>
      <c r="L395" s="84"/>
      <c r="M395" s="84"/>
      <c r="N395" s="41"/>
      <c r="O395" s="41"/>
      <c r="P395" s="84"/>
      <c r="Q395" s="84"/>
      <c r="R395" s="84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5"/>
      <c r="AW395" s="66"/>
      <c r="AX395" s="66"/>
      <c r="AY395" s="106"/>
    </row>
    <row r="396" s="31" customFormat="1" spans="2:51">
      <c r="B396" s="65"/>
      <c r="C396" s="66"/>
      <c r="D396" s="66"/>
      <c r="E396" s="67"/>
      <c r="F396" s="66"/>
      <c r="G396" s="68"/>
      <c r="H396" s="66"/>
      <c r="I396" s="66"/>
      <c r="J396" s="66"/>
      <c r="K396" s="66"/>
      <c r="L396" s="84"/>
      <c r="M396" s="84"/>
      <c r="N396" s="41"/>
      <c r="O396" s="41"/>
      <c r="P396" s="84"/>
      <c r="Q396" s="84"/>
      <c r="R396" s="84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5"/>
      <c r="AW396" s="66"/>
      <c r="AX396" s="66"/>
      <c r="AY396" s="106"/>
    </row>
    <row r="397" s="31" customFormat="1" spans="2:51">
      <c r="B397" s="65"/>
      <c r="C397" s="66"/>
      <c r="D397" s="66"/>
      <c r="E397" s="67"/>
      <c r="F397" s="66"/>
      <c r="G397" s="68"/>
      <c r="H397" s="66"/>
      <c r="I397" s="66"/>
      <c r="J397" s="66"/>
      <c r="K397" s="66"/>
      <c r="L397" s="84"/>
      <c r="M397" s="84"/>
      <c r="N397" s="41"/>
      <c r="O397" s="41"/>
      <c r="P397" s="84"/>
      <c r="Q397" s="84"/>
      <c r="R397" s="84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5"/>
      <c r="AW397" s="66"/>
      <c r="AX397" s="66"/>
      <c r="AY397" s="106"/>
    </row>
    <row r="398" s="31" customFormat="1" spans="2:51">
      <c r="B398" s="65"/>
      <c r="C398" s="66"/>
      <c r="D398" s="66"/>
      <c r="E398" s="67"/>
      <c r="F398" s="66"/>
      <c r="G398" s="68"/>
      <c r="H398" s="66"/>
      <c r="I398" s="66"/>
      <c r="J398" s="66"/>
      <c r="K398" s="66"/>
      <c r="L398" s="84"/>
      <c r="M398" s="84"/>
      <c r="N398" s="41"/>
      <c r="O398" s="41"/>
      <c r="P398" s="84"/>
      <c r="Q398" s="84"/>
      <c r="R398" s="84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5"/>
      <c r="AW398" s="66"/>
      <c r="AX398" s="66"/>
      <c r="AY398" s="106"/>
    </row>
    <row r="399" s="31" customFormat="1" spans="2:51">
      <c r="B399" s="65"/>
      <c r="C399" s="66"/>
      <c r="D399" s="66"/>
      <c r="E399" s="67"/>
      <c r="F399" s="66"/>
      <c r="G399" s="68"/>
      <c r="H399" s="66"/>
      <c r="I399" s="66"/>
      <c r="J399" s="66"/>
      <c r="K399" s="66"/>
      <c r="L399" s="84"/>
      <c r="M399" s="84"/>
      <c r="N399" s="41"/>
      <c r="O399" s="41"/>
      <c r="P399" s="84"/>
      <c r="Q399" s="84"/>
      <c r="R399" s="84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5"/>
      <c r="AW399" s="66"/>
      <c r="AX399" s="66"/>
      <c r="AY399" s="106"/>
    </row>
    <row r="400" s="31" customFormat="1" spans="2:51">
      <c r="B400" s="65"/>
      <c r="C400" s="66"/>
      <c r="D400" s="66"/>
      <c r="E400" s="67"/>
      <c r="F400" s="66"/>
      <c r="G400" s="68"/>
      <c r="H400" s="66"/>
      <c r="I400" s="66"/>
      <c r="J400" s="66"/>
      <c r="K400" s="66"/>
      <c r="L400" s="84"/>
      <c r="M400" s="84"/>
      <c r="N400" s="41"/>
      <c r="O400" s="41"/>
      <c r="P400" s="84"/>
      <c r="Q400" s="84"/>
      <c r="R400" s="84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5"/>
      <c r="AW400" s="66"/>
      <c r="AX400" s="66"/>
      <c r="AY400" s="106"/>
    </row>
    <row r="401" s="31" customFormat="1" spans="2:51">
      <c r="B401" s="65"/>
      <c r="C401" s="66"/>
      <c r="D401" s="66"/>
      <c r="E401" s="67"/>
      <c r="F401" s="66"/>
      <c r="G401" s="68"/>
      <c r="H401" s="66"/>
      <c r="I401" s="66"/>
      <c r="J401" s="66"/>
      <c r="K401" s="66"/>
      <c r="L401" s="84"/>
      <c r="M401" s="84"/>
      <c r="N401" s="41"/>
      <c r="O401" s="41"/>
      <c r="P401" s="84"/>
      <c r="Q401" s="84"/>
      <c r="R401" s="84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5"/>
      <c r="AW401" s="66"/>
      <c r="AX401" s="66"/>
      <c r="AY401" s="106"/>
    </row>
    <row r="402" s="31" customFormat="1" spans="2:51">
      <c r="B402" s="65"/>
      <c r="C402" s="66"/>
      <c r="D402" s="66"/>
      <c r="E402" s="67"/>
      <c r="F402" s="66"/>
      <c r="G402" s="68"/>
      <c r="H402" s="66"/>
      <c r="I402" s="66"/>
      <c r="J402" s="66"/>
      <c r="K402" s="66"/>
      <c r="L402" s="84"/>
      <c r="M402" s="84"/>
      <c r="N402" s="41"/>
      <c r="O402" s="41"/>
      <c r="P402" s="84"/>
      <c r="Q402" s="84"/>
      <c r="R402" s="84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5"/>
      <c r="AW402" s="66"/>
      <c r="AX402" s="66"/>
      <c r="AY402" s="106"/>
    </row>
    <row r="403" s="31" customFormat="1" spans="2:51">
      <c r="B403" s="65"/>
      <c r="C403" s="66"/>
      <c r="D403" s="66"/>
      <c r="E403" s="67"/>
      <c r="F403" s="66"/>
      <c r="G403" s="68"/>
      <c r="H403" s="66"/>
      <c r="I403" s="66"/>
      <c r="J403" s="66"/>
      <c r="K403" s="66"/>
      <c r="L403" s="84"/>
      <c r="M403" s="84"/>
      <c r="N403" s="41"/>
      <c r="O403" s="41"/>
      <c r="P403" s="84"/>
      <c r="Q403" s="84"/>
      <c r="R403" s="84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5"/>
      <c r="AW403" s="66"/>
      <c r="AX403" s="66"/>
      <c r="AY403" s="106"/>
    </row>
    <row r="404" s="31" customFormat="1" spans="2:51">
      <c r="B404" s="65"/>
      <c r="C404" s="66"/>
      <c r="D404" s="66"/>
      <c r="E404" s="67"/>
      <c r="F404" s="66"/>
      <c r="G404" s="68"/>
      <c r="H404" s="66"/>
      <c r="I404" s="66"/>
      <c r="J404" s="66"/>
      <c r="K404" s="66"/>
      <c r="L404" s="84"/>
      <c r="M404" s="84"/>
      <c r="N404" s="41"/>
      <c r="O404" s="41"/>
      <c r="P404" s="84"/>
      <c r="Q404" s="84"/>
      <c r="R404" s="84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5"/>
      <c r="AW404" s="66"/>
      <c r="AX404" s="66"/>
      <c r="AY404" s="106"/>
    </row>
    <row r="405" s="31" customFormat="1" spans="2:51">
      <c r="B405" s="65"/>
      <c r="C405" s="66"/>
      <c r="D405" s="66"/>
      <c r="E405" s="67"/>
      <c r="F405" s="66"/>
      <c r="G405" s="68"/>
      <c r="H405" s="66"/>
      <c r="I405" s="66"/>
      <c r="J405" s="66"/>
      <c r="K405" s="66"/>
      <c r="L405" s="84"/>
      <c r="M405" s="84"/>
      <c r="N405" s="41"/>
      <c r="O405" s="41"/>
      <c r="P405" s="84"/>
      <c r="Q405" s="84"/>
      <c r="R405" s="84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5"/>
      <c r="AW405" s="66"/>
      <c r="AX405" s="66"/>
      <c r="AY405" s="106"/>
    </row>
    <row r="406" s="31" customFormat="1" spans="2:51">
      <c r="B406" s="65"/>
      <c r="C406" s="66"/>
      <c r="D406" s="66"/>
      <c r="E406" s="67"/>
      <c r="F406" s="66"/>
      <c r="G406" s="68"/>
      <c r="H406" s="66"/>
      <c r="I406" s="66"/>
      <c r="J406" s="66"/>
      <c r="K406" s="66"/>
      <c r="L406" s="84"/>
      <c r="M406" s="84"/>
      <c r="N406" s="41"/>
      <c r="O406" s="41"/>
      <c r="P406" s="84"/>
      <c r="Q406" s="84"/>
      <c r="R406" s="84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5"/>
      <c r="AW406" s="66"/>
      <c r="AX406" s="66"/>
      <c r="AY406" s="106"/>
    </row>
    <row r="407" s="31" customFormat="1" spans="2:51">
      <c r="B407" s="65"/>
      <c r="C407" s="66"/>
      <c r="D407" s="66"/>
      <c r="E407" s="67"/>
      <c r="F407" s="66"/>
      <c r="G407" s="68"/>
      <c r="H407" s="66"/>
      <c r="I407" s="66"/>
      <c r="J407" s="66"/>
      <c r="K407" s="66"/>
      <c r="L407" s="84"/>
      <c r="M407" s="84"/>
      <c r="N407" s="41"/>
      <c r="O407" s="41"/>
      <c r="P407" s="84"/>
      <c r="Q407" s="84"/>
      <c r="R407" s="84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5"/>
      <c r="AW407" s="66"/>
      <c r="AX407" s="66"/>
      <c r="AY407" s="106"/>
    </row>
    <row r="408" s="31" customFormat="1" spans="2:51">
      <c r="B408" s="65"/>
      <c r="C408" s="66"/>
      <c r="D408" s="66"/>
      <c r="E408" s="67"/>
      <c r="F408" s="66"/>
      <c r="G408" s="68"/>
      <c r="H408" s="66"/>
      <c r="I408" s="66"/>
      <c r="J408" s="66"/>
      <c r="K408" s="66"/>
      <c r="L408" s="84"/>
      <c r="M408" s="84"/>
      <c r="N408" s="41"/>
      <c r="O408" s="41"/>
      <c r="P408" s="84"/>
      <c r="Q408" s="84"/>
      <c r="R408" s="84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5"/>
      <c r="AW408" s="66"/>
      <c r="AX408" s="66"/>
      <c r="AY408" s="106"/>
    </row>
    <row r="409" s="31" customFormat="1" spans="2:51">
      <c r="B409" s="65"/>
      <c r="C409" s="66"/>
      <c r="D409" s="66"/>
      <c r="E409" s="67"/>
      <c r="F409" s="66"/>
      <c r="G409" s="68"/>
      <c r="H409" s="66"/>
      <c r="I409" s="66"/>
      <c r="J409" s="66"/>
      <c r="K409" s="66"/>
      <c r="L409" s="84"/>
      <c r="M409" s="84"/>
      <c r="N409" s="41"/>
      <c r="O409" s="41"/>
      <c r="P409" s="84"/>
      <c r="Q409" s="84"/>
      <c r="R409" s="84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5"/>
      <c r="AW409" s="66"/>
      <c r="AX409" s="66"/>
      <c r="AY409" s="106"/>
    </row>
    <row r="410" s="31" customFormat="1" spans="2:51">
      <c r="B410" s="65"/>
      <c r="C410" s="66"/>
      <c r="D410" s="66"/>
      <c r="E410" s="67"/>
      <c r="F410" s="66"/>
      <c r="G410" s="68"/>
      <c r="H410" s="66"/>
      <c r="I410" s="66"/>
      <c r="J410" s="66"/>
      <c r="K410" s="66"/>
      <c r="L410" s="84"/>
      <c r="M410" s="84"/>
      <c r="N410" s="41"/>
      <c r="O410" s="41"/>
      <c r="P410" s="84"/>
      <c r="Q410" s="84"/>
      <c r="R410" s="84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5"/>
      <c r="AW410" s="66"/>
      <c r="AX410" s="66"/>
      <c r="AY410" s="106"/>
    </row>
    <row r="411" s="31" customFormat="1" spans="2:51">
      <c r="B411" s="65"/>
      <c r="C411" s="66"/>
      <c r="D411" s="66"/>
      <c r="E411" s="67"/>
      <c r="F411" s="66"/>
      <c r="G411" s="68"/>
      <c r="H411" s="66"/>
      <c r="I411" s="66"/>
      <c r="J411" s="66"/>
      <c r="K411" s="66"/>
      <c r="L411" s="84"/>
      <c r="M411" s="84"/>
      <c r="N411" s="41"/>
      <c r="O411" s="41"/>
      <c r="P411" s="84"/>
      <c r="Q411" s="84"/>
      <c r="R411" s="84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5"/>
      <c r="AW411" s="66"/>
      <c r="AX411" s="66"/>
      <c r="AY411" s="106"/>
    </row>
    <row r="412" s="31" customFormat="1" spans="2:51">
      <c r="B412" s="65"/>
      <c r="C412" s="66"/>
      <c r="D412" s="66"/>
      <c r="E412" s="67"/>
      <c r="F412" s="66"/>
      <c r="G412" s="68"/>
      <c r="H412" s="66"/>
      <c r="I412" s="66"/>
      <c r="J412" s="66"/>
      <c r="K412" s="66"/>
      <c r="L412" s="84"/>
      <c r="M412" s="84"/>
      <c r="N412" s="41"/>
      <c r="O412" s="41"/>
      <c r="P412" s="84"/>
      <c r="Q412" s="84"/>
      <c r="R412" s="84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5"/>
      <c r="AW412" s="66"/>
      <c r="AX412" s="66"/>
      <c r="AY412" s="106"/>
    </row>
    <row r="413" s="31" customFormat="1" spans="2:51">
      <c r="B413" s="65"/>
      <c r="C413" s="66"/>
      <c r="D413" s="66"/>
      <c r="E413" s="67"/>
      <c r="F413" s="66"/>
      <c r="G413" s="68"/>
      <c r="H413" s="66"/>
      <c r="I413" s="66"/>
      <c r="J413" s="66"/>
      <c r="K413" s="66"/>
      <c r="L413" s="84"/>
      <c r="M413" s="84"/>
      <c r="N413" s="41"/>
      <c r="O413" s="41"/>
      <c r="P413" s="84"/>
      <c r="Q413" s="84"/>
      <c r="R413" s="84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5"/>
      <c r="AW413" s="66"/>
      <c r="AX413" s="66"/>
      <c r="AY413" s="106"/>
    </row>
    <row r="414" s="31" customFormat="1" spans="2:51">
      <c r="B414" s="65"/>
      <c r="C414" s="66"/>
      <c r="D414" s="66"/>
      <c r="E414" s="67"/>
      <c r="F414" s="66"/>
      <c r="G414" s="68"/>
      <c r="H414" s="66"/>
      <c r="I414" s="66"/>
      <c r="J414" s="66"/>
      <c r="K414" s="66"/>
      <c r="L414" s="84"/>
      <c r="M414" s="84"/>
      <c r="N414" s="41"/>
      <c r="O414" s="41"/>
      <c r="P414" s="84"/>
      <c r="Q414" s="84"/>
      <c r="R414" s="84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5"/>
      <c r="AW414" s="66"/>
      <c r="AX414" s="66"/>
      <c r="AY414" s="106"/>
    </row>
    <row r="415" s="31" customFormat="1" spans="2:51">
      <c r="B415" s="65"/>
      <c r="C415" s="66"/>
      <c r="D415" s="66"/>
      <c r="E415" s="67"/>
      <c r="F415" s="66"/>
      <c r="G415" s="68"/>
      <c r="H415" s="66"/>
      <c r="I415" s="66"/>
      <c r="J415" s="66"/>
      <c r="K415" s="66"/>
      <c r="L415" s="84"/>
      <c r="M415" s="84"/>
      <c r="N415" s="41"/>
      <c r="O415" s="41"/>
      <c r="P415" s="84"/>
      <c r="Q415" s="84"/>
      <c r="R415" s="84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5"/>
      <c r="AW415" s="66"/>
      <c r="AX415" s="66"/>
      <c r="AY415" s="106"/>
    </row>
    <row r="416" s="31" customFormat="1" spans="2:51">
      <c r="B416" s="65"/>
      <c r="C416" s="66"/>
      <c r="D416" s="66"/>
      <c r="E416" s="67"/>
      <c r="F416" s="66"/>
      <c r="G416" s="68"/>
      <c r="H416" s="66"/>
      <c r="I416" s="66"/>
      <c r="J416" s="66"/>
      <c r="K416" s="66"/>
      <c r="L416" s="84"/>
      <c r="M416" s="84"/>
      <c r="N416" s="41"/>
      <c r="O416" s="41"/>
      <c r="P416" s="84"/>
      <c r="Q416" s="84"/>
      <c r="R416" s="84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5"/>
      <c r="AW416" s="66"/>
      <c r="AX416" s="66"/>
      <c r="AY416" s="106"/>
    </row>
    <row r="417" s="31" customFormat="1" spans="2:51">
      <c r="B417" s="65"/>
      <c r="C417" s="66"/>
      <c r="D417" s="66"/>
      <c r="E417" s="67"/>
      <c r="F417" s="66"/>
      <c r="G417" s="68"/>
      <c r="H417" s="66"/>
      <c r="I417" s="66"/>
      <c r="J417" s="66"/>
      <c r="K417" s="66"/>
      <c r="L417" s="84"/>
      <c r="M417" s="84"/>
      <c r="N417" s="41"/>
      <c r="O417" s="41"/>
      <c r="P417" s="84"/>
      <c r="Q417" s="84"/>
      <c r="R417" s="84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5"/>
      <c r="AW417" s="66"/>
      <c r="AX417" s="66"/>
      <c r="AY417" s="106"/>
    </row>
    <row r="418" s="31" customFormat="1" spans="2:51">
      <c r="B418" s="65"/>
      <c r="C418" s="66"/>
      <c r="D418" s="66"/>
      <c r="E418" s="67"/>
      <c r="F418" s="66"/>
      <c r="G418" s="68"/>
      <c r="H418" s="66"/>
      <c r="I418" s="66"/>
      <c r="J418" s="66"/>
      <c r="K418" s="66"/>
      <c r="L418" s="84"/>
      <c r="M418" s="84"/>
      <c r="N418" s="41"/>
      <c r="O418" s="41"/>
      <c r="P418" s="84"/>
      <c r="Q418" s="84"/>
      <c r="R418" s="84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5"/>
      <c r="AW418" s="66"/>
      <c r="AX418" s="66"/>
      <c r="AY418" s="106"/>
    </row>
    <row r="419" s="31" customFormat="1" spans="2:51">
      <c r="B419" s="65"/>
      <c r="C419" s="66"/>
      <c r="D419" s="66"/>
      <c r="E419" s="67"/>
      <c r="F419" s="66"/>
      <c r="G419" s="68"/>
      <c r="H419" s="66"/>
      <c r="I419" s="66"/>
      <c r="J419" s="66"/>
      <c r="K419" s="66"/>
      <c r="L419" s="84"/>
      <c r="M419" s="84"/>
      <c r="N419" s="41"/>
      <c r="O419" s="41"/>
      <c r="P419" s="84"/>
      <c r="Q419" s="84"/>
      <c r="R419" s="84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5"/>
      <c r="AW419" s="66"/>
      <c r="AX419" s="66"/>
      <c r="AY419" s="106"/>
    </row>
    <row r="420" s="31" customFormat="1" spans="2:51">
      <c r="B420" s="65"/>
      <c r="C420" s="66"/>
      <c r="D420" s="66"/>
      <c r="E420" s="67"/>
      <c r="F420" s="66"/>
      <c r="G420" s="68"/>
      <c r="H420" s="66"/>
      <c r="I420" s="66"/>
      <c r="J420" s="66"/>
      <c r="K420" s="66"/>
      <c r="L420" s="84"/>
      <c r="M420" s="84"/>
      <c r="N420" s="41"/>
      <c r="O420" s="41"/>
      <c r="P420" s="84"/>
      <c r="Q420" s="84"/>
      <c r="R420" s="84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5"/>
      <c r="AW420" s="66"/>
      <c r="AX420" s="66"/>
      <c r="AY420" s="106"/>
    </row>
    <row r="421" s="31" customFormat="1" spans="2:51">
      <c r="B421" s="65"/>
      <c r="C421" s="66"/>
      <c r="D421" s="66"/>
      <c r="E421" s="67"/>
      <c r="F421" s="66"/>
      <c r="G421" s="68"/>
      <c r="H421" s="66"/>
      <c r="I421" s="66"/>
      <c r="J421" s="66"/>
      <c r="K421" s="66"/>
      <c r="L421" s="84"/>
      <c r="M421" s="84"/>
      <c r="N421" s="41"/>
      <c r="O421" s="41"/>
      <c r="P421" s="84"/>
      <c r="Q421" s="84"/>
      <c r="R421" s="84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5"/>
      <c r="AW421" s="66"/>
      <c r="AX421" s="66"/>
      <c r="AY421" s="106"/>
    </row>
    <row r="422" s="31" customFormat="1" spans="2:51">
      <c r="B422" s="65"/>
      <c r="C422" s="66"/>
      <c r="D422" s="66"/>
      <c r="E422" s="67"/>
      <c r="F422" s="66"/>
      <c r="G422" s="68"/>
      <c r="H422" s="66"/>
      <c r="I422" s="66"/>
      <c r="J422" s="66"/>
      <c r="K422" s="66"/>
      <c r="L422" s="84"/>
      <c r="M422" s="84"/>
      <c r="N422" s="41"/>
      <c r="O422" s="41"/>
      <c r="P422" s="84"/>
      <c r="Q422" s="84"/>
      <c r="R422" s="84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5"/>
      <c r="AW422" s="66"/>
      <c r="AX422" s="66"/>
      <c r="AY422" s="106"/>
    </row>
    <row r="423" s="31" customFormat="1" spans="2:51">
      <c r="B423" s="65"/>
      <c r="C423" s="66"/>
      <c r="D423" s="66"/>
      <c r="E423" s="67"/>
      <c r="F423" s="66"/>
      <c r="G423" s="68"/>
      <c r="H423" s="66"/>
      <c r="I423" s="66"/>
      <c r="J423" s="66"/>
      <c r="K423" s="66"/>
      <c r="L423" s="84"/>
      <c r="M423" s="84"/>
      <c r="N423" s="41"/>
      <c r="O423" s="41"/>
      <c r="P423" s="84"/>
      <c r="Q423" s="84"/>
      <c r="R423" s="84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5"/>
      <c r="AW423" s="66"/>
      <c r="AX423" s="66"/>
      <c r="AY423" s="106"/>
    </row>
    <row r="424" s="31" customFormat="1" spans="2:51">
      <c r="B424" s="65"/>
      <c r="C424" s="66"/>
      <c r="D424" s="66"/>
      <c r="E424" s="67"/>
      <c r="F424" s="66"/>
      <c r="G424" s="68"/>
      <c r="H424" s="66"/>
      <c r="I424" s="66"/>
      <c r="J424" s="66"/>
      <c r="K424" s="66"/>
      <c r="L424" s="84"/>
      <c r="M424" s="84"/>
      <c r="N424" s="41"/>
      <c r="O424" s="41"/>
      <c r="P424" s="84"/>
      <c r="Q424" s="84"/>
      <c r="R424" s="84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5"/>
      <c r="AW424" s="66"/>
      <c r="AX424" s="66"/>
      <c r="AY424" s="106"/>
    </row>
    <row r="425" s="31" customFormat="1" spans="2:51">
      <c r="B425" s="65"/>
      <c r="C425" s="66"/>
      <c r="D425" s="66"/>
      <c r="E425" s="67"/>
      <c r="F425" s="66"/>
      <c r="G425" s="68"/>
      <c r="H425" s="66"/>
      <c r="I425" s="66"/>
      <c r="J425" s="66"/>
      <c r="K425" s="66"/>
      <c r="L425" s="84"/>
      <c r="M425" s="84"/>
      <c r="N425" s="41"/>
      <c r="O425" s="41"/>
      <c r="P425" s="84"/>
      <c r="Q425" s="84"/>
      <c r="R425" s="84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5"/>
      <c r="AW425" s="66"/>
      <c r="AX425" s="66"/>
      <c r="AY425" s="106"/>
    </row>
    <row r="426" s="31" customFormat="1" spans="2:51">
      <c r="B426" s="65"/>
      <c r="C426" s="66"/>
      <c r="D426" s="66"/>
      <c r="E426" s="67"/>
      <c r="F426" s="66"/>
      <c r="G426" s="68"/>
      <c r="H426" s="66"/>
      <c r="I426" s="66"/>
      <c r="J426" s="66"/>
      <c r="K426" s="66"/>
      <c r="L426" s="84"/>
      <c r="M426" s="84"/>
      <c r="N426" s="41"/>
      <c r="O426" s="41"/>
      <c r="P426" s="84"/>
      <c r="Q426" s="84"/>
      <c r="R426" s="84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5"/>
      <c r="AW426" s="66"/>
      <c r="AX426" s="66"/>
      <c r="AY426" s="106"/>
    </row>
    <row r="427" s="31" customFormat="1" spans="2:51">
      <c r="B427" s="65"/>
      <c r="C427" s="66"/>
      <c r="D427" s="66"/>
      <c r="E427" s="67"/>
      <c r="F427" s="66"/>
      <c r="G427" s="68"/>
      <c r="H427" s="66"/>
      <c r="I427" s="66"/>
      <c r="J427" s="66"/>
      <c r="K427" s="66"/>
      <c r="L427" s="84"/>
      <c r="M427" s="84"/>
      <c r="N427" s="41"/>
      <c r="O427" s="41"/>
      <c r="P427" s="84"/>
      <c r="Q427" s="84"/>
      <c r="R427" s="84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5"/>
      <c r="AW427" s="66"/>
      <c r="AX427" s="66"/>
      <c r="AY427" s="106"/>
    </row>
    <row r="428" s="31" customFormat="1" spans="2:51">
      <c r="B428" s="65"/>
      <c r="C428" s="66"/>
      <c r="D428" s="66"/>
      <c r="E428" s="67"/>
      <c r="F428" s="66"/>
      <c r="G428" s="68"/>
      <c r="H428" s="66"/>
      <c r="I428" s="66"/>
      <c r="J428" s="66"/>
      <c r="K428" s="66"/>
      <c r="L428" s="84"/>
      <c r="M428" s="84"/>
      <c r="N428" s="41"/>
      <c r="O428" s="41"/>
      <c r="P428" s="84"/>
      <c r="Q428" s="84"/>
      <c r="R428" s="84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5"/>
      <c r="AW428" s="66"/>
      <c r="AX428" s="66"/>
      <c r="AY428" s="106"/>
    </row>
    <row r="429" s="31" customFormat="1" spans="2:51">
      <c r="B429" s="65"/>
      <c r="C429" s="66"/>
      <c r="D429" s="66"/>
      <c r="E429" s="67"/>
      <c r="F429" s="66"/>
      <c r="G429" s="68"/>
      <c r="H429" s="66"/>
      <c r="I429" s="66"/>
      <c r="J429" s="66"/>
      <c r="K429" s="66"/>
      <c r="L429" s="84"/>
      <c r="M429" s="84"/>
      <c r="N429" s="41"/>
      <c r="O429" s="41"/>
      <c r="P429" s="84"/>
      <c r="Q429" s="84"/>
      <c r="R429" s="84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5"/>
      <c r="AW429" s="66"/>
      <c r="AX429" s="66"/>
      <c r="AY429" s="106"/>
    </row>
    <row r="430" s="31" customFormat="1" spans="2:51">
      <c r="B430" s="65"/>
      <c r="C430" s="66"/>
      <c r="D430" s="66"/>
      <c r="E430" s="67"/>
      <c r="F430" s="66"/>
      <c r="G430" s="68"/>
      <c r="H430" s="66"/>
      <c r="I430" s="66"/>
      <c r="J430" s="66"/>
      <c r="K430" s="66"/>
      <c r="L430" s="84"/>
      <c r="M430" s="84"/>
      <c r="N430" s="41"/>
      <c r="O430" s="41"/>
      <c r="P430" s="84"/>
      <c r="Q430" s="84"/>
      <c r="R430" s="84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5"/>
      <c r="AW430" s="66"/>
      <c r="AX430" s="66"/>
      <c r="AY430" s="106"/>
    </row>
    <row r="431" s="31" customFormat="1" spans="2:51">
      <c r="B431" s="65"/>
      <c r="C431" s="66"/>
      <c r="D431" s="66"/>
      <c r="E431" s="67"/>
      <c r="F431" s="66"/>
      <c r="G431" s="68"/>
      <c r="H431" s="66"/>
      <c r="I431" s="66"/>
      <c r="J431" s="66"/>
      <c r="K431" s="66"/>
      <c r="L431" s="84"/>
      <c r="M431" s="84"/>
      <c r="N431" s="41"/>
      <c r="O431" s="41"/>
      <c r="P431" s="84"/>
      <c r="Q431" s="84"/>
      <c r="R431" s="84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5"/>
      <c r="AW431" s="66"/>
      <c r="AX431" s="66"/>
      <c r="AY431" s="106"/>
    </row>
    <row r="432" s="31" customFormat="1" spans="2:51">
      <c r="B432" s="65"/>
      <c r="C432" s="66"/>
      <c r="D432" s="66"/>
      <c r="E432" s="67"/>
      <c r="F432" s="66"/>
      <c r="G432" s="68"/>
      <c r="H432" s="66"/>
      <c r="I432" s="66"/>
      <c r="J432" s="66"/>
      <c r="K432" s="66"/>
      <c r="L432" s="84"/>
      <c r="M432" s="84"/>
      <c r="N432" s="41"/>
      <c r="O432" s="41"/>
      <c r="P432" s="84"/>
      <c r="Q432" s="84"/>
      <c r="R432" s="84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5"/>
      <c r="AW432" s="66"/>
      <c r="AX432" s="66"/>
      <c r="AY432" s="106"/>
    </row>
    <row r="433" s="31" customFormat="1" spans="2:51">
      <c r="B433" s="65"/>
      <c r="C433" s="66"/>
      <c r="D433" s="66"/>
      <c r="E433" s="67"/>
      <c r="F433" s="66"/>
      <c r="G433" s="68"/>
      <c r="H433" s="66"/>
      <c r="I433" s="66"/>
      <c r="J433" s="66"/>
      <c r="K433" s="66"/>
      <c r="L433" s="84"/>
      <c r="M433" s="84"/>
      <c r="N433" s="41"/>
      <c r="O433" s="41"/>
      <c r="P433" s="84"/>
      <c r="Q433" s="84"/>
      <c r="R433" s="84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5"/>
      <c r="AW433" s="66"/>
      <c r="AX433" s="66"/>
      <c r="AY433" s="106"/>
    </row>
    <row r="434" s="31" customFormat="1" spans="2:51">
      <c r="B434" s="65"/>
      <c r="C434" s="66"/>
      <c r="D434" s="66"/>
      <c r="E434" s="67"/>
      <c r="F434" s="66"/>
      <c r="G434" s="68"/>
      <c r="H434" s="66"/>
      <c r="I434" s="66"/>
      <c r="J434" s="66"/>
      <c r="K434" s="66"/>
      <c r="L434" s="84"/>
      <c r="M434" s="84"/>
      <c r="N434" s="41"/>
      <c r="O434" s="41"/>
      <c r="P434" s="84"/>
      <c r="Q434" s="84"/>
      <c r="R434" s="84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5"/>
      <c r="AW434" s="66"/>
      <c r="AX434" s="66"/>
      <c r="AY434" s="106"/>
    </row>
    <row r="435" s="31" customFormat="1" spans="2:51">
      <c r="B435" s="65"/>
      <c r="C435" s="66"/>
      <c r="D435" s="66"/>
      <c r="E435" s="67"/>
      <c r="F435" s="66"/>
      <c r="G435" s="68"/>
      <c r="H435" s="66"/>
      <c r="I435" s="66"/>
      <c r="J435" s="66"/>
      <c r="K435" s="66"/>
      <c r="L435" s="84"/>
      <c r="M435" s="84"/>
      <c r="N435" s="41"/>
      <c r="O435" s="41"/>
      <c r="P435" s="84"/>
      <c r="Q435" s="84"/>
      <c r="R435" s="84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5"/>
      <c r="AW435" s="66"/>
      <c r="AX435" s="66"/>
      <c r="AY435" s="106"/>
    </row>
    <row r="436" s="31" customFormat="1" spans="2:51">
      <c r="B436" s="65"/>
      <c r="C436" s="66"/>
      <c r="D436" s="66"/>
      <c r="E436" s="67"/>
      <c r="F436" s="66"/>
      <c r="G436" s="68"/>
      <c r="H436" s="66"/>
      <c r="I436" s="66"/>
      <c r="J436" s="66"/>
      <c r="K436" s="66"/>
      <c r="L436" s="84"/>
      <c r="M436" s="84"/>
      <c r="N436" s="41"/>
      <c r="O436" s="41"/>
      <c r="P436" s="84"/>
      <c r="Q436" s="84"/>
      <c r="R436" s="84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5"/>
      <c r="AW436" s="66"/>
      <c r="AX436" s="66"/>
      <c r="AY436" s="106"/>
    </row>
    <row r="437" s="31" customFormat="1" spans="2:51">
      <c r="B437" s="65"/>
      <c r="C437" s="66"/>
      <c r="D437" s="66"/>
      <c r="E437" s="67"/>
      <c r="F437" s="66"/>
      <c r="G437" s="68"/>
      <c r="H437" s="66"/>
      <c r="I437" s="66"/>
      <c r="J437" s="66"/>
      <c r="K437" s="66"/>
      <c r="L437" s="84"/>
      <c r="M437" s="84"/>
      <c r="N437" s="41"/>
      <c r="O437" s="41"/>
      <c r="P437" s="84"/>
      <c r="Q437" s="84"/>
      <c r="R437" s="84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5"/>
      <c r="AW437" s="66"/>
      <c r="AX437" s="66"/>
      <c r="AY437" s="106"/>
    </row>
    <row r="438" s="31" customFormat="1" spans="2:51">
      <c r="B438" s="65"/>
      <c r="C438" s="66"/>
      <c r="D438" s="66"/>
      <c r="E438" s="67"/>
      <c r="F438" s="66"/>
      <c r="G438" s="68"/>
      <c r="H438" s="66"/>
      <c r="I438" s="66"/>
      <c r="J438" s="66"/>
      <c r="K438" s="66"/>
      <c r="L438" s="84"/>
      <c r="M438" s="84"/>
      <c r="N438" s="41"/>
      <c r="O438" s="41"/>
      <c r="P438" s="84"/>
      <c r="Q438" s="84"/>
      <c r="R438" s="84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5"/>
      <c r="AW438" s="66"/>
      <c r="AX438" s="66"/>
      <c r="AY438" s="106"/>
    </row>
    <row r="439" s="31" customFormat="1" spans="2:51">
      <c r="B439" s="65"/>
      <c r="C439" s="66"/>
      <c r="D439" s="66"/>
      <c r="E439" s="67"/>
      <c r="F439" s="66"/>
      <c r="G439" s="68"/>
      <c r="H439" s="66"/>
      <c r="I439" s="66"/>
      <c r="J439" s="66"/>
      <c r="K439" s="66"/>
      <c r="L439" s="84"/>
      <c r="M439" s="84"/>
      <c r="N439" s="41"/>
      <c r="O439" s="41"/>
      <c r="P439" s="84"/>
      <c r="Q439" s="84"/>
      <c r="R439" s="84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5"/>
      <c r="AW439" s="66"/>
      <c r="AX439" s="66"/>
      <c r="AY439" s="106"/>
    </row>
    <row r="440" s="31" customFormat="1" spans="2:51">
      <c r="B440" s="65"/>
      <c r="C440" s="66"/>
      <c r="D440" s="66"/>
      <c r="E440" s="67"/>
      <c r="F440" s="66"/>
      <c r="G440" s="68"/>
      <c r="H440" s="66"/>
      <c r="I440" s="66"/>
      <c r="J440" s="66"/>
      <c r="K440" s="66"/>
      <c r="L440" s="84"/>
      <c r="M440" s="84"/>
      <c r="N440" s="41"/>
      <c r="O440" s="41"/>
      <c r="P440" s="84"/>
      <c r="Q440" s="84"/>
      <c r="R440" s="84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5"/>
      <c r="AW440" s="66"/>
      <c r="AX440" s="66"/>
      <c r="AY440" s="106"/>
    </row>
    <row r="441" s="31" customFormat="1" spans="2:51">
      <c r="B441" s="65"/>
      <c r="C441" s="66"/>
      <c r="D441" s="66"/>
      <c r="E441" s="67"/>
      <c r="F441" s="66"/>
      <c r="G441" s="68"/>
      <c r="H441" s="66"/>
      <c r="I441" s="66"/>
      <c r="J441" s="66"/>
      <c r="K441" s="66"/>
      <c r="L441" s="84"/>
      <c r="M441" s="84"/>
      <c r="N441" s="41"/>
      <c r="O441" s="41"/>
      <c r="P441" s="84"/>
      <c r="Q441" s="84"/>
      <c r="R441" s="84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5"/>
      <c r="AW441" s="66"/>
      <c r="AX441" s="66"/>
      <c r="AY441" s="106"/>
    </row>
    <row r="442" s="31" customFormat="1" spans="2:51">
      <c r="B442" s="65"/>
      <c r="C442" s="66"/>
      <c r="D442" s="66"/>
      <c r="E442" s="67"/>
      <c r="F442" s="66"/>
      <c r="G442" s="68"/>
      <c r="H442" s="66"/>
      <c r="I442" s="66"/>
      <c r="J442" s="66"/>
      <c r="K442" s="66"/>
      <c r="L442" s="84"/>
      <c r="M442" s="84"/>
      <c r="N442" s="41"/>
      <c r="O442" s="41"/>
      <c r="P442" s="84"/>
      <c r="Q442" s="84"/>
      <c r="R442" s="84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5"/>
      <c r="AW442" s="66"/>
      <c r="AX442" s="66"/>
      <c r="AY442" s="106"/>
    </row>
    <row r="443" s="31" customFormat="1" spans="2:51">
      <c r="B443" s="65"/>
      <c r="C443" s="66"/>
      <c r="D443" s="66"/>
      <c r="E443" s="67"/>
      <c r="F443" s="66"/>
      <c r="G443" s="68"/>
      <c r="H443" s="66"/>
      <c r="I443" s="66"/>
      <c r="J443" s="66"/>
      <c r="K443" s="66"/>
      <c r="L443" s="84"/>
      <c r="M443" s="84"/>
      <c r="N443" s="41"/>
      <c r="O443" s="41"/>
      <c r="P443" s="84"/>
      <c r="Q443" s="84"/>
      <c r="R443" s="84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5"/>
      <c r="AW443" s="66"/>
      <c r="AX443" s="66"/>
      <c r="AY443" s="106"/>
    </row>
    <row r="444" s="31" customFormat="1" spans="2:51">
      <c r="B444" s="65"/>
      <c r="C444" s="66"/>
      <c r="D444" s="66"/>
      <c r="E444" s="67"/>
      <c r="F444" s="66"/>
      <c r="G444" s="68"/>
      <c r="H444" s="66"/>
      <c r="I444" s="66"/>
      <c r="J444" s="66"/>
      <c r="K444" s="66"/>
      <c r="L444" s="84"/>
      <c r="M444" s="84"/>
      <c r="N444" s="41"/>
      <c r="O444" s="41"/>
      <c r="P444" s="84"/>
      <c r="Q444" s="84"/>
      <c r="R444" s="84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5"/>
      <c r="AW444" s="66"/>
      <c r="AX444" s="66"/>
      <c r="AY444" s="106"/>
    </row>
    <row r="445" s="31" customFormat="1" spans="2:51">
      <c r="B445" s="65"/>
      <c r="C445" s="66"/>
      <c r="D445" s="66"/>
      <c r="E445" s="67"/>
      <c r="F445" s="66"/>
      <c r="G445" s="68"/>
      <c r="H445" s="66"/>
      <c r="I445" s="66"/>
      <c r="J445" s="66"/>
      <c r="K445" s="66"/>
      <c r="L445" s="84"/>
      <c r="M445" s="84"/>
      <c r="N445" s="41"/>
      <c r="O445" s="41"/>
      <c r="P445" s="84"/>
      <c r="Q445" s="84"/>
      <c r="R445" s="84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5"/>
      <c r="AW445" s="66"/>
      <c r="AX445" s="66"/>
      <c r="AY445" s="106"/>
    </row>
    <row r="446" s="31" customFormat="1" spans="2:51">
      <c r="B446" s="65"/>
      <c r="C446" s="66"/>
      <c r="D446" s="66"/>
      <c r="E446" s="67"/>
      <c r="F446" s="66"/>
      <c r="G446" s="68"/>
      <c r="H446" s="66"/>
      <c r="I446" s="66"/>
      <c r="J446" s="66"/>
      <c r="K446" s="66"/>
      <c r="L446" s="84"/>
      <c r="M446" s="84"/>
      <c r="N446" s="41"/>
      <c r="O446" s="41"/>
      <c r="P446" s="84"/>
      <c r="Q446" s="84"/>
      <c r="R446" s="84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5"/>
      <c r="AW446" s="66"/>
      <c r="AX446" s="66"/>
      <c r="AY446" s="106"/>
    </row>
    <row r="447" s="31" customFormat="1" spans="2:51">
      <c r="B447" s="65"/>
      <c r="C447" s="66"/>
      <c r="D447" s="66"/>
      <c r="E447" s="67"/>
      <c r="F447" s="66"/>
      <c r="G447" s="68"/>
      <c r="H447" s="66"/>
      <c r="I447" s="66"/>
      <c r="J447" s="66"/>
      <c r="K447" s="66"/>
      <c r="L447" s="84"/>
      <c r="M447" s="84"/>
      <c r="N447" s="41"/>
      <c r="O447" s="41"/>
      <c r="P447" s="84"/>
      <c r="Q447" s="84"/>
      <c r="R447" s="84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5"/>
      <c r="AW447" s="66"/>
      <c r="AX447" s="66"/>
      <c r="AY447" s="106"/>
    </row>
    <row r="448" s="31" customFormat="1" spans="2:51">
      <c r="B448" s="65"/>
      <c r="C448" s="66"/>
      <c r="D448" s="66"/>
      <c r="E448" s="67"/>
      <c r="F448" s="66"/>
      <c r="G448" s="68"/>
      <c r="H448" s="66"/>
      <c r="I448" s="66"/>
      <c r="J448" s="66"/>
      <c r="K448" s="66"/>
      <c r="L448" s="84"/>
      <c r="M448" s="84"/>
      <c r="N448" s="41"/>
      <c r="O448" s="41"/>
      <c r="P448" s="84"/>
      <c r="Q448" s="84"/>
      <c r="R448" s="84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5"/>
      <c r="AW448" s="66"/>
      <c r="AX448" s="66"/>
      <c r="AY448" s="106"/>
    </row>
    <row r="449" s="31" customFormat="1" spans="2:51">
      <c r="B449" s="65"/>
      <c r="C449" s="66"/>
      <c r="D449" s="66"/>
      <c r="E449" s="67"/>
      <c r="F449" s="66"/>
      <c r="G449" s="68"/>
      <c r="H449" s="66"/>
      <c r="I449" s="66"/>
      <c r="J449" s="66"/>
      <c r="K449" s="66"/>
      <c r="L449" s="84"/>
      <c r="M449" s="84"/>
      <c r="N449" s="41"/>
      <c r="O449" s="41"/>
      <c r="P449" s="84"/>
      <c r="Q449" s="84"/>
      <c r="R449" s="84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5"/>
      <c r="AW449" s="66"/>
      <c r="AX449" s="66"/>
      <c r="AY449" s="106"/>
    </row>
    <row r="450" s="31" customFormat="1" spans="2:51">
      <c r="B450" s="65"/>
      <c r="C450" s="66"/>
      <c r="D450" s="66"/>
      <c r="E450" s="67"/>
      <c r="F450" s="66"/>
      <c r="G450" s="68"/>
      <c r="H450" s="66"/>
      <c r="I450" s="66"/>
      <c r="J450" s="66"/>
      <c r="K450" s="66"/>
      <c r="L450" s="84"/>
      <c r="M450" s="84"/>
      <c r="N450" s="41"/>
      <c r="O450" s="41"/>
      <c r="P450" s="84"/>
      <c r="Q450" s="84"/>
      <c r="R450" s="84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5"/>
      <c r="AW450" s="66"/>
      <c r="AX450" s="66"/>
      <c r="AY450" s="106"/>
    </row>
    <row r="451" s="31" customFormat="1" spans="2:51">
      <c r="B451" s="65"/>
      <c r="C451" s="66"/>
      <c r="D451" s="66"/>
      <c r="E451" s="67"/>
      <c r="F451" s="66"/>
      <c r="G451" s="68"/>
      <c r="H451" s="66"/>
      <c r="I451" s="66"/>
      <c r="J451" s="66"/>
      <c r="K451" s="66"/>
      <c r="L451" s="84"/>
      <c r="M451" s="84"/>
      <c r="N451" s="41"/>
      <c r="O451" s="41"/>
      <c r="P451" s="84"/>
      <c r="Q451" s="84"/>
      <c r="R451" s="84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5"/>
      <c r="AW451" s="66"/>
      <c r="AX451" s="66"/>
      <c r="AY451" s="106"/>
    </row>
    <row r="452" s="31" customFormat="1" spans="2:51">
      <c r="B452" s="65"/>
      <c r="C452" s="66"/>
      <c r="D452" s="66"/>
      <c r="E452" s="67"/>
      <c r="F452" s="66"/>
      <c r="G452" s="68"/>
      <c r="H452" s="66"/>
      <c r="I452" s="66"/>
      <c r="J452" s="66"/>
      <c r="K452" s="66"/>
      <c r="L452" s="84"/>
      <c r="M452" s="84"/>
      <c r="N452" s="41"/>
      <c r="O452" s="41"/>
      <c r="P452" s="84"/>
      <c r="Q452" s="84"/>
      <c r="R452" s="84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5"/>
      <c r="AW452" s="66"/>
      <c r="AX452" s="66"/>
      <c r="AY452" s="106"/>
    </row>
    <row r="453" s="31" customFormat="1" spans="2:51">
      <c r="B453" s="65"/>
      <c r="C453" s="66"/>
      <c r="D453" s="66"/>
      <c r="E453" s="67"/>
      <c r="F453" s="66"/>
      <c r="G453" s="68"/>
      <c r="H453" s="66"/>
      <c r="I453" s="66"/>
      <c r="J453" s="66"/>
      <c r="K453" s="66"/>
      <c r="L453" s="84"/>
      <c r="M453" s="84"/>
      <c r="N453" s="41"/>
      <c r="O453" s="41"/>
      <c r="P453" s="84"/>
      <c r="Q453" s="84"/>
      <c r="R453" s="84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5"/>
      <c r="AW453" s="66"/>
      <c r="AX453" s="66"/>
      <c r="AY453" s="106"/>
    </row>
    <row r="454" s="31" customFormat="1" spans="2:51">
      <c r="B454" s="65"/>
      <c r="C454" s="66"/>
      <c r="D454" s="66"/>
      <c r="E454" s="67"/>
      <c r="F454" s="66"/>
      <c r="G454" s="68"/>
      <c r="H454" s="66"/>
      <c r="I454" s="66"/>
      <c r="J454" s="66"/>
      <c r="K454" s="66"/>
      <c r="L454" s="84"/>
      <c r="M454" s="84"/>
      <c r="N454" s="41"/>
      <c r="O454" s="41"/>
      <c r="P454" s="84"/>
      <c r="Q454" s="84"/>
      <c r="R454" s="84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5"/>
      <c r="AW454" s="66"/>
      <c r="AX454" s="66"/>
      <c r="AY454" s="106"/>
    </row>
    <row r="455" s="31" customFormat="1" spans="2:51">
      <c r="B455" s="65"/>
      <c r="C455" s="66"/>
      <c r="D455" s="66"/>
      <c r="E455" s="67"/>
      <c r="F455" s="66"/>
      <c r="G455" s="68"/>
      <c r="H455" s="66"/>
      <c r="I455" s="66"/>
      <c r="J455" s="66"/>
      <c r="K455" s="66"/>
      <c r="L455" s="84"/>
      <c r="M455" s="84"/>
      <c r="N455" s="41"/>
      <c r="O455" s="41"/>
      <c r="P455" s="84"/>
      <c r="Q455" s="84"/>
      <c r="R455" s="84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5"/>
      <c r="AW455" s="66"/>
      <c r="AX455" s="66"/>
      <c r="AY455" s="106"/>
    </row>
    <row r="456" s="31" customFormat="1" spans="2:51">
      <c r="B456" s="65"/>
      <c r="C456" s="66"/>
      <c r="D456" s="66"/>
      <c r="E456" s="67"/>
      <c r="F456" s="66"/>
      <c r="G456" s="68"/>
      <c r="H456" s="66"/>
      <c r="I456" s="66"/>
      <c r="J456" s="66"/>
      <c r="K456" s="66"/>
      <c r="L456" s="84"/>
      <c r="M456" s="84"/>
      <c r="N456" s="41"/>
      <c r="O456" s="41"/>
      <c r="P456" s="84"/>
      <c r="Q456" s="84"/>
      <c r="R456" s="84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5"/>
      <c r="AW456" s="66"/>
      <c r="AX456" s="66"/>
      <c r="AY456" s="106"/>
    </row>
    <row r="457" s="31" customFormat="1" spans="2:51">
      <c r="B457" s="65"/>
      <c r="C457" s="66"/>
      <c r="D457" s="66"/>
      <c r="E457" s="67"/>
      <c r="F457" s="66"/>
      <c r="G457" s="68"/>
      <c r="H457" s="66"/>
      <c r="I457" s="66"/>
      <c r="J457" s="66"/>
      <c r="K457" s="66"/>
      <c r="L457" s="84"/>
      <c r="M457" s="84"/>
      <c r="N457" s="41"/>
      <c r="O457" s="41"/>
      <c r="P457" s="84"/>
      <c r="Q457" s="84"/>
      <c r="R457" s="84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5"/>
      <c r="AW457" s="66"/>
      <c r="AX457" s="66"/>
      <c r="AY457" s="106"/>
    </row>
    <row r="458" s="31" customFormat="1" spans="2:51">
      <c r="B458" s="65"/>
      <c r="C458" s="66"/>
      <c r="D458" s="66"/>
      <c r="E458" s="67"/>
      <c r="F458" s="66"/>
      <c r="G458" s="68"/>
      <c r="H458" s="66"/>
      <c r="I458" s="66"/>
      <c r="J458" s="66"/>
      <c r="K458" s="66"/>
      <c r="L458" s="84"/>
      <c r="M458" s="84"/>
      <c r="N458" s="41"/>
      <c r="O458" s="41"/>
      <c r="P458" s="84"/>
      <c r="Q458" s="84"/>
      <c r="R458" s="84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5"/>
      <c r="AW458" s="66"/>
      <c r="AX458" s="66"/>
      <c r="AY458" s="106"/>
    </row>
    <row r="459" s="31" customFormat="1" spans="2:51">
      <c r="B459" s="65"/>
      <c r="C459" s="66"/>
      <c r="D459" s="66"/>
      <c r="E459" s="67"/>
      <c r="F459" s="66"/>
      <c r="G459" s="68"/>
      <c r="H459" s="66"/>
      <c r="I459" s="66"/>
      <c r="J459" s="66"/>
      <c r="K459" s="66"/>
      <c r="L459" s="84"/>
      <c r="M459" s="84"/>
      <c r="N459" s="41"/>
      <c r="O459" s="41"/>
      <c r="P459" s="84"/>
      <c r="Q459" s="84"/>
      <c r="R459" s="84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5"/>
      <c r="AW459" s="66"/>
      <c r="AX459" s="66"/>
      <c r="AY459" s="106"/>
    </row>
    <row r="460" s="31" customFormat="1" spans="2:51">
      <c r="B460" s="65"/>
      <c r="C460" s="66"/>
      <c r="D460" s="66"/>
      <c r="E460" s="67"/>
      <c r="F460" s="66"/>
      <c r="G460" s="68"/>
      <c r="H460" s="66"/>
      <c r="I460" s="66"/>
      <c r="J460" s="66"/>
      <c r="K460" s="66"/>
      <c r="L460" s="84"/>
      <c r="M460" s="84"/>
      <c r="N460" s="41"/>
      <c r="O460" s="41"/>
      <c r="P460" s="84"/>
      <c r="Q460" s="84"/>
      <c r="R460" s="84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5"/>
      <c r="AW460" s="66"/>
      <c r="AX460" s="66"/>
      <c r="AY460" s="106"/>
    </row>
    <row r="461" s="31" customFormat="1" spans="2:51">
      <c r="B461" s="65"/>
      <c r="C461" s="66"/>
      <c r="D461" s="66"/>
      <c r="E461" s="67"/>
      <c r="F461" s="66"/>
      <c r="G461" s="68"/>
      <c r="H461" s="66"/>
      <c r="I461" s="66"/>
      <c r="J461" s="66"/>
      <c r="K461" s="66"/>
      <c r="L461" s="84"/>
      <c r="M461" s="84"/>
      <c r="N461" s="41"/>
      <c r="O461" s="41"/>
      <c r="P461" s="84"/>
      <c r="Q461" s="84"/>
      <c r="R461" s="84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5"/>
      <c r="AW461" s="66"/>
      <c r="AX461" s="66"/>
      <c r="AY461" s="106"/>
    </row>
    <row r="462" s="31" customFormat="1" spans="2:51">
      <c r="B462" s="65"/>
      <c r="C462" s="66"/>
      <c r="D462" s="66"/>
      <c r="E462" s="67"/>
      <c r="F462" s="66"/>
      <c r="G462" s="68"/>
      <c r="H462" s="66"/>
      <c r="I462" s="66"/>
      <c r="J462" s="66"/>
      <c r="K462" s="66"/>
      <c r="L462" s="84"/>
      <c r="M462" s="84"/>
      <c r="N462" s="41"/>
      <c r="O462" s="41"/>
      <c r="P462" s="84"/>
      <c r="Q462" s="84"/>
      <c r="R462" s="84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5"/>
      <c r="AW462" s="66"/>
      <c r="AX462" s="66"/>
      <c r="AY462" s="106"/>
    </row>
    <row r="463" s="31" customFormat="1" spans="2:51">
      <c r="B463" s="65"/>
      <c r="C463" s="66"/>
      <c r="D463" s="66"/>
      <c r="E463" s="67"/>
      <c r="F463" s="66"/>
      <c r="G463" s="68"/>
      <c r="H463" s="66"/>
      <c r="I463" s="66"/>
      <c r="J463" s="66"/>
      <c r="K463" s="66"/>
      <c r="L463" s="84"/>
      <c r="M463" s="84"/>
      <c r="N463" s="41"/>
      <c r="O463" s="41"/>
      <c r="P463" s="84"/>
      <c r="Q463" s="84"/>
      <c r="R463" s="84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5"/>
      <c r="AW463" s="66"/>
      <c r="AX463" s="66"/>
      <c r="AY463" s="106"/>
    </row>
    <row r="464" s="31" customFormat="1" spans="2:51">
      <c r="B464" s="65"/>
      <c r="C464" s="66"/>
      <c r="D464" s="66"/>
      <c r="E464" s="67"/>
      <c r="F464" s="66"/>
      <c r="G464" s="68"/>
      <c r="H464" s="66"/>
      <c r="I464" s="66"/>
      <c r="J464" s="66"/>
      <c r="K464" s="66"/>
      <c r="L464" s="84"/>
      <c r="M464" s="84"/>
      <c r="N464" s="41"/>
      <c r="O464" s="41"/>
      <c r="P464" s="84"/>
      <c r="Q464" s="84"/>
      <c r="R464" s="84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5"/>
      <c r="AW464" s="66"/>
      <c r="AX464" s="66"/>
      <c r="AY464" s="106"/>
    </row>
    <row r="465" s="31" customFormat="1" spans="2:51">
      <c r="B465" s="65"/>
      <c r="C465" s="66"/>
      <c r="D465" s="66"/>
      <c r="E465" s="67"/>
      <c r="F465" s="66"/>
      <c r="G465" s="68"/>
      <c r="H465" s="66"/>
      <c r="I465" s="66"/>
      <c r="J465" s="66"/>
      <c r="K465" s="66"/>
      <c r="L465" s="84"/>
      <c r="M465" s="84"/>
      <c r="N465" s="41"/>
      <c r="O465" s="41"/>
      <c r="P465" s="84"/>
      <c r="Q465" s="84"/>
      <c r="R465" s="84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5"/>
      <c r="AW465" s="66"/>
      <c r="AX465" s="66"/>
      <c r="AY465" s="106"/>
    </row>
    <row r="466" s="31" customFormat="1" spans="2:51">
      <c r="B466" s="65"/>
      <c r="C466" s="66"/>
      <c r="D466" s="66"/>
      <c r="E466" s="67"/>
      <c r="F466" s="66"/>
      <c r="G466" s="68"/>
      <c r="H466" s="66"/>
      <c r="I466" s="66"/>
      <c r="J466" s="66"/>
      <c r="K466" s="66"/>
      <c r="L466" s="84"/>
      <c r="M466" s="84"/>
      <c r="N466" s="41"/>
      <c r="O466" s="41"/>
      <c r="P466" s="84"/>
      <c r="Q466" s="84"/>
      <c r="R466" s="84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5"/>
      <c r="AW466" s="66"/>
      <c r="AX466" s="66"/>
      <c r="AY466" s="106"/>
    </row>
    <row r="467" s="31" customFormat="1" spans="2:51">
      <c r="B467" s="65"/>
      <c r="C467" s="66"/>
      <c r="D467" s="66"/>
      <c r="E467" s="67"/>
      <c r="F467" s="66"/>
      <c r="G467" s="68"/>
      <c r="H467" s="66"/>
      <c r="I467" s="66"/>
      <c r="J467" s="66"/>
      <c r="K467" s="66"/>
      <c r="L467" s="84"/>
      <c r="M467" s="84"/>
      <c r="N467" s="41"/>
      <c r="O467" s="41"/>
      <c r="P467" s="84"/>
      <c r="Q467" s="84"/>
      <c r="R467" s="84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5"/>
      <c r="AW467" s="66"/>
      <c r="AX467" s="66"/>
      <c r="AY467" s="106"/>
    </row>
    <row r="468" s="31" customFormat="1" spans="2:51">
      <c r="B468" s="65"/>
      <c r="C468" s="66"/>
      <c r="D468" s="66"/>
      <c r="E468" s="67"/>
      <c r="F468" s="66"/>
      <c r="G468" s="68"/>
      <c r="H468" s="66"/>
      <c r="I468" s="66"/>
      <c r="J468" s="66"/>
      <c r="K468" s="66"/>
      <c r="L468" s="84"/>
      <c r="M468" s="84"/>
      <c r="N468" s="41"/>
      <c r="O468" s="41"/>
      <c r="P468" s="84"/>
      <c r="Q468" s="84"/>
      <c r="R468" s="84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5"/>
      <c r="AW468" s="66"/>
      <c r="AX468" s="66"/>
      <c r="AY468" s="106"/>
    </row>
    <row r="469" s="31" customFormat="1" spans="2:51">
      <c r="B469" s="65"/>
      <c r="C469" s="66"/>
      <c r="D469" s="66"/>
      <c r="E469" s="67"/>
      <c r="F469" s="66"/>
      <c r="G469" s="68"/>
      <c r="H469" s="66"/>
      <c r="I469" s="66"/>
      <c r="J469" s="66"/>
      <c r="K469" s="66"/>
      <c r="L469" s="84"/>
      <c r="M469" s="84"/>
      <c r="N469" s="41"/>
      <c r="O469" s="41"/>
      <c r="P469" s="84"/>
      <c r="Q469" s="84"/>
      <c r="R469" s="84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5"/>
      <c r="AW469" s="66"/>
      <c r="AX469" s="66"/>
      <c r="AY469" s="106"/>
    </row>
    <row r="470" s="31" customFormat="1" spans="2:51">
      <c r="B470" s="65"/>
      <c r="C470" s="66"/>
      <c r="D470" s="66"/>
      <c r="E470" s="67"/>
      <c r="F470" s="66"/>
      <c r="G470" s="68"/>
      <c r="H470" s="66"/>
      <c r="I470" s="66"/>
      <c r="J470" s="66"/>
      <c r="K470" s="66"/>
      <c r="L470" s="84"/>
      <c r="M470" s="84"/>
      <c r="N470" s="41"/>
      <c r="O470" s="41"/>
      <c r="P470" s="84"/>
      <c r="Q470" s="84"/>
      <c r="R470" s="84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5"/>
      <c r="AW470" s="66"/>
      <c r="AX470" s="66"/>
      <c r="AY470" s="106"/>
    </row>
    <row r="471" s="31" customFormat="1" spans="2:51">
      <c r="B471" s="65"/>
      <c r="C471" s="66"/>
      <c r="D471" s="66"/>
      <c r="E471" s="67"/>
      <c r="F471" s="66"/>
      <c r="G471" s="68"/>
      <c r="H471" s="66"/>
      <c r="I471" s="66"/>
      <c r="J471" s="66"/>
      <c r="K471" s="66"/>
      <c r="L471" s="84"/>
      <c r="M471" s="84"/>
      <c r="N471" s="41"/>
      <c r="O471" s="41"/>
      <c r="P471" s="84"/>
      <c r="Q471" s="84"/>
      <c r="R471" s="84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5"/>
      <c r="AW471" s="66"/>
      <c r="AX471" s="66"/>
      <c r="AY471" s="106"/>
    </row>
    <row r="472" s="31" customFormat="1" spans="2:51">
      <c r="B472" s="65"/>
      <c r="C472" s="66"/>
      <c r="D472" s="66"/>
      <c r="E472" s="67"/>
      <c r="F472" s="66"/>
      <c r="G472" s="68"/>
      <c r="H472" s="66"/>
      <c r="I472" s="66"/>
      <c r="J472" s="66"/>
      <c r="K472" s="66"/>
      <c r="L472" s="84"/>
      <c r="M472" s="84"/>
      <c r="N472" s="41"/>
      <c r="O472" s="41"/>
      <c r="P472" s="84"/>
      <c r="Q472" s="84"/>
      <c r="R472" s="84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5"/>
      <c r="AW472" s="66"/>
      <c r="AX472" s="66"/>
      <c r="AY472" s="106"/>
    </row>
    <row r="473" s="31" customFormat="1" spans="2:51">
      <c r="B473" s="65"/>
      <c r="C473" s="66"/>
      <c r="D473" s="66"/>
      <c r="E473" s="67"/>
      <c r="F473" s="66"/>
      <c r="G473" s="68"/>
      <c r="H473" s="66"/>
      <c r="I473" s="66"/>
      <c r="J473" s="66"/>
      <c r="K473" s="66"/>
      <c r="L473" s="84"/>
      <c r="M473" s="84"/>
      <c r="N473" s="41"/>
      <c r="O473" s="41"/>
      <c r="P473" s="84"/>
      <c r="Q473" s="84"/>
      <c r="R473" s="84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5"/>
      <c r="AW473" s="66"/>
      <c r="AX473" s="66"/>
      <c r="AY473" s="106"/>
    </row>
    <row r="474" s="31" customFormat="1" spans="2:51">
      <c r="B474" s="65"/>
      <c r="C474" s="66"/>
      <c r="D474" s="66"/>
      <c r="E474" s="67"/>
      <c r="F474" s="66"/>
      <c r="G474" s="68"/>
      <c r="H474" s="66"/>
      <c r="I474" s="66"/>
      <c r="J474" s="66"/>
      <c r="K474" s="66"/>
      <c r="L474" s="84"/>
      <c r="M474" s="84"/>
      <c r="N474" s="41"/>
      <c r="O474" s="41"/>
      <c r="P474" s="84"/>
      <c r="Q474" s="84"/>
      <c r="R474" s="84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5"/>
      <c r="AW474" s="66"/>
      <c r="AX474" s="66"/>
      <c r="AY474" s="106"/>
    </row>
    <row r="475" s="31" customFormat="1" spans="2:51">
      <c r="B475" s="65"/>
      <c r="C475" s="66"/>
      <c r="D475" s="66"/>
      <c r="E475" s="67"/>
      <c r="F475" s="66"/>
      <c r="G475" s="68"/>
      <c r="H475" s="66"/>
      <c r="I475" s="66"/>
      <c r="J475" s="66"/>
      <c r="K475" s="66"/>
      <c r="L475" s="84"/>
      <c r="M475" s="84"/>
      <c r="N475" s="41"/>
      <c r="O475" s="41"/>
      <c r="P475" s="84"/>
      <c r="Q475" s="84"/>
      <c r="R475" s="84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5"/>
      <c r="AW475" s="66"/>
      <c r="AX475" s="66"/>
      <c r="AY475" s="106"/>
    </row>
    <row r="476" s="31" customFormat="1" spans="2:51">
      <c r="B476" s="65"/>
      <c r="C476" s="66"/>
      <c r="D476" s="66"/>
      <c r="E476" s="67"/>
      <c r="F476" s="66"/>
      <c r="G476" s="68"/>
      <c r="H476" s="66"/>
      <c r="I476" s="66"/>
      <c r="J476" s="66"/>
      <c r="K476" s="66"/>
      <c r="L476" s="84"/>
      <c r="M476" s="84"/>
      <c r="N476" s="41"/>
      <c r="O476" s="41"/>
      <c r="P476" s="84"/>
      <c r="Q476" s="84"/>
      <c r="R476" s="84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5"/>
      <c r="AW476" s="66"/>
      <c r="AX476" s="66"/>
      <c r="AY476" s="106"/>
    </row>
    <row r="477" s="31" customFormat="1" spans="2:51">
      <c r="B477" s="65"/>
      <c r="C477" s="66"/>
      <c r="D477" s="66"/>
      <c r="E477" s="67"/>
      <c r="F477" s="66"/>
      <c r="G477" s="68"/>
      <c r="H477" s="66"/>
      <c r="I477" s="66"/>
      <c r="J477" s="66"/>
      <c r="K477" s="66"/>
      <c r="L477" s="84"/>
      <c r="M477" s="84"/>
      <c r="N477" s="41"/>
      <c r="O477" s="41"/>
      <c r="P477" s="84"/>
      <c r="Q477" s="84"/>
      <c r="R477" s="84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5"/>
      <c r="AW477" s="66"/>
      <c r="AX477" s="66"/>
      <c r="AY477" s="106"/>
    </row>
    <row r="478" s="31" customFormat="1" spans="2:51">
      <c r="B478" s="65"/>
      <c r="C478" s="66"/>
      <c r="D478" s="66"/>
      <c r="E478" s="67"/>
      <c r="F478" s="66"/>
      <c r="G478" s="68"/>
      <c r="H478" s="66"/>
      <c r="I478" s="66"/>
      <c r="J478" s="66"/>
      <c r="K478" s="66"/>
      <c r="L478" s="84"/>
      <c r="M478" s="84"/>
      <c r="N478" s="41"/>
      <c r="O478" s="41"/>
      <c r="P478" s="84"/>
      <c r="Q478" s="84"/>
      <c r="R478" s="84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5"/>
      <c r="AW478" s="66"/>
      <c r="AX478" s="66"/>
      <c r="AY478" s="106"/>
    </row>
    <row r="479" s="31" customFormat="1" spans="2:51">
      <c r="B479" s="65"/>
      <c r="C479" s="66"/>
      <c r="D479" s="66"/>
      <c r="E479" s="67"/>
      <c r="F479" s="66"/>
      <c r="G479" s="68"/>
      <c r="H479" s="66"/>
      <c r="I479" s="66"/>
      <c r="J479" s="66"/>
      <c r="K479" s="66"/>
      <c r="L479" s="84"/>
      <c r="M479" s="84"/>
      <c r="N479" s="41"/>
      <c r="O479" s="41"/>
      <c r="P479" s="84"/>
      <c r="Q479" s="84"/>
      <c r="R479" s="84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5"/>
      <c r="AW479" s="66"/>
      <c r="AX479" s="66"/>
      <c r="AY479" s="106"/>
    </row>
    <row r="480" s="31" customFormat="1" spans="2:51">
      <c r="B480" s="65"/>
      <c r="C480" s="66"/>
      <c r="D480" s="66"/>
      <c r="E480" s="67"/>
      <c r="F480" s="66"/>
      <c r="G480" s="68"/>
      <c r="H480" s="66"/>
      <c r="I480" s="66"/>
      <c r="J480" s="66"/>
      <c r="K480" s="66"/>
      <c r="L480" s="84"/>
      <c r="M480" s="84"/>
      <c r="N480" s="41"/>
      <c r="O480" s="41"/>
      <c r="P480" s="84"/>
      <c r="Q480" s="84"/>
      <c r="R480" s="84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5"/>
      <c r="AW480" s="66"/>
      <c r="AX480" s="66"/>
      <c r="AY480" s="106"/>
    </row>
    <row r="481" s="31" customFormat="1" spans="2:51">
      <c r="B481" s="65"/>
      <c r="C481" s="66"/>
      <c r="D481" s="66"/>
      <c r="E481" s="67"/>
      <c r="F481" s="66"/>
      <c r="G481" s="68"/>
      <c r="H481" s="66"/>
      <c r="I481" s="66"/>
      <c r="J481" s="66"/>
      <c r="K481" s="66"/>
      <c r="L481" s="84"/>
      <c r="M481" s="84"/>
      <c r="N481" s="41"/>
      <c r="O481" s="41"/>
      <c r="P481" s="84"/>
      <c r="Q481" s="84"/>
      <c r="R481" s="84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5"/>
      <c r="AW481" s="66"/>
      <c r="AX481" s="66"/>
      <c r="AY481" s="106"/>
    </row>
    <row r="482" s="31" customFormat="1" spans="2:51">
      <c r="B482" s="65"/>
      <c r="C482" s="66"/>
      <c r="D482" s="66"/>
      <c r="E482" s="67"/>
      <c r="F482" s="66"/>
      <c r="G482" s="68"/>
      <c r="H482" s="66"/>
      <c r="I482" s="66"/>
      <c r="J482" s="66"/>
      <c r="K482" s="66"/>
      <c r="L482" s="84"/>
      <c r="M482" s="84"/>
      <c r="N482" s="41"/>
      <c r="O482" s="41"/>
      <c r="P482" s="84"/>
      <c r="Q482" s="84"/>
      <c r="R482" s="84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5"/>
      <c r="AW482" s="66"/>
      <c r="AX482" s="66"/>
      <c r="AY482" s="106"/>
    </row>
    <row r="483" s="31" customFormat="1" spans="2:51">
      <c r="B483" s="65"/>
      <c r="C483" s="66"/>
      <c r="D483" s="66"/>
      <c r="E483" s="67"/>
      <c r="F483" s="66"/>
      <c r="G483" s="68"/>
      <c r="H483" s="66"/>
      <c r="I483" s="66"/>
      <c r="J483" s="66"/>
      <c r="K483" s="66"/>
      <c r="L483" s="84"/>
      <c r="M483" s="84"/>
      <c r="N483" s="41"/>
      <c r="O483" s="41"/>
      <c r="P483" s="84"/>
      <c r="Q483" s="84"/>
      <c r="R483" s="84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5"/>
      <c r="AW483" s="66"/>
      <c r="AX483" s="66"/>
      <c r="AY483" s="106"/>
    </row>
    <row r="484" s="31" customFormat="1" spans="2:51">
      <c r="B484" s="65"/>
      <c r="C484" s="66"/>
      <c r="D484" s="66"/>
      <c r="E484" s="67"/>
      <c r="F484" s="66"/>
      <c r="G484" s="68"/>
      <c r="H484" s="66"/>
      <c r="I484" s="66"/>
      <c r="J484" s="66"/>
      <c r="K484" s="66"/>
      <c r="L484" s="84"/>
      <c r="M484" s="84"/>
      <c r="N484" s="41"/>
      <c r="O484" s="41"/>
      <c r="P484" s="84"/>
      <c r="Q484" s="84"/>
      <c r="R484" s="84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5"/>
      <c r="AW484" s="66"/>
      <c r="AX484" s="66"/>
      <c r="AY484" s="106"/>
    </row>
    <row r="485" s="31" customFormat="1" spans="2:51">
      <c r="B485" s="65"/>
      <c r="C485" s="66"/>
      <c r="D485" s="66"/>
      <c r="E485" s="67"/>
      <c r="F485" s="66"/>
      <c r="G485" s="68"/>
      <c r="H485" s="66"/>
      <c r="I485" s="66"/>
      <c r="J485" s="66"/>
      <c r="K485" s="66"/>
      <c r="L485" s="84"/>
      <c r="M485" s="84"/>
      <c r="N485" s="41"/>
      <c r="O485" s="41"/>
      <c r="P485" s="84"/>
      <c r="Q485" s="84"/>
      <c r="R485" s="84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5"/>
      <c r="AW485" s="66"/>
      <c r="AX485" s="66"/>
      <c r="AY485" s="106"/>
    </row>
    <row r="486" s="31" customFormat="1" spans="2:51">
      <c r="B486" s="65"/>
      <c r="C486" s="66"/>
      <c r="D486" s="66"/>
      <c r="E486" s="67"/>
      <c r="F486" s="66"/>
      <c r="G486" s="68"/>
      <c r="H486" s="66"/>
      <c r="I486" s="66"/>
      <c r="J486" s="66"/>
      <c r="K486" s="66"/>
      <c r="L486" s="84"/>
      <c r="M486" s="84"/>
      <c r="N486" s="41"/>
      <c r="O486" s="41"/>
      <c r="P486" s="84"/>
      <c r="Q486" s="84"/>
      <c r="R486" s="84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5"/>
      <c r="AW486" s="66"/>
      <c r="AX486" s="66"/>
      <c r="AY486" s="106"/>
    </row>
    <row r="487" s="31" customFormat="1" spans="2:51">
      <c r="B487" s="65"/>
      <c r="C487" s="66"/>
      <c r="D487" s="66"/>
      <c r="E487" s="67"/>
      <c r="F487" s="66"/>
      <c r="G487" s="68"/>
      <c r="H487" s="66"/>
      <c r="I487" s="66"/>
      <c r="J487" s="66"/>
      <c r="K487" s="66"/>
      <c r="L487" s="84"/>
      <c r="M487" s="84"/>
      <c r="N487" s="41"/>
      <c r="O487" s="41"/>
      <c r="P487" s="84"/>
      <c r="Q487" s="84"/>
      <c r="R487" s="84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5"/>
      <c r="AW487" s="66"/>
      <c r="AX487" s="66"/>
      <c r="AY487" s="106"/>
    </row>
    <row r="488" s="31" customFormat="1" spans="2:51">
      <c r="B488" s="65"/>
      <c r="C488" s="66"/>
      <c r="D488" s="66"/>
      <c r="E488" s="67"/>
      <c r="F488" s="66"/>
      <c r="G488" s="68"/>
      <c r="H488" s="66"/>
      <c r="I488" s="66"/>
      <c r="J488" s="66"/>
      <c r="K488" s="66"/>
      <c r="L488" s="84"/>
      <c r="M488" s="84"/>
      <c r="N488" s="41"/>
      <c r="O488" s="41"/>
      <c r="P488" s="84"/>
      <c r="Q488" s="84"/>
      <c r="R488" s="84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5"/>
      <c r="AW488" s="66"/>
      <c r="AX488" s="66"/>
      <c r="AY488" s="106"/>
    </row>
    <row r="489" s="31" customFormat="1" spans="2:51">
      <c r="B489" s="65"/>
      <c r="C489" s="66"/>
      <c r="D489" s="66"/>
      <c r="E489" s="67"/>
      <c r="F489" s="66"/>
      <c r="G489" s="68"/>
      <c r="H489" s="66"/>
      <c r="I489" s="66"/>
      <c r="J489" s="66"/>
      <c r="K489" s="66"/>
      <c r="L489" s="84"/>
      <c r="M489" s="84"/>
      <c r="N489" s="41"/>
      <c r="O489" s="41"/>
      <c r="P489" s="84"/>
      <c r="Q489" s="84"/>
      <c r="R489" s="84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5"/>
      <c r="AW489" s="66"/>
      <c r="AX489" s="66"/>
      <c r="AY489" s="106"/>
    </row>
    <row r="490" s="31" customFormat="1" spans="2:51">
      <c r="B490" s="65"/>
      <c r="C490" s="66"/>
      <c r="D490" s="66"/>
      <c r="E490" s="67"/>
      <c r="F490" s="66"/>
      <c r="G490" s="68"/>
      <c r="H490" s="66"/>
      <c r="I490" s="66"/>
      <c r="J490" s="66"/>
      <c r="K490" s="66"/>
      <c r="L490" s="84"/>
      <c r="M490" s="84"/>
      <c r="N490" s="41"/>
      <c r="O490" s="41"/>
      <c r="P490" s="84"/>
      <c r="Q490" s="84"/>
      <c r="R490" s="84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5"/>
      <c r="AW490" s="66"/>
      <c r="AX490" s="66"/>
      <c r="AY490" s="106"/>
    </row>
    <row r="491" s="31" customFormat="1" spans="2:51">
      <c r="B491" s="65"/>
      <c r="C491" s="66"/>
      <c r="D491" s="66"/>
      <c r="E491" s="67"/>
      <c r="F491" s="66"/>
      <c r="G491" s="68"/>
      <c r="H491" s="66"/>
      <c r="I491" s="66"/>
      <c r="J491" s="66"/>
      <c r="K491" s="66"/>
      <c r="L491" s="84"/>
      <c r="M491" s="84"/>
      <c r="N491" s="41"/>
      <c r="O491" s="41"/>
      <c r="P491" s="84"/>
      <c r="Q491" s="84"/>
      <c r="R491" s="84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5"/>
      <c r="AW491" s="66"/>
      <c r="AX491" s="66"/>
      <c r="AY491" s="106"/>
    </row>
    <row r="492" s="31" customFormat="1" spans="2:51">
      <c r="B492" s="65"/>
      <c r="C492" s="66"/>
      <c r="D492" s="66"/>
      <c r="E492" s="67"/>
      <c r="F492" s="66"/>
      <c r="G492" s="68"/>
      <c r="H492" s="66"/>
      <c r="I492" s="66"/>
      <c r="J492" s="66"/>
      <c r="K492" s="66"/>
      <c r="L492" s="84"/>
      <c r="M492" s="84"/>
      <c r="N492" s="41"/>
      <c r="O492" s="41"/>
      <c r="P492" s="84"/>
      <c r="Q492" s="84"/>
      <c r="R492" s="84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5"/>
      <c r="AW492" s="66"/>
      <c r="AX492" s="66"/>
      <c r="AY492" s="106"/>
    </row>
    <row r="493" s="31" customFormat="1" spans="2:51">
      <c r="B493" s="65"/>
      <c r="C493" s="66"/>
      <c r="D493" s="66"/>
      <c r="E493" s="67"/>
      <c r="F493" s="66"/>
      <c r="G493" s="68"/>
      <c r="H493" s="66"/>
      <c r="I493" s="66"/>
      <c r="J493" s="66"/>
      <c r="K493" s="66"/>
      <c r="L493" s="84"/>
      <c r="M493" s="84"/>
      <c r="N493" s="41"/>
      <c r="O493" s="41"/>
      <c r="P493" s="84"/>
      <c r="Q493" s="84"/>
      <c r="R493" s="84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5"/>
      <c r="AW493" s="66"/>
      <c r="AX493" s="66"/>
      <c r="AY493" s="106"/>
    </row>
    <row r="494" s="31" customFormat="1" spans="2:51">
      <c r="B494" s="65"/>
      <c r="C494" s="66"/>
      <c r="D494" s="66"/>
      <c r="E494" s="67"/>
      <c r="F494" s="66"/>
      <c r="G494" s="68"/>
      <c r="H494" s="66"/>
      <c r="I494" s="66"/>
      <c r="J494" s="66"/>
      <c r="K494" s="66"/>
      <c r="L494" s="84"/>
      <c r="M494" s="84"/>
      <c r="N494" s="41"/>
      <c r="O494" s="41"/>
      <c r="P494" s="84"/>
      <c r="Q494" s="84"/>
      <c r="R494" s="84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5"/>
      <c r="AW494" s="66"/>
      <c r="AX494" s="66"/>
      <c r="AY494" s="106"/>
    </row>
    <row r="495" s="31" customFormat="1" spans="2:51">
      <c r="B495" s="65"/>
      <c r="C495" s="66"/>
      <c r="D495" s="66"/>
      <c r="E495" s="67"/>
      <c r="F495" s="66"/>
      <c r="G495" s="68"/>
      <c r="H495" s="66"/>
      <c r="I495" s="66"/>
      <c r="J495" s="66"/>
      <c r="K495" s="66"/>
      <c r="L495" s="84"/>
      <c r="M495" s="84"/>
      <c r="N495" s="41"/>
      <c r="O495" s="41"/>
      <c r="P495" s="84"/>
      <c r="Q495" s="84"/>
      <c r="R495" s="84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5"/>
      <c r="AW495" s="66"/>
      <c r="AX495" s="66"/>
      <c r="AY495" s="106"/>
    </row>
    <row r="496" s="31" customFormat="1" spans="2:51">
      <c r="B496" s="65"/>
      <c r="C496" s="66"/>
      <c r="D496" s="66"/>
      <c r="E496" s="67"/>
      <c r="F496" s="66"/>
      <c r="G496" s="68"/>
      <c r="H496" s="66"/>
      <c r="I496" s="66"/>
      <c r="J496" s="66"/>
      <c r="K496" s="66"/>
      <c r="L496" s="84"/>
      <c r="M496" s="84"/>
      <c r="N496" s="41"/>
      <c r="O496" s="41"/>
      <c r="P496" s="84"/>
      <c r="Q496" s="84"/>
      <c r="R496" s="84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5"/>
      <c r="AW496" s="66"/>
      <c r="AX496" s="66"/>
      <c r="AY496" s="106"/>
    </row>
    <row r="497" s="31" customFormat="1" spans="2:51">
      <c r="B497" s="65"/>
      <c r="C497" s="66"/>
      <c r="D497" s="66"/>
      <c r="E497" s="67"/>
      <c r="F497" s="66"/>
      <c r="G497" s="68"/>
      <c r="H497" s="66"/>
      <c r="I497" s="66"/>
      <c r="J497" s="66"/>
      <c r="K497" s="66"/>
      <c r="L497" s="84"/>
      <c r="M497" s="84"/>
      <c r="N497" s="41"/>
      <c r="O497" s="41"/>
      <c r="P497" s="84"/>
      <c r="Q497" s="84"/>
      <c r="R497" s="84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5"/>
      <c r="AW497" s="66"/>
      <c r="AX497" s="66"/>
      <c r="AY497" s="106"/>
    </row>
    <row r="498" s="31" customFormat="1" spans="2:51">
      <c r="B498" s="65"/>
      <c r="C498" s="66"/>
      <c r="D498" s="66"/>
      <c r="E498" s="67"/>
      <c r="F498" s="66"/>
      <c r="G498" s="68"/>
      <c r="H498" s="66"/>
      <c r="I498" s="66"/>
      <c r="J498" s="66"/>
      <c r="K498" s="66"/>
      <c r="L498" s="84"/>
      <c r="M498" s="84"/>
      <c r="N498" s="41"/>
      <c r="O498" s="41"/>
      <c r="P498" s="84"/>
      <c r="Q498" s="84"/>
      <c r="R498" s="84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5"/>
      <c r="AW498" s="66"/>
      <c r="AX498" s="66"/>
      <c r="AY498" s="106"/>
    </row>
    <row r="499" s="31" customFormat="1" spans="2:51">
      <c r="B499" s="65"/>
      <c r="C499" s="66"/>
      <c r="D499" s="66"/>
      <c r="E499" s="67"/>
      <c r="F499" s="66"/>
      <c r="G499" s="68"/>
      <c r="H499" s="66"/>
      <c r="I499" s="66"/>
      <c r="J499" s="66"/>
      <c r="K499" s="66"/>
      <c r="L499" s="84"/>
      <c r="M499" s="84"/>
      <c r="N499" s="41"/>
      <c r="O499" s="41"/>
      <c r="P499" s="84"/>
      <c r="Q499" s="84"/>
      <c r="R499" s="84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5"/>
      <c r="AW499" s="66"/>
      <c r="AX499" s="66"/>
      <c r="AY499" s="106"/>
    </row>
    <row r="500" s="31" customFormat="1" spans="2:51">
      <c r="B500" s="65"/>
      <c r="C500" s="66"/>
      <c r="D500" s="66"/>
      <c r="E500" s="67"/>
      <c r="F500" s="66"/>
      <c r="G500" s="68"/>
      <c r="H500" s="66"/>
      <c r="I500" s="66"/>
      <c r="J500" s="66"/>
      <c r="K500" s="66"/>
      <c r="L500" s="84"/>
      <c r="M500" s="84"/>
      <c r="N500" s="41"/>
      <c r="O500" s="41"/>
      <c r="P500" s="84"/>
      <c r="Q500" s="84"/>
      <c r="R500" s="84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5"/>
      <c r="AW500" s="66"/>
      <c r="AX500" s="66"/>
      <c r="AY500" s="106"/>
    </row>
    <row r="501" s="31" customFormat="1" spans="2:51">
      <c r="B501" s="65"/>
      <c r="C501" s="66"/>
      <c r="D501" s="66"/>
      <c r="E501" s="67"/>
      <c r="F501" s="66"/>
      <c r="G501" s="68"/>
      <c r="H501" s="66"/>
      <c r="I501" s="66"/>
      <c r="J501" s="66"/>
      <c r="K501" s="66"/>
      <c r="L501" s="84"/>
      <c r="M501" s="84"/>
      <c r="N501" s="41"/>
      <c r="O501" s="41"/>
      <c r="P501" s="84"/>
      <c r="Q501" s="84"/>
      <c r="R501" s="84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5"/>
      <c r="AW501" s="66"/>
      <c r="AX501" s="66"/>
      <c r="AY501" s="106"/>
    </row>
    <row r="502" s="31" customFormat="1" spans="2:51">
      <c r="B502" s="65"/>
      <c r="C502" s="66"/>
      <c r="D502" s="66"/>
      <c r="E502" s="67"/>
      <c r="F502" s="66"/>
      <c r="G502" s="68"/>
      <c r="H502" s="66"/>
      <c r="I502" s="66"/>
      <c r="J502" s="66"/>
      <c r="K502" s="66"/>
      <c r="L502" s="84"/>
      <c r="M502" s="84"/>
      <c r="N502" s="41"/>
      <c r="O502" s="41"/>
      <c r="P502" s="84"/>
      <c r="Q502" s="84"/>
      <c r="R502" s="84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5"/>
      <c r="AW502" s="66"/>
      <c r="AX502" s="66"/>
      <c r="AY502" s="106"/>
    </row>
    <row r="503" s="31" customFormat="1" spans="2:51">
      <c r="B503" s="65"/>
      <c r="C503" s="66"/>
      <c r="D503" s="66"/>
      <c r="E503" s="67"/>
      <c r="F503" s="66"/>
      <c r="G503" s="68"/>
      <c r="H503" s="66"/>
      <c r="I503" s="66"/>
      <c r="J503" s="66"/>
      <c r="K503" s="66"/>
      <c r="L503" s="84"/>
      <c r="M503" s="84"/>
      <c r="N503" s="41"/>
      <c r="O503" s="41"/>
      <c r="P503" s="84"/>
      <c r="Q503" s="84"/>
      <c r="R503" s="84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5"/>
      <c r="AW503" s="66"/>
      <c r="AX503" s="66"/>
      <c r="AY503" s="106"/>
    </row>
    <row r="504" s="31" customFormat="1" spans="2:51">
      <c r="B504" s="65"/>
      <c r="C504" s="66"/>
      <c r="D504" s="66"/>
      <c r="E504" s="67"/>
      <c r="F504" s="66"/>
      <c r="G504" s="68"/>
      <c r="H504" s="66"/>
      <c r="I504" s="66"/>
      <c r="J504" s="66"/>
      <c r="K504" s="66"/>
      <c r="L504" s="84"/>
      <c r="M504" s="84"/>
      <c r="N504" s="41"/>
      <c r="O504" s="41"/>
      <c r="P504" s="84"/>
      <c r="Q504" s="84"/>
      <c r="R504" s="84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5"/>
      <c r="AW504" s="66"/>
      <c r="AX504" s="66"/>
      <c r="AY504" s="106"/>
    </row>
    <row r="505" s="31" customFormat="1" spans="2:51">
      <c r="B505" s="65"/>
      <c r="C505" s="66"/>
      <c r="D505" s="66"/>
      <c r="E505" s="67"/>
      <c r="F505" s="66"/>
      <c r="G505" s="68"/>
      <c r="H505" s="66"/>
      <c r="I505" s="66"/>
      <c r="J505" s="66"/>
      <c r="K505" s="66"/>
      <c r="L505" s="84"/>
      <c r="M505" s="84"/>
      <c r="N505" s="41"/>
      <c r="O505" s="41"/>
      <c r="P505" s="84"/>
      <c r="Q505" s="84"/>
      <c r="R505" s="84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5"/>
      <c r="AW505" s="66"/>
      <c r="AX505" s="66"/>
      <c r="AY505" s="106"/>
    </row>
    <row r="506" s="31" customFormat="1" spans="2:51">
      <c r="B506" s="65"/>
      <c r="C506" s="66"/>
      <c r="D506" s="66"/>
      <c r="E506" s="67"/>
      <c r="F506" s="66"/>
      <c r="G506" s="68"/>
      <c r="H506" s="66"/>
      <c r="I506" s="66"/>
      <c r="J506" s="66"/>
      <c r="K506" s="66"/>
      <c r="L506" s="84"/>
      <c r="M506" s="84"/>
      <c r="N506" s="41"/>
      <c r="O506" s="41"/>
      <c r="P506" s="84"/>
      <c r="Q506" s="84"/>
      <c r="R506" s="84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5"/>
      <c r="AW506" s="66"/>
      <c r="AX506" s="66"/>
      <c r="AY506" s="106"/>
    </row>
    <row r="507" s="31" customFormat="1" spans="2:51">
      <c r="B507" s="65"/>
      <c r="C507" s="66"/>
      <c r="D507" s="66"/>
      <c r="E507" s="67"/>
      <c r="F507" s="66"/>
      <c r="G507" s="68"/>
      <c r="H507" s="66"/>
      <c r="I507" s="66"/>
      <c r="J507" s="66"/>
      <c r="K507" s="66"/>
      <c r="L507" s="84"/>
      <c r="M507" s="84"/>
      <c r="N507" s="41"/>
      <c r="O507" s="41"/>
      <c r="P507" s="84"/>
      <c r="Q507" s="84"/>
      <c r="R507" s="84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5"/>
      <c r="AW507" s="66"/>
      <c r="AX507" s="66"/>
      <c r="AY507" s="106"/>
    </row>
    <row r="508" s="31" customFormat="1" spans="2:51">
      <c r="B508" s="65"/>
      <c r="C508" s="66"/>
      <c r="D508" s="66"/>
      <c r="E508" s="67"/>
      <c r="F508" s="66"/>
      <c r="G508" s="68"/>
      <c r="H508" s="66"/>
      <c r="I508" s="66"/>
      <c r="J508" s="66"/>
      <c r="K508" s="66"/>
      <c r="L508" s="84"/>
      <c r="M508" s="84"/>
      <c r="N508" s="41"/>
      <c r="O508" s="41"/>
      <c r="P508" s="84"/>
      <c r="Q508" s="84"/>
      <c r="R508" s="84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5"/>
      <c r="AW508" s="66"/>
      <c r="AX508" s="66"/>
      <c r="AY508" s="106"/>
    </row>
    <row r="509" s="31" customFormat="1" spans="2:51">
      <c r="B509" s="65"/>
      <c r="C509" s="66"/>
      <c r="D509" s="66"/>
      <c r="E509" s="67"/>
      <c r="F509" s="66"/>
      <c r="G509" s="68"/>
      <c r="H509" s="66"/>
      <c r="I509" s="66"/>
      <c r="J509" s="66"/>
      <c r="K509" s="66"/>
      <c r="L509" s="84"/>
      <c r="M509" s="84"/>
      <c r="N509" s="41"/>
      <c r="O509" s="41"/>
      <c r="P509" s="84"/>
      <c r="Q509" s="84"/>
      <c r="R509" s="84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5"/>
      <c r="AW509" s="66"/>
      <c r="AX509" s="66"/>
      <c r="AY509" s="106"/>
    </row>
    <row r="510" s="31" customFormat="1" spans="2:51">
      <c r="B510" s="65"/>
      <c r="C510" s="66"/>
      <c r="D510" s="66"/>
      <c r="E510" s="67"/>
      <c r="F510" s="66"/>
      <c r="G510" s="68"/>
      <c r="H510" s="66"/>
      <c r="I510" s="66"/>
      <c r="J510" s="66"/>
      <c r="K510" s="66"/>
      <c r="L510" s="84"/>
      <c r="M510" s="84"/>
      <c r="N510" s="41"/>
      <c r="O510" s="41"/>
      <c r="P510" s="84"/>
      <c r="Q510" s="84"/>
      <c r="R510" s="84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5"/>
      <c r="AW510" s="66"/>
      <c r="AX510" s="66"/>
      <c r="AY510" s="106"/>
    </row>
    <row r="511" s="31" customFormat="1" spans="2:51">
      <c r="B511" s="65"/>
      <c r="C511" s="66"/>
      <c r="D511" s="66"/>
      <c r="E511" s="67"/>
      <c r="F511" s="66"/>
      <c r="G511" s="68"/>
      <c r="H511" s="66"/>
      <c r="I511" s="66"/>
      <c r="J511" s="66"/>
      <c r="K511" s="66"/>
      <c r="L511" s="84"/>
      <c r="M511" s="84"/>
      <c r="N511" s="41"/>
      <c r="O511" s="41"/>
      <c r="P511" s="84"/>
      <c r="Q511" s="84"/>
      <c r="R511" s="84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5"/>
      <c r="AW511" s="66"/>
      <c r="AX511" s="66"/>
      <c r="AY511" s="106"/>
    </row>
    <row r="512" s="31" customFormat="1" spans="2:51">
      <c r="B512" s="65"/>
      <c r="C512" s="66"/>
      <c r="D512" s="66"/>
      <c r="E512" s="67"/>
      <c r="F512" s="66"/>
      <c r="G512" s="68"/>
      <c r="H512" s="66"/>
      <c r="I512" s="66"/>
      <c r="J512" s="66"/>
      <c r="K512" s="66"/>
      <c r="L512" s="84"/>
      <c r="M512" s="84"/>
      <c r="N512" s="41"/>
      <c r="O512" s="41"/>
      <c r="P512" s="84"/>
      <c r="Q512" s="84"/>
      <c r="R512" s="84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5"/>
      <c r="AW512" s="66"/>
      <c r="AX512" s="66"/>
      <c r="AY512" s="106"/>
    </row>
    <row r="513" s="31" customFormat="1" spans="2:51">
      <c r="B513" s="65"/>
      <c r="C513" s="66"/>
      <c r="D513" s="66"/>
      <c r="E513" s="67"/>
      <c r="F513" s="66"/>
      <c r="G513" s="68"/>
      <c r="H513" s="66"/>
      <c r="I513" s="66"/>
      <c r="J513" s="66"/>
      <c r="K513" s="66"/>
      <c r="L513" s="84"/>
      <c r="M513" s="84"/>
      <c r="N513" s="41"/>
      <c r="O513" s="41"/>
      <c r="P513" s="84"/>
      <c r="Q513" s="84"/>
      <c r="R513" s="84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5"/>
      <c r="AW513" s="66"/>
      <c r="AX513" s="66"/>
      <c r="AY513" s="106"/>
    </row>
    <row r="514" s="31" customFormat="1" spans="2:51">
      <c r="B514" s="65"/>
      <c r="C514" s="66"/>
      <c r="D514" s="66"/>
      <c r="E514" s="67"/>
      <c r="F514" s="66"/>
      <c r="G514" s="68"/>
      <c r="H514" s="66"/>
      <c r="I514" s="66"/>
      <c r="J514" s="66"/>
      <c r="K514" s="66"/>
      <c r="L514" s="84"/>
      <c r="M514" s="84"/>
      <c r="N514" s="41"/>
      <c r="O514" s="41"/>
      <c r="P514" s="84"/>
      <c r="Q514" s="84"/>
      <c r="R514" s="84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5"/>
      <c r="AW514" s="66"/>
      <c r="AX514" s="66"/>
      <c r="AY514" s="106"/>
    </row>
    <row r="515" s="31" customFormat="1" spans="2:51">
      <c r="B515" s="65"/>
      <c r="C515" s="66"/>
      <c r="D515" s="66"/>
      <c r="E515" s="67"/>
      <c r="F515" s="66"/>
      <c r="G515" s="68"/>
      <c r="H515" s="66"/>
      <c r="I515" s="66"/>
      <c r="J515" s="66"/>
      <c r="K515" s="66"/>
      <c r="L515" s="84"/>
      <c r="M515" s="84"/>
      <c r="N515" s="41"/>
      <c r="O515" s="41"/>
      <c r="P515" s="84"/>
      <c r="Q515" s="84"/>
      <c r="R515" s="84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5"/>
      <c r="AW515" s="66"/>
      <c r="AX515" s="66"/>
      <c r="AY515" s="106"/>
    </row>
    <row r="516" s="31" customFormat="1" spans="2:51">
      <c r="B516" s="65"/>
      <c r="C516" s="66"/>
      <c r="D516" s="66"/>
      <c r="E516" s="67"/>
      <c r="F516" s="66"/>
      <c r="G516" s="68"/>
      <c r="H516" s="66"/>
      <c r="I516" s="66"/>
      <c r="J516" s="66"/>
      <c r="K516" s="66"/>
      <c r="L516" s="84"/>
      <c r="M516" s="84"/>
      <c r="N516" s="41"/>
      <c r="O516" s="41"/>
      <c r="P516" s="84"/>
      <c r="Q516" s="84"/>
      <c r="R516" s="84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5"/>
      <c r="AW516" s="66"/>
      <c r="AX516" s="66"/>
      <c r="AY516" s="106"/>
    </row>
    <row r="517" s="31" customFormat="1" spans="2:51">
      <c r="B517" s="65"/>
      <c r="C517" s="66"/>
      <c r="D517" s="66"/>
      <c r="E517" s="67"/>
      <c r="F517" s="66"/>
      <c r="G517" s="68"/>
      <c r="H517" s="66"/>
      <c r="I517" s="66"/>
      <c r="J517" s="66"/>
      <c r="K517" s="66"/>
      <c r="L517" s="84"/>
      <c r="M517" s="84"/>
      <c r="N517" s="41"/>
      <c r="O517" s="41"/>
      <c r="P517" s="84"/>
      <c r="Q517" s="84"/>
      <c r="R517" s="84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5"/>
      <c r="AW517" s="66"/>
      <c r="AX517" s="66"/>
      <c r="AY517" s="106"/>
    </row>
    <row r="518" s="31" customFormat="1" spans="2:51">
      <c r="B518" s="65"/>
      <c r="C518" s="66"/>
      <c r="D518" s="66"/>
      <c r="E518" s="67"/>
      <c r="F518" s="66"/>
      <c r="G518" s="68"/>
      <c r="H518" s="66"/>
      <c r="I518" s="66"/>
      <c r="J518" s="66"/>
      <c r="K518" s="66"/>
      <c r="L518" s="84"/>
      <c r="M518" s="84"/>
      <c r="N518" s="41"/>
      <c r="O518" s="41"/>
      <c r="P518" s="84"/>
      <c r="Q518" s="84"/>
      <c r="R518" s="84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5"/>
      <c r="AW518" s="66"/>
      <c r="AX518" s="66"/>
      <c r="AY518" s="106"/>
    </row>
    <row r="519" s="31" customFormat="1" spans="2:51">
      <c r="B519" s="65"/>
      <c r="C519" s="66"/>
      <c r="D519" s="66"/>
      <c r="E519" s="67"/>
      <c r="F519" s="66"/>
      <c r="G519" s="68"/>
      <c r="H519" s="66"/>
      <c r="I519" s="66"/>
      <c r="J519" s="66"/>
      <c r="K519" s="66"/>
      <c r="L519" s="84"/>
      <c r="M519" s="84"/>
      <c r="N519" s="41"/>
      <c r="O519" s="41"/>
      <c r="P519" s="84"/>
      <c r="Q519" s="84"/>
      <c r="R519" s="84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5"/>
      <c r="AW519" s="66"/>
      <c r="AX519" s="66"/>
      <c r="AY519" s="106"/>
    </row>
    <row r="520" s="31" customFormat="1" spans="2:51">
      <c r="B520" s="65"/>
      <c r="C520" s="66"/>
      <c r="D520" s="66"/>
      <c r="E520" s="67"/>
      <c r="F520" s="66"/>
      <c r="G520" s="68"/>
      <c r="H520" s="66"/>
      <c r="I520" s="66"/>
      <c r="J520" s="66"/>
      <c r="K520" s="66"/>
      <c r="L520" s="84"/>
      <c r="M520" s="84"/>
      <c r="N520" s="41"/>
      <c r="O520" s="41"/>
      <c r="P520" s="84"/>
      <c r="Q520" s="84"/>
      <c r="R520" s="84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5"/>
      <c r="AW520" s="66"/>
      <c r="AX520" s="66"/>
      <c r="AY520" s="106"/>
    </row>
    <row r="521" s="31" customFormat="1" spans="2:51">
      <c r="B521" s="65"/>
      <c r="C521" s="66"/>
      <c r="D521" s="66"/>
      <c r="E521" s="67"/>
      <c r="F521" s="66"/>
      <c r="G521" s="68"/>
      <c r="H521" s="66"/>
      <c r="I521" s="66"/>
      <c r="J521" s="66"/>
      <c r="K521" s="66"/>
      <c r="L521" s="84"/>
      <c r="M521" s="84"/>
      <c r="N521" s="41"/>
      <c r="O521" s="41"/>
      <c r="P521" s="84"/>
      <c r="Q521" s="84"/>
      <c r="R521" s="84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5"/>
      <c r="AW521" s="66"/>
      <c r="AX521" s="66"/>
      <c r="AY521" s="106"/>
    </row>
    <row r="522" s="31" customFormat="1" spans="2:51">
      <c r="B522" s="65"/>
      <c r="C522" s="66"/>
      <c r="D522" s="66"/>
      <c r="E522" s="67"/>
      <c r="F522" s="66"/>
      <c r="G522" s="68"/>
      <c r="H522" s="66"/>
      <c r="I522" s="66"/>
      <c r="J522" s="66"/>
      <c r="K522" s="66"/>
      <c r="L522" s="84"/>
      <c r="M522" s="84"/>
      <c r="N522" s="41"/>
      <c r="O522" s="41"/>
      <c r="P522" s="84"/>
      <c r="Q522" s="84"/>
      <c r="R522" s="84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5"/>
      <c r="AW522" s="66"/>
      <c r="AX522" s="66"/>
      <c r="AY522" s="106"/>
    </row>
    <row r="523" s="31" customFormat="1" spans="2:51">
      <c r="B523" s="65"/>
      <c r="C523" s="66"/>
      <c r="D523" s="66"/>
      <c r="E523" s="67"/>
      <c r="F523" s="66"/>
      <c r="G523" s="68"/>
      <c r="H523" s="66"/>
      <c r="I523" s="66"/>
      <c r="J523" s="66"/>
      <c r="K523" s="66"/>
      <c r="L523" s="84"/>
      <c r="M523" s="84"/>
      <c r="N523" s="41"/>
      <c r="O523" s="41"/>
      <c r="P523" s="84"/>
      <c r="Q523" s="84"/>
      <c r="R523" s="84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5"/>
      <c r="AW523" s="66"/>
      <c r="AX523" s="66"/>
      <c r="AY523" s="106"/>
    </row>
    <row r="524" s="31" customFormat="1" spans="2:51">
      <c r="B524" s="65"/>
      <c r="C524" s="66"/>
      <c r="D524" s="66"/>
      <c r="E524" s="67"/>
      <c r="F524" s="66"/>
      <c r="G524" s="68"/>
      <c r="H524" s="66"/>
      <c r="I524" s="66"/>
      <c r="J524" s="66"/>
      <c r="K524" s="66"/>
      <c r="L524" s="84"/>
      <c r="M524" s="84"/>
      <c r="N524" s="41"/>
      <c r="O524" s="41"/>
      <c r="P524" s="84"/>
      <c r="Q524" s="84"/>
      <c r="R524" s="84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5"/>
      <c r="AW524" s="66"/>
      <c r="AX524" s="66"/>
      <c r="AY524" s="106"/>
    </row>
    <row r="525" s="31" customFormat="1" spans="2:51">
      <c r="B525" s="65"/>
      <c r="C525" s="66"/>
      <c r="D525" s="66"/>
      <c r="E525" s="67"/>
      <c r="F525" s="66"/>
      <c r="G525" s="68"/>
      <c r="H525" s="66"/>
      <c r="I525" s="66"/>
      <c r="J525" s="66"/>
      <c r="K525" s="66"/>
      <c r="L525" s="84"/>
      <c r="M525" s="84"/>
      <c r="N525" s="41"/>
      <c r="O525" s="41"/>
      <c r="P525" s="84"/>
      <c r="Q525" s="84"/>
      <c r="R525" s="84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5"/>
      <c r="AW525" s="66"/>
      <c r="AX525" s="66"/>
      <c r="AY525" s="106"/>
    </row>
    <row r="526" s="31" customFormat="1" spans="2:51">
      <c r="B526" s="65"/>
      <c r="C526" s="66"/>
      <c r="D526" s="66"/>
      <c r="E526" s="67"/>
      <c r="F526" s="66"/>
      <c r="G526" s="68"/>
      <c r="H526" s="66"/>
      <c r="I526" s="66"/>
      <c r="J526" s="66"/>
      <c r="K526" s="66"/>
      <c r="L526" s="84"/>
      <c r="M526" s="84"/>
      <c r="N526" s="41"/>
      <c r="O526" s="41"/>
      <c r="P526" s="84"/>
      <c r="Q526" s="84"/>
      <c r="R526" s="84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5"/>
      <c r="AW526" s="66"/>
      <c r="AX526" s="66"/>
      <c r="AY526" s="106"/>
    </row>
    <row r="527" s="31" customFormat="1" spans="2:51">
      <c r="B527" s="65"/>
      <c r="C527" s="66"/>
      <c r="D527" s="66"/>
      <c r="E527" s="67"/>
      <c r="F527" s="66"/>
      <c r="G527" s="68"/>
      <c r="H527" s="66"/>
      <c r="I527" s="66"/>
      <c r="J527" s="66"/>
      <c r="K527" s="66"/>
      <c r="L527" s="84"/>
      <c r="M527" s="84"/>
      <c r="N527" s="41"/>
      <c r="O527" s="41"/>
      <c r="P527" s="84"/>
      <c r="Q527" s="84"/>
      <c r="R527" s="84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5"/>
      <c r="AW527" s="66"/>
      <c r="AX527" s="66"/>
      <c r="AY527" s="106"/>
    </row>
    <row r="528" s="31" customFormat="1" spans="2:51">
      <c r="B528" s="65"/>
      <c r="C528" s="66"/>
      <c r="D528" s="66"/>
      <c r="E528" s="67"/>
      <c r="F528" s="66"/>
      <c r="G528" s="68"/>
      <c r="H528" s="66"/>
      <c r="I528" s="66"/>
      <c r="J528" s="66"/>
      <c r="K528" s="66"/>
      <c r="L528" s="84"/>
      <c r="M528" s="84"/>
      <c r="N528" s="41"/>
      <c r="O528" s="41"/>
      <c r="P528" s="84"/>
      <c r="Q528" s="84"/>
      <c r="R528" s="84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5"/>
      <c r="AW528" s="66"/>
      <c r="AX528" s="66"/>
      <c r="AY528" s="106"/>
    </row>
    <row r="529" s="31" customFormat="1" spans="2:51">
      <c r="B529" s="65"/>
      <c r="C529" s="66"/>
      <c r="D529" s="66"/>
      <c r="E529" s="67"/>
      <c r="F529" s="66"/>
      <c r="G529" s="68"/>
      <c r="H529" s="66"/>
      <c r="I529" s="66"/>
      <c r="J529" s="66"/>
      <c r="K529" s="66"/>
      <c r="L529" s="84"/>
      <c r="M529" s="84"/>
      <c r="N529" s="41"/>
      <c r="O529" s="41"/>
      <c r="P529" s="84"/>
      <c r="Q529" s="84"/>
      <c r="R529" s="84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5"/>
      <c r="AW529" s="66"/>
      <c r="AX529" s="66"/>
      <c r="AY529" s="106"/>
    </row>
    <row r="530" s="31" customFormat="1" spans="2:51">
      <c r="B530" s="65"/>
      <c r="C530" s="66"/>
      <c r="D530" s="66"/>
      <c r="E530" s="67"/>
      <c r="F530" s="66"/>
      <c r="G530" s="68"/>
      <c r="H530" s="66"/>
      <c r="I530" s="66"/>
      <c r="J530" s="66"/>
      <c r="K530" s="66"/>
      <c r="L530" s="84"/>
      <c r="M530" s="84"/>
      <c r="N530" s="41"/>
      <c r="O530" s="41"/>
      <c r="P530" s="84"/>
      <c r="Q530" s="84"/>
      <c r="R530" s="84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5"/>
      <c r="AW530" s="66"/>
      <c r="AX530" s="66"/>
      <c r="AY530" s="106"/>
    </row>
    <row r="531" s="31" customFormat="1" spans="2:51">
      <c r="B531" s="65"/>
      <c r="C531" s="66"/>
      <c r="D531" s="66"/>
      <c r="E531" s="67"/>
      <c r="F531" s="66"/>
      <c r="G531" s="68"/>
      <c r="H531" s="66"/>
      <c r="I531" s="66"/>
      <c r="J531" s="66"/>
      <c r="K531" s="66"/>
      <c r="L531" s="84"/>
      <c r="M531" s="84"/>
      <c r="N531" s="41"/>
      <c r="O531" s="41"/>
      <c r="P531" s="84"/>
      <c r="Q531" s="84"/>
      <c r="R531" s="84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5"/>
      <c r="AW531" s="66"/>
      <c r="AX531" s="66"/>
      <c r="AY531" s="106"/>
    </row>
    <row r="532" s="31" customFormat="1" spans="2:51">
      <c r="B532" s="65"/>
      <c r="C532" s="66"/>
      <c r="D532" s="66"/>
      <c r="E532" s="67"/>
      <c r="F532" s="66"/>
      <c r="G532" s="68"/>
      <c r="H532" s="66"/>
      <c r="I532" s="66"/>
      <c r="J532" s="66"/>
      <c r="K532" s="66"/>
      <c r="L532" s="84"/>
      <c r="M532" s="84"/>
      <c r="N532" s="41"/>
      <c r="O532" s="41"/>
      <c r="P532" s="84"/>
      <c r="Q532" s="84"/>
      <c r="R532" s="84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5"/>
      <c r="AW532" s="66"/>
      <c r="AX532" s="66"/>
      <c r="AY532" s="106"/>
    </row>
    <row r="533" s="31" customFormat="1" spans="2:51">
      <c r="B533" s="65"/>
      <c r="C533" s="66"/>
      <c r="D533" s="66"/>
      <c r="E533" s="67"/>
      <c r="F533" s="66"/>
      <c r="G533" s="68"/>
      <c r="H533" s="66"/>
      <c r="I533" s="66"/>
      <c r="J533" s="66"/>
      <c r="K533" s="66"/>
      <c r="L533" s="84"/>
      <c r="M533" s="84"/>
      <c r="N533" s="41"/>
      <c r="O533" s="41"/>
      <c r="P533" s="84"/>
      <c r="Q533" s="84"/>
      <c r="R533" s="84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5"/>
      <c r="AW533" s="66"/>
      <c r="AX533" s="66"/>
      <c r="AY533" s="106"/>
    </row>
    <row r="534" s="31" customFormat="1" spans="2:51">
      <c r="B534" s="65"/>
      <c r="C534" s="66"/>
      <c r="D534" s="66"/>
      <c r="E534" s="67"/>
      <c r="F534" s="66"/>
      <c r="G534" s="68"/>
      <c r="H534" s="66"/>
      <c r="I534" s="66"/>
      <c r="J534" s="66"/>
      <c r="K534" s="66"/>
      <c r="L534" s="84"/>
      <c r="M534" s="84"/>
      <c r="N534" s="41"/>
      <c r="O534" s="41"/>
      <c r="P534" s="84"/>
      <c r="Q534" s="84"/>
      <c r="R534" s="84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5"/>
      <c r="AW534" s="66"/>
      <c r="AX534" s="66"/>
      <c r="AY534" s="106"/>
    </row>
    <row r="535" s="31" customFormat="1" spans="2:51">
      <c r="B535" s="65"/>
      <c r="C535" s="66"/>
      <c r="D535" s="66"/>
      <c r="E535" s="67"/>
      <c r="F535" s="66"/>
      <c r="G535" s="68"/>
      <c r="H535" s="66"/>
      <c r="I535" s="66"/>
      <c r="J535" s="66"/>
      <c r="K535" s="66"/>
      <c r="L535" s="84"/>
      <c r="M535" s="84"/>
      <c r="N535" s="41"/>
      <c r="O535" s="41"/>
      <c r="P535" s="84"/>
      <c r="Q535" s="84"/>
      <c r="R535" s="84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5"/>
      <c r="AW535" s="66"/>
      <c r="AX535" s="66"/>
      <c r="AY535" s="106"/>
    </row>
    <row r="536" s="31" customFormat="1" spans="2:51">
      <c r="B536" s="65"/>
      <c r="C536" s="66"/>
      <c r="D536" s="66"/>
      <c r="E536" s="67"/>
      <c r="F536" s="66"/>
      <c r="G536" s="68"/>
      <c r="H536" s="66"/>
      <c r="I536" s="66"/>
      <c r="J536" s="66"/>
      <c r="K536" s="66"/>
      <c r="L536" s="84"/>
      <c r="M536" s="84"/>
      <c r="N536" s="41"/>
      <c r="O536" s="41"/>
      <c r="P536" s="84"/>
      <c r="Q536" s="84"/>
      <c r="R536" s="84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5"/>
      <c r="AW536" s="66"/>
      <c r="AX536" s="66"/>
      <c r="AY536" s="106"/>
    </row>
    <row r="537" s="31" customFormat="1" spans="2:51">
      <c r="B537" s="65"/>
      <c r="C537" s="66"/>
      <c r="D537" s="66"/>
      <c r="E537" s="67"/>
      <c r="F537" s="66"/>
      <c r="G537" s="68"/>
      <c r="H537" s="66"/>
      <c r="I537" s="66"/>
      <c r="J537" s="66"/>
      <c r="K537" s="66"/>
      <c r="L537" s="84"/>
      <c r="M537" s="84"/>
      <c r="N537" s="41"/>
      <c r="O537" s="41"/>
      <c r="P537" s="84"/>
      <c r="Q537" s="84"/>
      <c r="R537" s="84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5"/>
      <c r="AW537" s="66"/>
      <c r="AX537" s="66"/>
      <c r="AY537" s="106"/>
    </row>
    <row r="538" s="31" customFormat="1" spans="2:51">
      <c r="B538" s="65"/>
      <c r="C538" s="66"/>
      <c r="D538" s="66"/>
      <c r="E538" s="67"/>
      <c r="F538" s="66"/>
      <c r="G538" s="68"/>
      <c r="H538" s="66"/>
      <c r="I538" s="66"/>
      <c r="J538" s="66"/>
      <c r="K538" s="66"/>
      <c r="L538" s="84"/>
      <c r="M538" s="84"/>
      <c r="N538" s="41"/>
      <c r="O538" s="41"/>
      <c r="P538" s="84"/>
      <c r="Q538" s="84"/>
      <c r="R538" s="84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5"/>
      <c r="AW538" s="66"/>
      <c r="AX538" s="66"/>
      <c r="AY538" s="106"/>
    </row>
    <row r="539" s="31" customFormat="1" spans="2:51">
      <c r="B539" s="65"/>
      <c r="C539" s="66"/>
      <c r="D539" s="66"/>
      <c r="E539" s="67"/>
      <c r="F539" s="66"/>
      <c r="G539" s="68"/>
      <c r="H539" s="66"/>
      <c r="I539" s="66"/>
      <c r="J539" s="66"/>
      <c r="K539" s="66"/>
      <c r="L539" s="84"/>
      <c r="M539" s="84"/>
      <c r="N539" s="41"/>
      <c r="O539" s="41"/>
      <c r="P539" s="84"/>
      <c r="Q539" s="84"/>
      <c r="R539" s="84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5"/>
      <c r="AW539" s="66"/>
      <c r="AX539" s="66"/>
      <c r="AY539" s="106"/>
    </row>
    <row r="540" s="31" customFormat="1" spans="2:51">
      <c r="B540" s="65"/>
      <c r="C540" s="66"/>
      <c r="D540" s="66"/>
      <c r="E540" s="67"/>
      <c r="F540" s="66"/>
      <c r="G540" s="68"/>
      <c r="H540" s="66"/>
      <c r="I540" s="66"/>
      <c r="J540" s="66"/>
      <c r="K540" s="66"/>
      <c r="L540" s="84"/>
      <c r="M540" s="84"/>
      <c r="N540" s="41"/>
      <c r="O540" s="41"/>
      <c r="P540" s="84"/>
      <c r="Q540" s="84"/>
      <c r="R540" s="84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5"/>
      <c r="AW540" s="66"/>
      <c r="AX540" s="66"/>
      <c r="AY540" s="106"/>
    </row>
    <row r="541" s="31" customFormat="1" spans="2:51">
      <c r="B541" s="65"/>
      <c r="C541" s="66"/>
      <c r="D541" s="66"/>
      <c r="E541" s="67"/>
      <c r="F541" s="66"/>
      <c r="G541" s="68"/>
      <c r="H541" s="66"/>
      <c r="I541" s="66"/>
      <c r="J541" s="66"/>
      <c r="K541" s="66"/>
      <c r="L541" s="84"/>
      <c r="M541" s="84"/>
      <c r="N541" s="41"/>
      <c r="O541" s="41"/>
      <c r="P541" s="84"/>
      <c r="Q541" s="84"/>
      <c r="R541" s="84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5"/>
      <c r="AW541" s="66"/>
      <c r="AX541" s="66"/>
      <c r="AY541" s="106"/>
    </row>
    <row r="542" s="31" customFormat="1" spans="2:51">
      <c r="B542" s="65"/>
      <c r="C542" s="66"/>
      <c r="D542" s="66"/>
      <c r="E542" s="67"/>
      <c r="F542" s="66"/>
      <c r="G542" s="68"/>
      <c r="H542" s="66"/>
      <c r="I542" s="66"/>
      <c r="J542" s="66"/>
      <c r="K542" s="66"/>
      <c r="L542" s="84"/>
      <c r="M542" s="84"/>
      <c r="N542" s="41"/>
      <c r="O542" s="41"/>
      <c r="P542" s="84"/>
      <c r="Q542" s="84"/>
      <c r="R542" s="84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5"/>
      <c r="AW542" s="66"/>
      <c r="AX542" s="66"/>
      <c r="AY542" s="106"/>
    </row>
    <row r="543" s="31" customFormat="1" spans="2:51">
      <c r="B543" s="65"/>
      <c r="C543" s="66"/>
      <c r="D543" s="66"/>
      <c r="E543" s="67"/>
      <c r="F543" s="66"/>
      <c r="G543" s="68"/>
      <c r="H543" s="66"/>
      <c r="I543" s="66"/>
      <c r="J543" s="66"/>
      <c r="K543" s="66"/>
      <c r="L543" s="84"/>
      <c r="M543" s="84"/>
      <c r="N543" s="41"/>
      <c r="O543" s="41"/>
      <c r="P543" s="84"/>
      <c r="Q543" s="84"/>
      <c r="R543" s="84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5"/>
      <c r="AW543" s="66"/>
      <c r="AX543" s="66"/>
      <c r="AY543" s="106"/>
    </row>
    <row r="544" s="31" customFormat="1" spans="2:51">
      <c r="B544" s="65"/>
      <c r="C544" s="66"/>
      <c r="D544" s="66"/>
      <c r="E544" s="67"/>
      <c r="F544" s="66"/>
      <c r="G544" s="68"/>
      <c r="H544" s="66"/>
      <c r="I544" s="66"/>
      <c r="J544" s="66"/>
      <c r="K544" s="66"/>
      <c r="L544" s="84"/>
      <c r="M544" s="84"/>
      <c r="N544" s="41"/>
      <c r="O544" s="41"/>
      <c r="P544" s="84"/>
      <c r="Q544" s="84"/>
      <c r="R544" s="84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5"/>
      <c r="AW544" s="66"/>
      <c r="AX544" s="66"/>
      <c r="AY544" s="106"/>
    </row>
    <row r="545" s="31" customFormat="1" spans="2:51">
      <c r="B545" s="65"/>
      <c r="C545" s="66"/>
      <c r="D545" s="66"/>
      <c r="E545" s="67"/>
      <c r="F545" s="66"/>
      <c r="G545" s="68"/>
      <c r="H545" s="66"/>
      <c r="I545" s="66"/>
      <c r="J545" s="66"/>
      <c r="K545" s="66"/>
      <c r="L545" s="84"/>
      <c r="M545" s="84"/>
      <c r="N545" s="41"/>
      <c r="O545" s="41"/>
      <c r="P545" s="84"/>
      <c r="Q545" s="84"/>
      <c r="R545" s="84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5"/>
      <c r="AW545" s="66"/>
      <c r="AX545" s="66"/>
      <c r="AY545" s="106"/>
    </row>
    <row r="546" s="31" customFormat="1" spans="2:51">
      <c r="B546" s="65"/>
      <c r="C546" s="66"/>
      <c r="D546" s="66"/>
      <c r="E546" s="67"/>
      <c r="F546" s="66"/>
      <c r="G546" s="68"/>
      <c r="H546" s="66"/>
      <c r="I546" s="66"/>
      <c r="J546" s="66"/>
      <c r="K546" s="66"/>
      <c r="L546" s="84"/>
      <c r="M546" s="84"/>
      <c r="N546" s="41"/>
      <c r="O546" s="41"/>
      <c r="P546" s="84"/>
      <c r="Q546" s="84"/>
      <c r="R546" s="84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5"/>
      <c r="AW546" s="66"/>
      <c r="AX546" s="66"/>
      <c r="AY546" s="106"/>
    </row>
    <row r="547" s="31" customFormat="1" spans="2:51">
      <c r="B547" s="65"/>
      <c r="C547" s="66"/>
      <c r="D547" s="66"/>
      <c r="E547" s="67"/>
      <c r="F547" s="66"/>
      <c r="G547" s="68"/>
      <c r="H547" s="66"/>
      <c r="I547" s="66"/>
      <c r="J547" s="66"/>
      <c r="K547" s="66"/>
      <c r="L547" s="84"/>
      <c r="M547" s="84"/>
      <c r="N547" s="41"/>
      <c r="O547" s="41"/>
      <c r="P547" s="84"/>
      <c r="Q547" s="84"/>
      <c r="R547" s="84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5"/>
      <c r="AW547" s="66"/>
      <c r="AX547" s="66"/>
      <c r="AY547" s="106"/>
    </row>
    <row r="548" s="31" customFormat="1" spans="2:51">
      <c r="B548" s="65"/>
      <c r="C548" s="66"/>
      <c r="D548" s="66"/>
      <c r="E548" s="67"/>
      <c r="F548" s="66"/>
      <c r="G548" s="68"/>
      <c r="H548" s="66"/>
      <c r="I548" s="66"/>
      <c r="J548" s="66"/>
      <c r="K548" s="66"/>
      <c r="L548" s="84"/>
      <c r="M548" s="84"/>
      <c r="N548" s="41"/>
      <c r="O548" s="41"/>
      <c r="P548" s="84"/>
      <c r="Q548" s="84"/>
      <c r="R548" s="84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5"/>
      <c r="AW548" s="66"/>
      <c r="AX548" s="66"/>
      <c r="AY548" s="106"/>
    </row>
    <row r="549" s="31" customFormat="1" spans="2:51">
      <c r="B549" s="65"/>
      <c r="C549" s="66"/>
      <c r="D549" s="66"/>
      <c r="E549" s="67"/>
      <c r="F549" s="66"/>
      <c r="G549" s="68"/>
      <c r="H549" s="66"/>
      <c r="I549" s="66"/>
      <c r="J549" s="66"/>
      <c r="K549" s="66"/>
      <c r="L549" s="84"/>
      <c r="M549" s="84"/>
      <c r="N549" s="41"/>
      <c r="O549" s="41"/>
      <c r="P549" s="84"/>
      <c r="Q549" s="84"/>
      <c r="R549" s="84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5"/>
      <c r="AW549" s="66"/>
      <c r="AX549" s="66"/>
      <c r="AY549" s="106"/>
    </row>
    <row r="550" s="31" customFormat="1" spans="2:51">
      <c r="B550" s="65"/>
      <c r="C550" s="66"/>
      <c r="D550" s="66"/>
      <c r="E550" s="67"/>
      <c r="F550" s="66"/>
      <c r="G550" s="68"/>
      <c r="H550" s="66"/>
      <c r="I550" s="66"/>
      <c r="J550" s="66"/>
      <c r="K550" s="66"/>
      <c r="L550" s="84"/>
      <c r="M550" s="84"/>
      <c r="N550" s="41"/>
      <c r="O550" s="41"/>
      <c r="P550" s="84"/>
      <c r="Q550" s="84"/>
      <c r="R550" s="84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5"/>
      <c r="AW550" s="66"/>
      <c r="AX550" s="66"/>
      <c r="AY550" s="106"/>
    </row>
    <row r="551" s="31" customFormat="1" spans="2:51">
      <c r="B551" s="65"/>
      <c r="C551" s="66"/>
      <c r="D551" s="66"/>
      <c r="E551" s="67"/>
      <c r="F551" s="66"/>
      <c r="G551" s="68"/>
      <c r="H551" s="66"/>
      <c r="I551" s="66"/>
      <c r="J551" s="66"/>
      <c r="K551" s="66"/>
      <c r="L551" s="84"/>
      <c r="M551" s="84"/>
      <c r="N551" s="41"/>
      <c r="O551" s="41"/>
      <c r="P551" s="84"/>
      <c r="Q551" s="84"/>
      <c r="R551" s="84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5"/>
      <c r="AW551" s="66"/>
      <c r="AX551" s="66"/>
      <c r="AY551" s="106"/>
    </row>
    <row r="552" s="31" customFormat="1" spans="2:51">
      <c r="B552" s="65"/>
      <c r="C552" s="66"/>
      <c r="D552" s="66"/>
      <c r="E552" s="67"/>
      <c r="F552" s="66"/>
      <c r="G552" s="68"/>
      <c r="H552" s="66"/>
      <c r="I552" s="66"/>
      <c r="J552" s="66"/>
      <c r="K552" s="66"/>
      <c r="L552" s="84"/>
      <c r="M552" s="84"/>
      <c r="N552" s="41"/>
      <c r="O552" s="41"/>
      <c r="P552" s="84"/>
      <c r="Q552" s="84"/>
      <c r="R552" s="84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5"/>
      <c r="AW552" s="66"/>
      <c r="AX552" s="66"/>
      <c r="AY552" s="106"/>
    </row>
    <row r="553" s="31" customFormat="1" spans="2:51">
      <c r="B553" s="65"/>
      <c r="C553" s="66"/>
      <c r="D553" s="66"/>
      <c r="E553" s="67"/>
      <c r="F553" s="66"/>
      <c r="G553" s="68"/>
      <c r="H553" s="66"/>
      <c r="I553" s="66"/>
      <c r="J553" s="66"/>
      <c r="K553" s="66"/>
      <c r="L553" s="84"/>
      <c r="M553" s="84"/>
      <c r="N553" s="41"/>
      <c r="O553" s="41"/>
      <c r="P553" s="84"/>
      <c r="Q553" s="84"/>
      <c r="R553" s="84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5"/>
      <c r="AW553" s="66"/>
      <c r="AX553" s="66"/>
      <c r="AY553" s="106"/>
    </row>
    <row r="554" s="31" customFormat="1" spans="2:51">
      <c r="B554" s="65"/>
      <c r="C554" s="66"/>
      <c r="D554" s="66"/>
      <c r="E554" s="67"/>
      <c r="F554" s="66"/>
      <c r="G554" s="68"/>
      <c r="H554" s="66"/>
      <c r="I554" s="66"/>
      <c r="J554" s="66"/>
      <c r="K554" s="66"/>
      <c r="L554" s="84"/>
      <c r="M554" s="84"/>
      <c r="N554" s="41"/>
      <c r="O554" s="41"/>
      <c r="P554" s="84"/>
      <c r="Q554" s="84"/>
      <c r="R554" s="84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5"/>
      <c r="AW554" s="66"/>
      <c r="AX554" s="66"/>
      <c r="AY554" s="106"/>
    </row>
    <row r="555" s="31" customFormat="1" spans="2:51">
      <c r="B555" s="65"/>
      <c r="C555" s="66"/>
      <c r="D555" s="66"/>
      <c r="E555" s="67"/>
      <c r="F555" s="66"/>
      <c r="G555" s="68"/>
      <c r="H555" s="66"/>
      <c r="I555" s="66"/>
      <c r="J555" s="66"/>
      <c r="K555" s="66"/>
      <c r="L555" s="84"/>
      <c r="M555" s="84"/>
      <c r="N555" s="41"/>
      <c r="O555" s="41"/>
      <c r="P555" s="84"/>
      <c r="Q555" s="84"/>
      <c r="R555" s="84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5"/>
      <c r="AW555" s="66"/>
      <c r="AX555" s="66"/>
      <c r="AY555" s="106"/>
    </row>
    <row r="556" s="31" customFormat="1" spans="2:51">
      <c r="B556" s="65"/>
      <c r="C556" s="66"/>
      <c r="D556" s="66"/>
      <c r="E556" s="67"/>
      <c r="F556" s="66"/>
      <c r="G556" s="68"/>
      <c r="H556" s="66"/>
      <c r="I556" s="66"/>
      <c r="J556" s="66"/>
      <c r="K556" s="66"/>
      <c r="L556" s="84"/>
      <c r="M556" s="84"/>
      <c r="N556" s="41"/>
      <c r="O556" s="41"/>
      <c r="P556" s="84"/>
      <c r="Q556" s="84"/>
      <c r="R556" s="84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5"/>
      <c r="AW556" s="66"/>
      <c r="AX556" s="66"/>
      <c r="AY556" s="106"/>
    </row>
    <row r="557" s="31" customFormat="1" spans="2:51">
      <c r="B557" s="65"/>
      <c r="C557" s="66"/>
      <c r="D557" s="66"/>
      <c r="E557" s="67"/>
      <c r="F557" s="66"/>
      <c r="G557" s="68"/>
      <c r="H557" s="66"/>
      <c r="I557" s="66"/>
      <c r="J557" s="66"/>
      <c r="K557" s="66"/>
      <c r="L557" s="84"/>
      <c r="M557" s="84"/>
      <c r="N557" s="41"/>
      <c r="O557" s="41"/>
      <c r="P557" s="84"/>
      <c r="Q557" s="84"/>
      <c r="R557" s="84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5"/>
      <c r="AW557" s="66"/>
      <c r="AX557" s="66"/>
      <c r="AY557" s="106"/>
    </row>
    <row r="558" s="31" customFormat="1" spans="2:51">
      <c r="B558" s="65"/>
      <c r="C558" s="66"/>
      <c r="D558" s="66"/>
      <c r="E558" s="67"/>
      <c r="F558" s="66"/>
      <c r="G558" s="68"/>
      <c r="H558" s="66"/>
      <c r="I558" s="66"/>
      <c r="J558" s="66"/>
      <c r="K558" s="66"/>
      <c r="L558" s="84"/>
      <c r="M558" s="84"/>
      <c r="N558" s="41"/>
      <c r="O558" s="41"/>
      <c r="P558" s="84"/>
      <c r="Q558" s="84"/>
      <c r="R558" s="84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5"/>
      <c r="AW558" s="66"/>
      <c r="AX558" s="66"/>
      <c r="AY558" s="106"/>
    </row>
    <row r="559" s="31" customFormat="1" spans="2:51">
      <c r="B559" s="65"/>
      <c r="C559" s="66"/>
      <c r="D559" s="66"/>
      <c r="E559" s="67"/>
      <c r="F559" s="66"/>
      <c r="G559" s="68"/>
      <c r="H559" s="66"/>
      <c r="I559" s="66"/>
      <c r="J559" s="66"/>
      <c r="K559" s="66"/>
      <c r="L559" s="84"/>
      <c r="M559" s="84"/>
      <c r="N559" s="41"/>
      <c r="O559" s="41"/>
      <c r="P559" s="84"/>
      <c r="Q559" s="84"/>
      <c r="R559" s="84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5"/>
      <c r="AW559" s="66"/>
      <c r="AX559" s="66"/>
      <c r="AY559" s="106"/>
    </row>
    <row r="560" s="31" customFormat="1" spans="2:51">
      <c r="B560" s="65"/>
      <c r="C560" s="66"/>
      <c r="D560" s="66"/>
      <c r="E560" s="67"/>
      <c r="F560" s="66"/>
      <c r="G560" s="68"/>
      <c r="H560" s="66"/>
      <c r="I560" s="66"/>
      <c r="J560" s="66"/>
      <c r="K560" s="66"/>
      <c r="L560" s="84"/>
      <c r="M560" s="84"/>
      <c r="N560" s="41"/>
      <c r="O560" s="41"/>
      <c r="P560" s="84"/>
      <c r="Q560" s="84"/>
      <c r="R560" s="84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5"/>
      <c r="AW560" s="66"/>
      <c r="AX560" s="66"/>
      <c r="AY560" s="106"/>
    </row>
    <row r="561" s="31" customFormat="1" spans="2:51">
      <c r="B561" s="65"/>
      <c r="C561" s="66"/>
      <c r="D561" s="66"/>
      <c r="E561" s="67"/>
      <c r="F561" s="66"/>
      <c r="G561" s="68"/>
      <c r="H561" s="66"/>
      <c r="I561" s="66"/>
      <c r="J561" s="66"/>
      <c r="K561" s="66"/>
      <c r="L561" s="84"/>
      <c r="M561" s="84"/>
      <c r="N561" s="41"/>
      <c r="O561" s="41"/>
      <c r="P561" s="84"/>
      <c r="Q561" s="84"/>
      <c r="R561" s="84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5"/>
      <c r="AW561" s="66"/>
      <c r="AX561" s="66"/>
      <c r="AY561" s="106"/>
    </row>
    <row r="562" s="31" customFormat="1" spans="2:51">
      <c r="B562" s="65"/>
      <c r="C562" s="66"/>
      <c r="D562" s="66"/>
      <c r="E562" s="67"/>
      <c r="F562" s="66"/>
      <c r="G562" s="68"/>
      <c r="H562" s="66"/>
      <c r="I562" s="66"/>
      <c r="J562" s="66"/>
      <c r="K562" s="66"/>
      <c r="L562" s="84"/>
      <c r="M562" s="84"/>
      <c r="N562" s="41"/>
      <c r="O562" s="41"/>
      <c r="P562" s="84"/>
      <c r="Q562" s="84"/>
      <c r="R562" s="84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5"/>
      <c r="AW562" s="66"/>
      <c r="AX562" s="66"/>
      <c r="AY562" s="106"/>
    </row>
    <row r="563" s="31" customFormat="1" spans="2:51">
      <c r="B563" s="65"/>
      <c r="C563" s="66"/>
      <c r="D563" s="66"/>
      <c r="E563" s="67"/>
      <c r="F563" s="66"/>
      <c r="G563" s="68"/>
      <c r="H563" s="66"/>
      <c r="I563" s="66"/>
      <c r="J563" s="66"/>
      <c r="K563" s="66"/>
      <c r="L563" s="84"/>
      <c r="M563" s="84"/>
      <c r="N563" s="41"/>
      <c r="O563" s="41"/>
      <c r="P563" s="84"/>
      <c r="Q563" s="84"/>
      <c r="R563" s="84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5"/>
      <c r="AW563" s="66"/>
      <c r="AX563" s="66"/>
      <c r="AY563" s="106"/>
    </row>
    <row r="564" s="31" customFormat="1" spans="2:51">
      <c r="B564" s="65"/>
      <c r="C564" s="66"/>
      <c r="D564" s="66"/>
      <c r="E564" s="67"/>
      <c r="F564" s="66"/>
      <c r="G564" s="68"/>
      <c r="H564" s="66"/>
      <c r="I564" s="66"/>
      <c r="J564" s="66"/>
      <c r="K564" s="66"/>
      <c r="L564" s="84"/>
      <c r="M564" s="84"/>
      <c r="N564" s="41"/>
      <c r="O564" s="41"/>
      <c r="P564" s="84"/>
      <c r="Q564" s="84"/>
      <c r="R564" s="84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5"/>
      <c r="AW564" s="66"/>
      <c r="AX564" s="66"/>
      <c r="AY564" s="106"/>
    </row>
    <row r="565" s="31" customFormat="1" spans="2:51">
      <c r="B565" s="65"/>
      <c r="C565" s="66"/>
      <c r="D565" s="66"/>
      <c r="E565" s="67"/>
      <c r="F565" s="66"/>
      <c r="G565" s="68"/>
      <c r="H565" s="66"/>
      <c r="I565" s="66"/>
      <c r="J565" s="66"/>
      <c r="K565" s="66"/>
      <c r="L565" s="84"/>
      <c r="M565" s="84"/>
      <c r="N565" s="41"/>
      <c r="O565" s="41"/>
      <c r="P565" s="84"/>
      <c r="Q565" s="84"/>
      <c r="R565" s="84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5"/>
      <c r="AW565" s="66"/>
      <c r="AX565" s="66"/>
      <c r="AY565" s="106"/>
    </row>
    <row r="566" s="31" customFormat="1" spans="2:51">
      <c r="B566" s="65"/>
      <c r="C566" s="66"/>
      <c r="D566" s="66"/>
      <c r="E566" s="67"/>
      <c r="F566" s="66"/>
      <c r="G566" s="68"/>
      <c r="H566" s="66"/>
      <c r="I566" s="66"/>
      <c r="J566" s="66"/>
      <c r="K566" s="66"/>
      <c r="L566" s="84"/>
      <c r="M566" s="84"/>
      <c r="N566" s="41"/>
      <c r="O566" s="41"/>
      <c r="P566" s="84"/>
      <c r="Q566" s="84"/>
      <c r="R566" s="84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5"/>
      <c r="AW566" s="66"/>
      <c r="AX566" s="66"/>
      <c r="AY566" s="106"/>
    </row>
    <row r="567" s="31" customFormat="1" spans="2:51">
      <c r="B567" s="65"/>
      <c r="C567" s="66"/>
      <c r="D567" s="66"/>
      <c r="E567" s="67"/>
      <c r="F567" s="66"/>
      <c r="G567" s="68"/>
      <c r="H567" s="66"/>
      <c r="I567" s="66"/>
      <c r="J567" s="66"/>
      <c r="K567" s="66"/>
      <c r="L567" s="84"/>
      <c r="M567" s="84"/>
      <c r="N567" s="41"/>
      <c r="O567" s="41"/>
      <c r="P567" s="84"/>
      <c r="Q567" s="84"/>
      <c r="R567" s="84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5"/>
      <c r="AW567" s="66"/>
      <c r="AX567" s="66"/>
      <c r="AY567" s="106"/>
    </row>
    <row r="568" s="31" customFormat="1" spans="2:51">
      <c r="B568" s="65"/>
      <c r="C568" s="66"/>
      <c r="D568" s="66"/>
      <c r="E568" s="67"/>
      <c r="F568" s="66"/>
      <c r="G568" s="68"/>
      <c r="H568" s="66"/>
      <c r="I568" s="66"/>
      <c r="J568" s="66"/>
      <c r="K568" s="66"/>
      <c r="L568" s="84"/>
      <c r="M568" s="84"/>
      <c r="N568" s="41"/>
      <c r="O568" s="41"/>
      <c r="P568" s="84"/>
      <c r="Q568" s="84"/>
      <c r="R568" s="84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5"/>
      <c r="AW568" s="66"/>
      <c r="AX568" s="66"/>
      <c r="AY568" s="106"/>
    </row>
    <row r="569" s="31" customFormat="1" spans="2:51">
      <c r="B569" s="65"/>
      <c r="C569" s="66"/>
      <c r="D569" s="66"/>
      <c r="E569" s="67"/>
      <c r="F569" s="66"/>
      <c r="G569" s="68"/>
      <c r="H569" s="66"/>
      <c r="I569" s="66"/>
      <c r="J569" s="66"/>
      <c r="K569" s="66"/>
      <c r="L569" s="84"/>
      <c r="M569" s="84"/>
      <c r="N569" s="41"/>
      <c r="O569" s="41"/>
      <c r="P569" s="84"/>
      <c r="Q569" s="84"/>
      <c r="R569" s="84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5"/>
      <c r="AW569" s="66"/>
      <c r="AX569" s="66"/>
      <c r="AY569" s="106"/>
    </row>
    <row r="570" s="31" customFormat="1" spans="2:51">
      <c r="B570" s="65"/>
      <c r="C570" s="66"/>
      <c r="D570" s="66"/>
      <c r="E570" s="67"/>
      <c r="F570" s="66"/>
      <c r="G570" s="68"/>
      <c r="H570" s="66"/>
      <c r="I570" s="66"/>
      <c r="J570" s="66"/>
      <c r="K570" s="66"/>
      <c r="L570" s="84"/>
      <c r="M570" s="84"/>
      <c r="N570" s="41"/>
      <c r="O570" s="41"/>
      <c r="P570" s="84"/>
      <c r="Q570" s="84"/>
      <c r="R570" s="84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5"/>
      <c r="AW570" s="66"/>
      <c r="AX570" s="66"/>
      <c r="AY570" s="106"/>
    </row>
    <row r="571" s="31" customFormat="1" spans="2:51">
      <c r="B571" s="65"/>
      <c r="C571" s="66"/>
      <c r="D571" s="66"/>
      <c r="E571" s="67"/>
      <c r="F571" s="66"/>
      <c r="G571" s="68"/>
      <c r="H571" s="66"/>
      <c r="I571" s="66"/>
      <c r="J571" s="66"/>
      <c r="K571" s="66"/>
      <c r="L571" s="84"/>
      <c r="M571" s="84"/>
      <c r="N571" s="41"/>
      <c r="O571" s="41"/>
      <c r="P571" s="84"/>
      <c r="Q571" s="84"/>
      <c r="R571" s="84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5"/>
      <c r="AW571" s="66"/>
      <c r="AX571" s="66"/>
      <c r="AY571" s="106"/>
    </row>
    <row r="572" s="31" customFormat="1" spans="2:51">
      <c r="B572" s="65"/>
      <c r="C572" s="66"/>
      <c r="D572" s="66"/>
      <c r="E572" s="67"/>
      <c r="F572" s="66"/>
      <c r="G572" s="68"/>
      <c r="H572" s="66"/>
      <c r="I572" s="66"/>
      <c r="J572" s="66"/>
      <c r="K572" s="66"/>
      <c r="L572" s="84"/>
      <c r="M572" s="84"/>
      <c r="N572" s="41"/>
      <c r="O572" s="41"/>
      <c r="P572" s="84"/>
      <c r="Q572" s="84"/>
      <c r="R572" s="84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5"/>
      <c r="AW572" s="66"/>
      <c r="AX572" s="66"/>
      <c r="AY572" s="106"/>
    </row>
    <row r="573" s="31" customFormat="1" spans="2:51">
      <c r="B573" s="65"/>
      <c r="C573" s="66"/>
      <c r="D573" s="66"/>
      <c r="E573" s="67"/>
      <c r="F573" s="66"/>
      <c r="G573" s="68"/>
      <c r="H573" s="66"/>
      <c r="I573" s="66"/>
      <c r="J573" s="66"/>
      <c r="K573" s="66"/>
      <c r="L573" s="84"/>
      <c r="M573" s="84"/>
      <c r="N573" s="41"/>
      <c r="O573" s="41"/>
      <c r="P573" s="84"/>
      <c r="Q573" s="84"/>
      <c r="R573" s="84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5"/>
      <c r="AW573" s="66"/>
      <c r="AX573" s="66"/>
      <c r="AY573" s="106"/>
    </row>
    <row r="574" s="31" customFormat="1" spans="2:51">
      <c r="B574" s="65"/>
      <c r="C574" s="66"/>
      <c r="D574" s="66"/>
      <c r="E574" s="67"/>
      <c r="F574" s="66"/>
      <c r="G574" s="68"/>
      <c r="H574" s="66"/>
      <c r="I574" s="66"/>
      <c r="J574" s="66"/>
      <c r="K574" s="66"/>
      <c r="L574" s="84"/>
      <c r="M574" s="84"/>
      <c r="N574" s="41"/>
      <c r="O574" s="41"/>
      <c r="P574" s="84"/>
      <c r="Q574" s="84"/>
      <c r="R574" s="84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5"/>
      <c r="AW574" s="66"/>
      <c r="AX574" s="66"/>
      <c r="AY574" s="106"/>
    </row>
    <row r="575" s="31" customFormat="1" spans="2:51">
      <c r="B575" s="65"/>
      <c r="C575" s="66"/>
      <c r="D575" s="66"/>
      <c r="E575" s="67"/>
      <c r="F575" s="66"/>
      <c r="G575" s="68"/>
      <c r="H575" s="66"/>
      <c r="I575" s="66"/>
      <c r="J575" s="66"/>
      <c r="K575" s="66"/>
      <c r="L575" s="84"/>
      <c r="M575" s="84"/>
      <c r="N575" s="41"/>
      <c r="O575" s="41"/>
      <c r="P575" s="84"/>
      <c r="Q575" s="84"/>
      <c r="R575" s="84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5"/>
      <c r="AW575" s="66"/>
      <c r="AX575" s="66"/>
      <c r="AY575" s="106"/>
    </row>
    <row r="576" s="31" customFormat="1" spans="2:51">
      <c r="B576" s="65"/>
      <c r="C576" s="66"/>
      <c r="D576" s="66"/>
      <c r="E576" s="67"/>
      <c r="F576" s="66"/>
      <c r="G576" s="68"/>
      <c r="H576" s="66"/>
      <c r="I576" s="66"/>
      <c r="J576" s="66"/>
      <c r="K576" s="66"/>
      <c r="L576" s="84"/>
      <c r="M576" s="84"/>
      <c r="N576" s="41"/>
      <c r="O576" s="41"/>
      <c r="P576" s="84"/>
      <c r="Q576" s="84"/>
      <c r="R576" s="84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5"/>
      <c r="AW576" s="66"/>
      <c r="AX576" s="66"/>
      <c r="AY576" s="106"/>
    </row>
    <row r="577" s="31" customFormat="1" spans="2:51">
      <c r="B577" s="65"/>
      <c r="C577" s="66"/>
      <c r="D577" s="66"/>
      <c r="E577" s="67"/>
      <c r="F577" s="66"/>
      <c r="G577" s="68"/>
      <c r="H577" s="66"/>
      <c r="I577" s="66"/>
      <c r="J577" s="66"/>
      <c r="K577" s="66"/>
      <c r="L577" s="84"/>
      <c r="M577" s="84"/>
      <c r="N577" s="41"/>
      <c r="O577" s="41"/>
      <c r="P577" s="84"/>
      <c r="Q577" s="84"/>
      <c r="R577" s="84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5"/>
      <c r="AW577" s="66"/>
      <c r="AX577" s="66"/>
      <c r="AY577" s="106"/>
    </row>
    <row r="578" s="31" customFormat="1" spans="2:51">
      <c r="B578" s="65"/>
      <c r="C578" s="66"/>
      <c r="D578" s="66"/>
      <c r="E578" s="67"/>
      <c r="F578" s="66"/>
      <c r="G578" s="68"/>
      <c r="H578" s="66"/>
      <c r="I578" s="66"/>
      <c r="J578" s="66"/>
      <c r="K578" s="66"/>
      <c r="L578" s="84"/>
      <c r="M578" s="84"/>
      <c r="N578" s="41"/>
      <c r="O578" s="41"/>
      <c r="P578" s="84"/>
      <c r="Q578" s="84"/>
      <c r="R578" s="84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5"/>
      <c r="AW578" s="66"/>
      <c r="AX578" s="66"/>
      <c r="AY578" s="106"/>
    </row>
    <row r="579" s="31" customFormat="1" spans="2:51">
      <c r="B579" s="65"/>
      <c r="C579" s="66"/>
      <c r="D579" s="66"/>
      <c r="E579" s="67"/>
      <c r="F579" s="66"/>
      <c r="G579" s="68"/>
      <c r="H579" s="66"/>
      <c r="I579" s="66"/>
      <c r="J579" s="66"/>
      <c r="K579" s="66"/>
      <c r="L579" s="84"/>
      <c r="M579" s="84"/>
      <c r="N579" s="41"/>
      <c r="O579" s="41"/>
      <c r="P579" s="84"/>
      <c r="Q579" s="84"/>
      <c r="R579" s="84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5"/>
      <c r="AW579" s="66"/>
      <c r="AX579" s="66"/>
      <c r="AY579" s="106"/>
    </row>
    <row r="580" s="31" customFormat="1" spans="2:51">
      <c r="B580" s="65"/>
      <c r="C580" s="66"/>
      <c r="D580" s="66"/>
      <c r="E580" s="67"/>
      <c r="F580" s="66"/>
      <c r="G580" s="68"/>
      <c r="H580" s="66"/>
      <c r="I580" s="66"/>
      <c r="J580" s="66"/>
      <c r="K580" s="66"/>
      <c r="L580" s="84"/>
      <c r="M580" s="84"/>
      <c r="N580" s="41"/>
      <c r="O580" s="41"/>
      <c r="P580" s="84"/>
      <c r="Q580" s="84"/>
      <c r="R580" s="84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5"/>
      <c r="AW580" s="66"/>
      <c r="AX580" s="66"/>
      <c r="AY580" s="106"/>
    </row>
    <row r="581" s="31" customFormat="1" spans="2:51">
      <c r="B581" s="65"/>
      <c r="C581" s="66"/>
      <c r="D581" s="66"/>
      <c r="E581" s="67"/>
      <c r="F581" s="66"/>
      <c r="G581" s="68"/>
      <c r="H581" s="66"/>
      <c r="I581" s="66"/>
      <c r="J581" s="66"/>
      <c r="K581" s="66"/>
      <c r="L581" s="84"/>
      <c r="M581" s="84"/>
      <c r="N581" s="41"/>
      <c r="O581" s="41"/>
      <c r="P581" s="84"/>
      <c r="Q581" s="84"/>
      <c r="R581" s="84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5"/>
      <c r="AW581" s="66"/>
      <c r="AX581" s="66"/>
      <c r="AY581" s="106"/>
    </row>
    <row r="582" s="31" customFormat="1" spans="2:51">
      <c r="B582" s="65"/>
      <c r="C582" s="66"/>
      <c r="D582" s="66"/>
      <c r="E582" s="67"/>
      <c r="F582" s="66"/>
      <c r="G582" s="68"/>
      <c r="H582" s="66"/>
      <c r="I582" s="66"/>
      <c r="J582" s="66"/>
      <c r="K582" s="66"/>
      <c r="L582" s="84"/>
      <c r="M582" s="84"/>
      <c r="N582" s="41"/>
      <c r="O582" s="41"/>
      <c r="P582" s="84"/>
      <c r="Q582" s="84"/>
      <c r="R582" s="84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5"/>
      <c r="AW582" s="66"/>
      <c r="AX582" s="66"/>
      <c r="AY582" s="106"/>
    </row>
    <row r="583" s="31" customFormat="1" spans="2:51">
      <c r="B583" s="65"/>
      <c r="C583" s="66"/>
      <c r="D583" s="66"/>
      <c r="E583" s="67"/>
      <c r="F583" s="66"/>
      <c r="G583" s="68"/>
      <c r="H583" s="66"/>
      <c r="I583" s="66"/>
      <c r="J583" s="66"/>
      <c r="K583" s="66"/>
      <c r="L583" s="84"/>
      <c r="M583" s="84"/>
      <c r="N583" s="41"/>
      <c r="O583" s="41"/>
      <c r="P583" s="84"/>
      <c r="Q583" s="84"/>
      <c r="R583" s="84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5"/>
      <c r="AW583" s="66"/>
      <c r="AX583" s="66"/>
      <c r="AY583" s="106"/>
    </row>
    <row r="584" s="31" customFormat="1" spans="2:51">
      <c r="B584" s="65"/>
      <c r="C584" s="66"/>
      <c r="D584" s="66"/>
      <c r="E584" s="67"/>
      <c r="F584" s="66"/>
      <c r="G584" s="68"/>
      <c r="H584" s="66"/>
      <c r="I584" s="66"/>
      <c r="J584" s="66"/>
      <c r="K584" s="66"/>
      <c r="L584" s="84"/>
      <c r="M584" s="84"/>
      <c r="N584" s="41"/>
      <c r="O584" s="41"/>
      <c r="P584" s="84"/>
      <c r="Q584" s="84"/>
      <c r="R584" s="84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5"/>
      <c r="AW584" s="66"/>
      <c r="AX584" s="66"/>
      <c r="AY584" s="106"/>
    </row>
    <row r="585" s="31" customFormat="1" spans="2:51">
      <c r="B585" s="65"/>
      <c r="C585" s="66"/>
      <c r="D585" s="66"/>
      <c r="E585" s="67"/>
      <c r="F585" s="66"/>
      <c r="G585" s="68"/>
      <c r="H585" s="66"/>
      <c r="I585" s="66"/>
      <c r="J585" s="66"/>
      <c r="K585" s="66"/>
      <c r="L585" s="84"/>
      <c r="M585" s="84"/>
      <c r="N585" s="41"/>
      <c r="O585" s="41"/>
      <c r="P585" s="84"/>
      <c r="Q585" s="84"/>
      <c r="R585" s="84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5"/>
      <c r="AW585" s="66"/>
      <c r="AX585" s="66"/>
      <c r="AY585" s="106"/>
    </row>
    <row r="586" s="31" customFormat="1" spans="2:51">
      <c r="B586" s="65"/>
      <c r="C586" s="66"/>
      <c r="D586" s="66"/>
      <c r="E586" s="67"/>
      <c r="F586" s="66"/>
      <c r="G586" s="68"/>
      <c r="H586" s="66"/>
      <c r="I586" s="66"/>
      <c r="J586" s="66"/>
      <c r="K586" s="66"/>
      <c r="L586" s="84"/>
      <c r="M586" s="84"/>
      <c r="N586" s="41"/>
      <c r="O586" s="41"/>
      <c r="P586" s="84"/>
      <c r="Q586" s="84"/>
      <c r="R586" s="84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5"/>
      <c r="AW586" s="66"/>
      <c r="AX586" s="66"/>
      <c r="AY586" s="106"/>
    </row>
    <row r="587" s="31" customFormat="1" spans="2:51">
      <c r="B587" s="65"/>
      <c r="C587" s="66"/>
      <c r="D587" s="66"/>
      <c r="E587" s="67"/>
      <c r="F587" s="66"/>
      <c r="G587" s="68"/>
      <c r="H587" s="66"/>
      <c r="I587" s="66"/>
      <c r="J587" s="66"/>
      <c r="K587" s="66"/>
      <c r="L587" s="84"/>
      <c r="M587" s="84"/>
      <c r="N587" s="41"/>
      <c r="O587" s="41"/>
      <c r="P587" s="84"/>
      <c r="Q587" s="84"/>
      <c r="R587" s="84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5"/>
      <c r="AW587" s="66"/>
      <c r="AX587" s="66"/>
      <c r="AY587" s="106"/>
    </row>
    <row r="588" s="31" customFormat="1" spans="2:51">
      <c r="B588" s="65"/>
      <c r="C588" s="66"/>
      <c r="D588" s="66"/>
      <c r="E588" s="67"/>
      <c r="F588" s="66"/>
      <c r="G588" s="68"/>
      <c r="H588" s="66"/>
      <c r="I588" s="66"/>
      <c r="J588" s="66"/>
      <c r="K588" s="66"/>
      <c r="L588" s="84"/>
      <c r="M588" s="84"/>
      <c r="N588" s="41"/>
      <c r="O588" s="41"/>
      <c r="P588" s="84"/>
      <c r="Q588" s="84"/>
      <c r="R588" s="84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5"/>
      <c r="AW588" s="66"/>
      <c r="AX588" s="66"/>
      <c r="AY588" s="106"/>
    </row>
    <row r="589" s="31" customFormat="1" spans="2:51">
      <c r="B589" s="65"/>
      <c r="C589" s="66"/>
      <c r="D589" s="66"/>
      <c r="E589" s="67"/>
      <c r="F589" s="66"/>
      <c r="G589" s="68"/>
      <c r="H589" s="66"/>
      <c r="I589" s="66"/>
      <c r="J589" s="66"/>
      <c r="K589" s="66"/>
      <c r="L589" s="84"/>
      <c r="M589" s="84"/>
      <c r="N589" s="41"/>
      <c r="O589" s="41"/>
      <c r="P589" s="84"/>
      <c r="Q589" s="84"/>
      <c r="R589" s="84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5"/>
      <c r="AW589" s="66"/>
      <c r="AX589" s="66"/>
      <c r="AY589" s="106"/>
    </row>
    <row r="590" s="31" customFormat="1" spans="2:51">
      <c r="B590" s="65"/>
      <c r="C590" s="66"/>
      <c r="D590" s="66"/>
      <c r="E590" s="67"/>
      <c r="F590" s="66"/>
      <c r="G590" s="68"/>
      <c r="H590" s="66"/>
      <c r="I590" s="66"/>
      <c r="J590" s="66"/>
      <c r="K590" s="66"/>
      <c r="L590" s="84"/>
      <c r="M590" s="84"/>
      <c r="N590" s="41"/>
      <c r="O590" s="41"/>
      <c r="P590" s="84"/>
      <c r="Q590" s="84"/>
      <c r="R590" s="84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5"/>
      <c r="AW590" s="66"/>
      <c r="AX590" s="66"/>
      <c r="AY590" s="106"/>
    </row>
    <row r="591" s="31" customFormat="1" spans="2:51">
      <c r="B591" s="65"/>
      <c r="C591" s="66"/>
      <c r="D591" s="66"/>
      <c r="E591" s="67"/>
      <c r="F591" s="66"/>
      <c r="G591" s="68"/>
      <c r="H591" s="66"/>
      <c r="I591" s="66"/>
      <c r="J591" s="66"/>
      <c r="K591" s="66"/>
      <c r="L591" s="84"/>
      <c r="M591" s="84"/>
      <c r="N591" s="41"/>
      <c r="O591" s="41"/>
      <c r="P591" s="84"/>
      <c r="Q591" s="84"/>
      <c r="R591" s="84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5"/>
      <c r="AW591" s="66"/>
      <c r="AX591" s="66"/>
      <c r="AY591" s="106"/>
    </row>
    <row r="592" s="31" customFormat="1" spans="2:51">
      <c r="B592" s="65"/>
      <c r="C592" s="66"/>
      <c r="D592" s="66"/>
      <c r="E592" s="67"/>
      <c r="F592" s="66"/>
      <c r="G592" s="68"/>
      <c r="H592" s="66"/>
      <c r="I592" s="66"/>
      <c r="J592" s="66"/>
      <c r="K592" s="66"/>
      <c r="L592" s="84"/>
      <c r="M592" s="84"/>
      <c r="N592" s="41"/>
      <c r="O592" s="41"/>
      <c r="P592" s="84"/>
      <c r="Q592" s="84"/>
      <c r="R592" s="84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5"/>
      <c r="AW592" s="66"/>
      <c r="AX592" s="66"/>
      <c r="AY592" s="106"/>
    </row>
    <row r="593" s="31" customFormat="1" spans="2:51">
      <c r="B593" s="65"/>
      <c r="C593" s="66"/>
      <c r="D593" s="66"/>
      <c r="E593" s="67"/>
      <c r="F593" s="66"/>
      <c r="G593" s="68"/>
      <c r="H593" s="66"/>
      <c r="I593" s="66"/>
      <c r="J593" s="66"/>
      <c r="K593" s="66"/>
      <c r="L593" s="84"/>
      <c r="M593" s="84"/>
      <c r="N593" s="41"/>
      <c r="O593" s="41"/>
      <c r="P593" s="84"/>
      <c r="Q593" s="84"/>
      <c r="R593" s="84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5"/>
      <c r="AW593" s="66"/>
      <c r="AX593" s="66"/>
      <c r="AY593" s="106"/>
    </row>
    <row r="594" s="31" customFormat="1" spans="2:51">
      <c r="B594" s="65"/>
      <c r="C594" s="66"/>
      <c r="D594" s="66"/>
      <c r="E594" s="67"/>
      <c r="F594" s="66"/>
      <c r="G594" s="68"/>
      <c r="H594" s="66"/>
      <c r="I594" s="66"/>
      <c r="J594" s="66"/>
      <c r="K594" s="66"/>
      <c r="L594" s="84"/>
      <c r="M594" s="84"/>
      <c r="N594" s="41"/>
      <c r="O594" s="41"/>
      <c r="P594" s="84"/>
      <c r="Q594" s="84"/>
      <c r="R594" s="84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5"/>
      <c r="AW594" s="66"/>
      <c r="AX594" s="66"/>
      <c r="AY594" s="106"/>
    </row>
    <row r="595" s="31" customFormat="1" spans="2:51">
      <c r="B595" s="65"/>
      <c r="C595" s="66"/>
      <c r="D595" s="66"/>
      <c r="E595" s="67"/>
      <c r="F595" s="66"/>
      <c r="G595" s="68"/>
      <c r="H595" s="66"/>
      <c r="I595" s="66"/>
      <c r="J595" s="66"/>
      <c r="K595" s="66"/>
      <c r="L595" s="84"/>
      <c r="M595" s="84"/>
      <c r="N595" s="41"/>
      <c r="O595" s="41"/>
      <c r="P595" s="84"/>
      <c r="Q595" s="84"/>
      <c r="R595" s="84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5"/>
      <c r="AW595" s="66"/>
      <c r="AX595" s="66"/>
      <c r="AY595" s="106"/>
    </row>
    <row r="596" s="31" customFormat="1" spans="2:51">
      <c r="B596" s="65"/>
      <c r="C596" s="66"/>
      <c r="D596" s="66"/>
      <c r="E596" s="67"/>
      <c r="F596" s="66"/>
      <c r="G596" s="68"/>
      <c r="H596" s="66"/>
      <c r="I596" s="66"/>
      <c r="J596" s="66"/>
      <c r="K596" s="66"/>
      <c r="L596" s="84"/>
      <c r="M596" s="84"/>
      <c r="N596" s="41"/>
      <c r="O596" s="41"/>
      <c r="P596" s="84"/>
      <c r="Q596" s="84"/>
      <c r="R596" s="84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5"/>
      <c r="AW596" s="66"/>
      <c r="AX596" s="66"/>
      <c r="AY596" s="106"/>
    </row>
    <row r="597" s="31" customFormat="1" spans="2:51">
      <c r="B597" s="65"/>
      <c r="C597" s="66"/>
      <c r="D597" s="66"/>
      <c r="E597" s="67"/>
      <c r="F597" s="66"/>
      <c r="G597" s="68"/>
      <c r="H597" s="66"/>
      <c r="I597" s="66"/>
      <c r="J597" s="66"/>
      <c r="K597" s="66"/>
      <c r="L597" s="84"/>
      <c r="M597" s="84"/>
      <c r="N597" s="41"/>
      <c r="O597" s="41"/>
      <c r="P597" s="84"/>
      <c r="Q597" s="84"/>
      <c r="R597" s="84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5"/>
      <c r="AW597" s="66"/>
      <c r="AX597" s="66"/>
      <c r="AY597" s="106"/>
    </row>
    <row r="598" s="31" customFormat="1" spans="2:51">
      <c r="B598" s="65"/>
      <c r="C598" s="66"/>
      <c r="D598" s="66"/>
      <c r="E598" s="67"/>
      <c r="F598" s="66"/>
      <c r="G598" s="68"/>
      <c r="H598" s="66"/>
      <c r="I598" s="66"/>
      <c r="J598" s="66"/>
      <c r="K598" s="66"/>
      <c r="L598" s="84"/>
      <c r="M598" s="84"/>
      <c r="N598" s="41"/>
      <c r="O598" s="41"/>
      <c r="P598" s="84"/>
      <c r="Q598" s="84"/>
      <c r="R598" s="84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5"/>
      <c r="AW598" s="66"/>
      <c r="AX598" s="66"/>
      <c r="AY598" s="106"/>
    </row>
    <row r="599" s="31" customFormat="1" spans="2:51">
      <c r="B599" s="65"/>
      <c r="C599" s="66"/>
      <c r="D599" s="66"/>
      <c r="E599" s="67"/>
      <c r="F599" s="66"/>
      <c r="G599" s="68"/>
      <c r="H599" s="66"/>
      <c r="I599" s="66"/>
      <c r="J599" s="66"/>
      <c r="K599" s="66"/>
      <c r="L599" s="84"/>
      <c r="M599" s="84"/>
      <c r="N599" s="41"/>
      <c r="O599" s="41"/>
      <c r="P599" s="84"/>
      <c r="Q599" s="84"/>
      <c r="R599" s="84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5"/>
      <c r="AW599" s="66"/>
      <c r="AX599" s="66"/>
      <c r="AY599" s="106"/>
    </row>
    <row r="600" s="31" customFormat="1" spans="2:51">
      <c r="B600" s="65"/>
      <c r="C600" s="66"/>
      <c r="D600" s="66"/>
      <c r="E600" s="67"/>
      <c r="F600" s="66"/>
      <c r="G600" s="68"/>
      <c r="H600" s="66"/>
      <c r="I600" s="66"/>
      <c r="J600" s="66"/>
      <c r="K600" s="66"/>
      <c r="L600" s="84"/>
      <c r="M600" s="84"/>
      <c r="N600" s="41"/>
      <c r="O600" s="41"/>
      <c r="P600" s="84"/>
      <c r="Q600" s="84"/>
      <c r="R600" s="84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5"/>
      <c r="AW600" s="66"/>
      <c r="AX600" s="66"/>
      <c r="AY600" s="106"/>
    </row>
    <row r="601" s="31" customFormat="1" spans="2:51">
      <c r="B601" s="65"/>
      <c r="C601" s="66"/>
      <c r="D601" s="66"/>
      <c r="E601" s="67"/>
      <c r="F601" s="66"/>
      <c r="G601" s="68"/>
      <c r="H601" s="66"/>
      <c r="I601" s="66"/>
      <c r="J601" s="66"/>
      <c r="K601" s="66"/>
      <c r="L601" s="84"/>
      <c r="M601" s="84"/>
      <c r="N601" s="41"/>
      <c r="O601" s="41"/>
      <c r="P601" s="84"/>
      <c r="Q601" s="84"/>
      <c r="R601" s="84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5"/>
      <c r="AW601" s="66"/>
      <c r="AX601" s="66"/>
      <c r="AY601" s="106"/>
    </row>
    <row r="602" s="31" customFormat="1" spans="2:51">
      <c r="B602" s="65"/>
      <c r="C602" s="66"/>
      <c r="D602" s="66"/>
      <c r="E602" s="67"/>
      <c r="F602" s="66"/>
      <c r="G602" s="68"/>
      <c r="H602" s="66"/>
      <c r="I602" s="66"/>
      <c r="J602" s="66"/>
      <c r="K602" s="66"/>
      <c r="L602" s="84"/>
      <c r="M602" s="84"/>
      <c r="N602" s="41"/>
      <c r="O602" s="41"/>
      <c r="P602" s="84"/>
      <c r="Q602" s="84"/>
      <c r="R602" s="84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5"/>
      <c r="AW602" s="66"/>
      <c r="AX602" s="66"/>
      <c r="AY602" s="106"/>
    </row>
    <row r="603" s="31" customFormat="1" spans="2:51">
      <c r="B603" s="65"/>
      <c r="C603" s="66"/>
      <c r="D603" s="66"/>
      <c r="E603" s="67"/>
      <c r="F603" s="66"/>
      <c r="G603" s="68"/>
      <c r="H603" s="66"/>
      <c r="I603" s="66"/>
      <c r="J603" s="66"/>
      <c r="K603" s="66"/>
      <c r="L603" s="84"/>
      <c r="M603" s="84"/>
      <c r="N603" s="41"/>
      <c r="O603" s="41"/>
      <c r="P603" s="84"/>
      <c r="Q603" s="84"/>
      <c r="R603" s="84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5"/>
      <c r="AW603" s="66"/>
      <c r="AX603" s="66"/>
      <c r="AY603" s="106"/>
    </row>
    <row r="604" s="31" customFormat="1" spans="2:51">
      <c r="B604" s="65"/>
      <c r="C604" s="66"/>
      <c r="D604" s="66"/>
      <c r="E604" s="67"/>
      <c r="F604" s="66"/>
      <c r="G604" s="68"/>
      <c r="H604" s="66"/>
      <c r="I604" s="66"/>
      <c r="J604" s="66"/>
      <c r="K604" s="66"/>
      <c r="L604" s="84"/>
      <c r="M604" s="84"/>
      <c r="N604" s="41"/>
      <c r="O604" s="41"/>
      <c r="P604" s="84"/>
      <c r="Q604" s="84"/>
      <c r="R604" s="84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5"/>
      <c r="AW604" s="66"/>
      <c r="AX604" s="66"/>
      <c r="AY604" s="106"/>
    </row>
    <row r="605" s="31" customFormat="1" spans="2:51">
      <c r="B605" s="65"/>
      <c r="C605" s="66"/>
      <c r="D605" s="66"/>
      <c r="E605" s="67"/>
      <c r="F605" s="66"/>
      <c r="G605" s="68"/>
      <c r="H605" s="66"/>
      <c r="I605" s="66"/>
      <c r="J605" s="66"/>
      <c r="K605" s="66"/>
      <c r="L605" s="84"/>
      <c r="M605" s="84"/>
      <c r="N605" s="41"/>
      <c r="O605" s="41"/>
      <c r="P605" s="84"/>
      <c r="Q605" s="84"/>
      <c r="R605" s="84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5"/>
      <c r="AW605" s="66"/>
      <c r="AX605" s="66"/>
      <c r="AY605" s="106"/>
    </row>
    <row r="606" s="31" customFormat="1" spans="2:51">
      <c r="B606" s="65"/>
      <c r="C606" s="66"/>
      <c r="D606" s="66"/>
      <c r="E606" s="67"/>
      <c r="F606" s="66"/>
      <c r="G606" s="68"/>
      <c r="H606" s="66"/>
      <c r="I606" s="66"/>
      <c r="J606" s="66"/>
      <c r="K606" s="66"/>
      <c r="L606" s="84"/>
      <c r="M606" s="84"/>
      <c r="N606" s="41"/>
      <c r="O606" s="41"/>
      <c r="P606" s="84"/>
      <c r="Q606" s="84"/>
      <c r="R606" s="84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66"/>
      <c r="AU606" s="66"/>
      <c r="AV606" s="65"/>
      <c r="AW606" s="66"/>
      <c r="AX606" s="66"/>
      <c r="AY606" s="106"/>
    </row>
    <row r="607" s="31" customFormat="1" spans="2:51">
      <c r="B607" s="65"/>
      <c r="C607" s="66"/>
      <c r="D607" s="66"/>
      <c r="E607" s="67"/>
      <c r="F607" s="66"/>
      <c r="G607" s="68"/>
      <c r="H607" s="66"/>
      <c r="I607" s="66"/>
      <c r="J607" s="66"/>
      <c r="K607" s="66"/>
      <c r="L607" s="84"/>
      <c r="M607" s="84"/>
      <c r="N607" s="41"/>
      <c r="O607" s="41"/>
      <c r="P607" s="84"/>
      <c r="Q607" s="84"/>
      <c r="R607" s="84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66"/>
      <c r="AU607" s="66"/>
      <c r="AV607" s="65"/>
      <c r="AW607" s="66"/>
      <c r="AX607" s="66"/>
      <c r="AY607" s="106"/>
    </row>
    <row r="608" s="31" customFormat="1" spans="2:51">
      <c r="B608" s="65"/>
      <c r="C608" s="66"/>
      <c r="D608" s="66"/>
      <c r="E608" s="67"/>
      <c r="F608" s="66"/>
      <c r="G608" s="68"/>
      <c r="H608" s="66"/>
      <c r="I608" s="66"/>
      <c r="J608" s="66"/>
      <c r="K608" s="66"/>
      <c r="L608" s="84"/>
      <c r="M608" s="84"/>
      <c r="N608" s="41"/>
      <c r="O608" s="41"/>
      <c r="P608" s="84"/>
      <c r="Q608" s="84"/>
      <c r="R608" s="84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66"/>
      <c r="AU608" s="66"/>
      <c r="AV608" s="65"/>
      <c r="AW608" s="66"/>
      <c r="AX608" s="66"/>
      <c r="AY608" s="106"/>
    </row>
    <row r="609" s="31" customFormat="1" spans="2:51">
      <c r="B609" s="65"/>
      <c r="C609" s="66"/>
      <c r="D609" s="66"/>
      <c r="E609" s="67"/>
      <c r="F609" s="66"/>
      <c r="G609" s="68"/>
      <c r="H609" s="66"/>
      <c r="I609" s="66"/>
      <c r="J609" s="66"/>
      <c r="K609" s="66"/>
      <c r="L609" s="84"/>
      <c r="M609" s="84"/>
      <c r="N609" s="41"/>
      <c r="O609" s="41"/>
      <c r="P609" s="84"/>
      <c r="Q609" s="84"/>
      <c r="R609" s="84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66"/>
      <c r="AU609" s="66"/>
      <c r="AV609" s="65"/>
      <c r="AW609" s="66"/>
      <c r="AX609" s="66"/>
      <c r="AY609" s="106"/>
    </row>
    <row r="1048575" spans="7:47">
      <c r="G1048575" s="107"/>
      <c r="AE1048575" s="108"/>
      <c r="AU1048575" s="109"/>
    </row>
  </sheetData>
  <autoFilter xmlns:etc="http://www.wps.cn/officeDocument/2017/etCustomData" ref="A6:AX71" etc:filterBottomFollowUsedRange="0">
    <sortState ref="A6:AX71">
      <sortCondition ref="B6"/>
    </sortState>
    <extLst/>
  </autoFilter>
  <mergeCells count="26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X4"/>
  </mergeCells>
  <pageMargins left="0.1181" right="0" top="0.4532" bottom="0.2957" header="0.1575" footer="0"/>
  <pageSetup paperSize="9" scale="44" fitToWidth="0" fitToHeight="0" pageOrder="overThenDown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Y1048571"/>
  <sheetViews>
    <sheetView view="pageBreakPreview" zoomScale="40" zoomScaleNormal="40" topLeftCell="B13" workbookViewId="0">
      <selection activeCell="AY13" sqref="AY13"/>
    </sheetView>
  </sheetViews>
  <sheetFormatPr defaultColWidth="4.72380952380952" defaultRowHeight="26.25"/>
  <cols>
    <col min="1" max="1" width="13.2666666666667" style="34" customWidth="1"/>
    <col min="2" max="2" width="10.5428571428571" style="35" customWidth="1"/>
    <col min="3" max="3" width="29.5428571428571" style="36" customWidth="1"/>
    <col min="4" max="4" width="57.2666666666667" style="36" hidden="1" customWidth="1"/>
    <col min="5" max="5" width="17.7238095238095" style="37" customWidth="1"/>
    <col min="6" max="6" width="20.5428571428571" style="36" customWidth="1"/>
    <col min="7" max="7" width="28" style="38" hidden="1" customWidth="1"/>
    <col min="8" max="8" width="100.819047619048" style="36" customWidth="1"/>
    <col min="9" max="9" width="33" style="36" customWidth="1"/>
    <col min="10" max="10" width="40.1809523809524" style="39" customWidth="1"/>
    <col min="11" max="11" width="34.4571428571429" style="36" customWidth="1"/>
    <col min="12" max="13" width="21.2666666666667" style="40" customWidth="1"/>
    <col min="14" max="15" width="52.7238095238095" style="41" hidden="1" customWidth="1"/>
    <col min="16" max="18" width="20.1809523809524" style="40" hidden="1" customWidth="1"/>
    <col min="19" max="20" width="25.5428571428571" style="36" hidden="1" customWidth="1"/>
    <col min="21" max="22" width="24.8190476190476" style="36" hidden="1" customWidth="1"/>
    <col min="23" max="28" width="23.4571428571429" style="36" hidden="1" customWidth="1"/>
    <col min="29" max="29" width="26.2666666666667" style="36" hidden="1" customWidth="1"/>
    <col min="30" max="30" width="40.2666666666667" style="36" hidden="1" customWidth="1"/>
    <col min="31" max="32" width="25.8190476190476" style="36" hidden="1" customWidth="1"/>
    <col min="33" max="34" width="23.4571428571429" style="36" hidden="1" customWidth="1"/>
    <col min="35" max="35" width="20.8190476190476" style="36" hidden="1" customWidth="1"/>
    <col min="36" max="36" width="21.2666666666667" style="36" hidden="1" customWidth="1"/>
    <col min="37" max="37" width="26.2666666666667" style="36" hidden="1" customWidth="1"/>
    <col min="38" max="38" width="41.2666666666667" style="36" hidden="1" customWidth="1"/>
    <col min="39" max="39" width="30.5428571428571" style="36" hidden="1" customWidth="1"/>
    <col min="40" max="40" width="38" style="36" hidden="1" customWidth="1"/>
    <col min="41" max="41" width="27.2666666666667" style="36" hidden="1" customWidth="1"/>
    <col min="42" max="42" width="47.2666666666667" style="36" hidden="1" customWidth="1"/>
    <col min="43" max="44" width="18" style="36" hidden="1" customWidth="1"/>
    <col min="45" max="45" width="22.7238095238095" style="36" hidden="1" customWidth="1"/>
    <col min="46" max="46" width="23.7238095238095" style="36" hidden="1" customWidth="1"/>
    <col min="47" max="47" width="22.7238095238095" style="36" hidden="1" customWidth="1"/>
    <col min="48" max="48" width="24.8190476190476" style="35" hidden="1" customWidth="1"/>
    <col min="49" max="49" width="57.7238095238095" style="36" hidden="1" customWidth="1"/>
    <col min="50" max="50" width="60.1809523809524" style="36" hidden="1" customWidth="1"/>
    <col min="51" max="51" width="143.72380952381" style="42" customWidth="1"/>
    <col min="52" max="16384" width="4.72380952380952" style="34"/>
  </cols>
  <sheetData>
    <row r="1" s="27" customFormat="1" ht="46.5" spans="1:5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</row>
    <row r="2" s="27" customFormat="1" spans="2:51">
      <c r="B2" s="44"/>
      <c r="C2" s="45"/>
      <c r="D2" s="45"/>
      <c r="E2" s="44"/>
      <c r="F2" s="45"/>
      <c r="G2" s="45"/>
      <c r="H2" s="45"/>
      <c r="I2" s="45"/>
      <c r="J2" s="69"/>
      <c r="K2" s="45"/>
      <c r="L2" s="70"/>
      <c r="M2" s="70"/>
      <c r="N2" s="71"/>
      <c r="O2" s="71"/>
      <c r="P2" s="70"/>
      <c r="Q2" s="70"/>
      <c r="R2" s="70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91"/>
      <c r="AW2" s="45"/>
      <c r="AX2" s="45"/>
      <c r="AY2" s="94"/>
    </row>
    <row r="3" s="28" customFormat="1" ht="28.5" customHeight="1" spans="1:51">
      <c r="A3" s="46" t="s">
        <v>1</v>
      </c>
      <c r="B3" s="46" t="s">
        <v>2</v>
      </c>
      <c r="C3" s="46" t="s">
        <v>3</v>
      </c>
      <c r="D3" s="47" t="s">
        <v>4</v>
      </c>
      <c r="E3" s="46" t="s">
        <v>5</v>
      </c>
      <c r="F3" s="46" t="s">
        <v>6</v>
      </c>
      <c r="G3" s="46" t="s">
        <v>7</v>
      </c>
      <c r="H3" s="46" t="s">
        <v>8</v>
      </c>
      <c r="I3" s="46" t="s">
        <v>9</v>
      </c>
      <c r="J3" s="46" t="s">
        <v>10</v>
      </c>
      <c r="K3" s="46" t="s">
        <v>11</v>
      </c>
      <c r="L3" s="51" t="s">
        <v>12</v>
      </c>
      <c r="M3" s="51" t="s">
        <v>13</v>
      </c>
      <c r="N3" s="72" t="s">
        <v>14</v>
      </c>
      <c r="O3" s="72" t="s">
        <v>14</v>
      </c>
      <c r="P3" s="51" t="s">
        <v>15</v>
      </c>
      <c r="Q3" s="51" t="s">
        <v>16</v>
      </c>
      <c r="R3" s="51" t="s">
        <v>17</v>
      </c>
      <c r="S3" s="51" t="s">
        <v>18</v>
      </c>
      <c r="T3" s="51" t="s">
        <v>18</v>
      </c>
      <c r="U3" s="51" t="s">
        <v>19</v>
      </c>
      <c r="V3" s="51" t="s">
        <v>19</v>
      </c>
      <c r="W3" s="51" t="s">
        <v>20</v>
      </c>
      <c r="X3" s="51" t="s">
        <v>20</v>
      </c>
      <c r="Y3" s="51" t="s">
        <v>21</v>
      </c>
      <c r="Z3" s="51" t="s">
        <v>21</v>
      </c>
      <c r="AA3" s="51" t="s">
        <v>22</v>
      </c>
      <c r="AB3" s="51" t="s">
        <v>22</v>
      </c>
      <c r="AC3" s="51" t="s">
        <v>23</v>
      </c>
      <c r="AD3" s="51" t="s">
        <v>23</v>
      </c>
      <c r="AE3" s="51" t="s">
        <v>24</v>
      </c>
      <c r="AF3" s="51" t="s">
        <v>24</v>
      </c>
      <c r="AG3" s="51" t="s">
        <v>25</v>
      </c>
      <c r="AH3" s="51" t="s">
        <v>25</v>
      </c>
      <c r="AI3" s="46" t="s">
        <v>26</v>
      </c>
      <c r="AJ3" s="46" t="s">
        <v>27</v>
      </c>
      <c r="AK3" s="46" t="s">
        <v>28</v>
      </c>
      <c r="AL3" s="46" t="s">
        <v>29</v>
      </c>
      <c r="AM3" s="46" t="s">
        <v>30</v>
      </c>
      <c r="AN3" s="46" t="s">
        <v>31</v>
      </c>
      <c r="AO3" s="46" t="s">
        <v>32</v>
      </c>
      <c r="AP3" s="46" t="s">
        <v>33</v>
      </c>
      <c r="AQ3" s="46" t="s">
        <v>34</v>
      </c>
      <c r="AR3" s="46" t="s">
        <v>35</v>
      </c>
      <c r="AS3" s="46" t="s">
        <v>36</v>
      </c>
      <c r="AT3" s="46" t="s">
        <v>37</v>
      </c>
      <c r="AU3" s="46" t="s">
        <v>38</v>
      </c>
      <c r="AV3" s="46" t="s">
        <v>39</v>
      </c>
      <c r="AW3" s="47" t="s">
        <v>4</v>
      </c>
      <c r="AX3" s="95"/>
      <c r="AY3" s="46" t="s">
        <v>60</v>
      </c>
    </row>
    <row r="4" s="28" customFormat="1" ht="28.5" customHeight="1" spans="1:51">
      <c r="A4" s="48"/>
      <c r="B4" s="48"/>
      <c r="C4" s="48"/>
      <c r="D4" s="49"/>
      <c r="E4" s="48"/>
      <c r="F4" s="48"/>
      <c r="G4" s="48"/>
      <c r="H4" s="48"/>
      <c r="I4" s="48"/>
      <c r="J4" s="48"/>
      <c r="K4" s="48"/>
      <c r="L4" s="51" t="s">
        <v>40</v>
      </c>
      <c r="M4" s="51" t="s">
        <v>41</v>
      </c>
      <c r="N4" s="73" t="s">
        <v>42</v>
      </c>
      <c r="O4" s="73" t="s">
        <v>43</v>
      </c>
      <c r="P4" s="51" t="s">
        <v>44</v>
      </c>
      <c r="Q4" s="51" t="s">
        <v>44</v>
      </c>
      <c r="R4" s="51" t="s">
        <v>44</v>
      </c>
      <c r="S4" s="51" t="s">
        <v>45</v>
      </c>
      <c r="T4" s="51" t="s">
        <v>46</v>
      </c>
      <c r="U4" s="51" t="s">
        <v>45</v>
      </c>
      <c r="V4" s="51" t="s">
        <v>46</v>
      </c>
      <c r="W4" s="51" t="s">
        <v>45</v>
      </c>
      <c r="X4" s="51" t="s">
        <v>46</v>
      </c>
      <c r="Y4" s="51" t="s">
        <v>45</v>
      </c>
      <c r="Z4" s="51" t="s">
        <v>46</v>
      </c>
      <c r="AA4" s="51" t="s">
        <v>45</v>
      </c>
      <c r="AB4" s="51" t="s">
        <v>46</v>
      </c>
      <c r="AC4" s="51" t="s">
        <v>45</v>
      </c>
      <c r="AD4" s="51" t="s">
        <v>46</v>
      </c>
      <c r="AE4" s="51" t="s">
        <v>45</v>
      </c>
      <c r="AF4" s="51" t="s">
        <v>46</v>
      </c>
      <c r="AG4" s="51" t="s">
        <v>45</v>
      </c>
      <c r="AH4" s="51" t="s">
        <v>46</v>
      </c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9"/>
      <c r="AX4" s="96"/>
      <c r="AY4" s="97"/>
    </row>
    <row r="5" s="28" customFormat="1" spans="1:51">
      <c r="A5" s="50"/>
      <c r="B5" s="51"/>
      <c r="C5" s="51"/>
      <c r="D5" s="52" t="s">
        <v>47</v>
      </c>
      <c r="E5" s="51"/>
      <c r="F5" s="51"/>
      <c r="G5" s="51"/>
      <c r="H5" s="51"/>
      <c r="I5" s="51"/>
      <c r="J5" s="51" t="s">
        <v>48</v>
      </c>
      <c r="K5" s="51" t="s">
        <v>49</v>
      </c>
      <c r="L5" s="51" t="s">
        <v>50</v>
      </c>
      <c r="M5" s="51" t="s">
        <v>50</v>
      </c>
      <c r="N5" s="73"/>
      <c r="O5" s="73"/>
      <c r="P5" s="51" t="s">
        <v>51</v>
      </c>
      <c r="Q5" s="51" t="s">
        <v>51</v>
      </c>
      <c r="R5" s="51" t="s">
        <v>51</v>
      </c>
      <c r="S5" s="51" t="s">
        <v>52</v>
      </c>
      <c r="T5" s="51" t="s">
        <v>52</v>
      </c>
      <c r="U5" s="51" t="s">
        <v>667</v>
      </c>
      <c r="V5" s="51" t="s">
        <v>667</v>
      </c>
      <c r="W5" s="51" t="s">
        <v>667</v>
      </c>
      <c r="X5" s="51" t="s">
        <v>667</v>
      </c>
      <c r="Y5" s="51" t="s">
        <v>667</v>
      </c>
      <c r="Z5" s="51" t="s">
        <v>667</v>
      </c>
      <c r="AA5" s="51" t="s">
        <v>667</v>
      </c>
      <c r="AB5" s="51" t="s">
        <v>667</v>
      </c>
      <c r="AC5" s="51" t="s">
        <v>667</v>
      </c>
      <c r="AD5" s="51" t="s">
        <v>667</v>
      </c>
      <c r="AE5" s="51" t="s">
        <v>54</v>
      </c>
      <c r="AF5" s="51" t="s">
        <v>54</v>
      </c>
      <c r="AG5" s="51" t="s">
        <v>55</v>
      </c>
      <c r="AH5" s="51" t="s">
        <v>55</v>
      </c>
      <c r="AI5" s="51" t="s">
        <v>56</v>
      </c>
      <c r="AJ5" s="51" t="s">
        <v>52</v>
      </c>
      <c r="AK5" s="51"/>
      <c r="AL5" s="51"/>
      <c r="AM5" s="51"/>
      <c r="AN5" s="51" t="s">
        <v>667</v>
      </c>
      <c r="AO5" s="51" t="s">
        <v>57</v>
      </c>
      <c r="AP5" s="51" t="s">
        <v>57</v>
      </c>
      <c r="AQ5" s="51" t="s">
        <v>52</v>
      </c>
      <c r="AR5" s="51" t="s">
        <v>52</v>
      </c>
      <c r="AS5" s="51" t="s">
        <v>52</v>
      </c>
      <c r="AT5" s="51" t="s">
        <v>52</v>
      </c>
      <c r="AU5" s="51" t="s">
        <v>52</v>
      </c>
      <c r="AV5" s="51" t="s">
        <v>52</v>
      </c>
      <c r="AW5" s="98" t="s">
        <v>58</v>
      </c>
      <c r="AX5" s="98" t="s">
        <v>59</v>
      </c>
      <c r="AY5" s="48"/>
    </row>
    <row r="6" s="29" customFormat="1" ht="28.5" customHeight="1" spans="1:51">
      <c r="A6" s="50">
        <v>1</v>
      </c>
      <c r="B6" s="51">
        <v>2</v>
      </c>
      <c r="C6" s="51">
        <v>3</v>
      </c>
      <c r="D6" s="51">
        <v>4</v>
      </c>
      <c r="E6" s="51">
        <v>5</v>
      </c>
      <c r="F6" s="51">
        <v>6</v>
      </c>
      <c r="G6" s="51">
        <v>7</v>
      </c>
      <c r="H6" s="51">
        <v>8</v>
      </c>
      <c r="I6" s="51">
        <v>9</v>
      </c>
      <c r="J6" s="51">
        <v>10</v>
      </c>
      <c r="K6" s="51">
        <v>11</v>
      </c>
      <c r="L6" s="51">
        <v>12</v>
      </c>
      <c r="M6" s="51">
        <v>13</v>
      </c>
      <c r="N6" s="51">
        <v>14</v>
      </c>
      <c r="O6" s="51">
        <v>15</v>
      </c>
      <c r="P6" s="51">
        <v>16</v>
      </c>
      <c r="Q6" s="51">
        <v>17</v>
      </c>
      <c r="R6" s="51">
        <v>18</v>
      </c>
      <c r="S6" s="51">
        <v>19</v>
      </c>
      <c r="T6" s="51">
        <v>20</v>
      </c>
      <c r="U6" s="51">
        <v>21</v>
      </c>
      <c r="V6" s="51">
        <v>22</v>
      </c>
      <c r="W6" s="51">
        <v>23</v>
      </c>
      <c r="X6" s="51">
        <v>24</v>
      </c>
      <c r="Y6" s="51">
        <v>25</v>
      </c>
      <c r="Z6" s="51">
        <v>26</v>
      </c>
      <c r="AA6" s="51">
        <v>27</v>
      </c>
      <c r="AB6" s="51">
        <v>28</v>
      </c>
      <c r="AC6" s="51">
        <v>29</v>
      </c>
      <c r="AD6" s="51">
        <v>30</v>
      </c>
      <c r="AE6" s="51">
        <v>31</v>
      </c>
      <c r="AF6" s="51">
        <v>32</v>
      </c>
      <c r="AG6" s="51">
        <v>33</v>
      </c>
      <c r="AH6" s="51">
        <v>34</v>
      </c>
      <c r="AI6" s="51">
        <v>35</v>
      </c>
      <c r="AJ6" s="51">
        <v>36</v>
      </c>
      <c r="AK6" s="51">
        <v>37</v>
      </c>
      <c r="AL6" s="51">
        <v>38</v>
      </c>
      <c r="AM6" s="51">
        <v>39</v>
      </c>
      <c r="AN6" s="51">
        <v>40</v>
      </c>
      <c r="AO6" s="51">
        <v>41</v>
      </c>
      <c r="AP6" s="51">
        <v>42</v>
      </c>
      <c r="AQ6" s="51">
        <v>43</v>
      </c>
      <c r="AR6" s="51">
        <v>44</v>
      </c>
      <c r="AS6" s="51">
        <v>45</v>
      </c>
      <c r="AT6" s="51">
        <v>46</v>
      </c>
      <c r="AU6" s="51">
        <v>47</v>
      </c>
      <c r="AV6" s="51">
        <v>48</v>
      </c>
      <c r="AW6" s="51">
        <v>49</v>
      </c>
      <c r="AX6" s="52">
        <v>50</v>
      </c>
      <c r="AY6" s="99">
        <v>51</v>
      </c>
    </row>
    <row r="7" s="30" customFormat="1" ht="54.75" customHeight="1" spans="1:51">
      <c r="A7" s="53" t="str">
        <f t="shared" ref="A7:A60" si="0">CONCATENATE(B7,"-",E7)</f>
        <v>1-0</v>
      </c>
      <c r="B7" s="54">
        <v>1</v>
      </c>
      <c r="C7" s="55" t="s">
        <v>61</v>
      </c>
      <c r="D7" s="54" t="s">
        <v>62</v>
      </c>
      <c r="E7" s="56">
        <v>0</v>
      </c>
      <c r="F7" s="57" t="s">
        <v>63</v>
      </c>
      <c r="G7" s="181" t="s">
        <v>64</v>
      </c>
      <c r="H7" s="57" t="str">
        <f t="shared" ref="H7:H60" si="1">CONCATENATE(I7,"; ",J7,"; ",K7," ")</f>
        <v>Hose, Breather; Ø 3.5 mm × 7.5 mm; TSM1649G-1 </v>
      </c>
      <c r="I7" s="57" t="s">
        <v>65</v>
      </c>
      <c r="J7" s="57" t="s">
        <v>66</v>
      </c>
      <c r="K7" s="57" t="s">
        <v>67</v>
      </c>
      <c r="L7" s="55" t="s">
        <v>68</v>
      </c>
      <c r="M7" s="55" t="s">
        <v>69</v>
      </c>
      <c r="N7" s="74" t="s">
        <v>70</v>
      </c>
      <c r="O7" s="74" t="s">
        <v>70</v>
      </c>
      <c r="P7" s="182" t="s">
        <v>71</v>
      </c>
      <c r="Q7" s="86" t="s">
        <v>72</v>
      </c>
      <c r="R7" s="86" t="s">
        <v>73</v>
      </c>
      <c r="S7" s="54" t="s">
        <v>74</v>
      </c>
      <c r="T7" s="54" t="s">
        <v>74</v>
      </c>
      <c r="U7" s="86" t="s">
        <v>75</v>
      </c>
      <c r="V7" s="86" t="s">
        <v>76</v>
      </c>
      <c r="W7" s="86" t="s">
        <v>77</v>
      </c>
      <c r="X7" s="86" t="s">
        <v>78</v>
      </c>
      <c r="Y7" s="86" t="s">
        <v>77</v>
      </c>
      <c r="Z7" s="86" t="s">
        <v>78</v>
      </c>
      <c r="AA7" s="54" t="s">
        <v>79</v>
      </c>
      <c r="AB7" s="54" t="s">
        <v>79</v>
      </c>
      <c r="AC7" s="86" t="s">
        <v>77</v>
      </c>
      <c r="AD7" s="86" t="s">
        <v>78</v>
      </c>
      <c r="AE7" s="54" t="s">
        <v>80</v>
      </c>
      <c r="AF7" s="54" t="s">
        <v>81</v>
      </c>
      <c r="AG7" s="54" t="s">
        <v>82</v>
      </c>
      <c r="AH7" s="54" t="s">
        <v>83</v>
      </c>
      <c r="AI7" s="54"/>
      <c r="AJ7" s="86" t="s">
        <v>84</v>
      </c>
      <c r="AK7" s="54" t="s">
        <v>85</v>
      </c>
      <c r="AL7" s="54" t="s">
        <v>668</v>
      </c>
      <c r="AM7" s="54" t="s">
        <v>87</v>
      </c>
      <c r="AN7" s="54" t="s">
        <v>669</v>
      </c>
      <c r="AO7" s="92" t="s">
        <v>89</v>
      </c>
      <c r="AP7" s="92" t="s">
        <v>89</v>
      </c>
      <c r="AQ7" s="86" t="s">
        <v>90</v>
      </c>
      <c r="AR7" s="86" t="s">
        <v>84</v>
      </c>
      <c r="AS7" s="86" t="s">
        <v>91</v>
      </c>
      <c r="AT7" s="86" t="s">
        <v>92</v>
      </c>
      <c r="AU7" s="86" t="s">
        <v>93</v>
      </c>
      <c r="AV7" s="86" t="s">
        <v>94</v>
      </c>
      <c r="AW7" s="100" t="s">
        <v>95</v>
      </c>
      <c r="AX7" s="100" t="s">
        <v>670</v>
      </c>
      <c r="AY7" s="101"/>
    </row>
    <row r="8" s="31" customFormat="1" ht="54.75" customHeight="1" spans="1:51">
      <c r="A8" s="53" t="str">
        <f t="shared" si="0"/>
        <v>2-0</v>
      </c>
      <c r="B8" s="54">
        <v>2</v>
      </c>
      <c r="C8" s="55" t="s">
        <v>61</v>
      </c>
      <c r="D8" s="54" t="s">
        <v>96</v>
      </c>
      <c r="E8" s="56">
        <v>0</v>
      </c>
      <c r="F8" s="57" t="s">
        <v>63</v>
      </c>
      <c r="G8" s="181" t="s">
        <v>64</v>
      </c>
      <c r="H8" s="57" t="str">
        <f t="shared" si="1"/>
        <v>Hose, Breather; Ø 3.5 mm × 7.5 mm; TSM1649G-1 </v>
      </c>
      <c r="I8" s="57" t="s">
        <v>65</v>
      </c>
      <c r="J8" s="57" t="s">
        <v>66</v>
      </c>
      <c r="K8" s="57" t="s">
        <v>67</v>
      </c>
      <c r="L8" s="55" t="s">
        <v>68</v>
      </c>
      <c r="M8" s="55" t="s">
        <v>69</v>
      </c>
      <c r="N8" s="74" t="s">
        <v>70</v>
      </c>
      <c r="O8" s="74" t="s">
        <v>70</v>
      </c>
      <c r="P8" s="182" t="s">
        <v>71</v>
      </c>
      <c r="Q8" s="86" t="s">
        <v>72</v>
      </c>
      <c r="R8" s="86" t="s">
        <v>73</v>
      </c>
      <c r="S8" s="54" t="s">
        <v>74</v>
      </c>
      <c r="T8" s="54" t="s">
        <v>74</v>
      </c>
      <c r="U8" s="86" t="s">
        <v>76</v>
      </c>
      <c r="V8" s="86" t="s">
        <v>76</v>
      </c>
      <c r="W8" s="86" t="s">
        <v>78</v>
      </c>
      <c r="X8" s="86" t="s">
        <v>78</v>
      </c>
      <c r="Y8" s="86" t="s">
        <v>78</v>
      </c>
      <c r="Z8" s="86" t="s">
        <v>78</v>
      </c>
      <c r="AA8" s="54" t="s">
        <v>79</v>
      </c>
      <c r="AB8" s="54" t="s">
        <v>79</v>
      </c>
      <c r="AC8" s="86" t="s">
        <v>78</v>
      </c>
      <c r="AD8" s="86" t="s">
        <v>78</v>
      </c>
      <c r="AE8" s="54" t="s">
        <v>80</v>
      </c>
      <c r="AF8" s="54" t="s">
        <v>81</v>
      </c>
      <c r="AG8" s="54" t="s">
        <v>82</v>
      </c>
      <c r="AH8" s="54" t="s">
        <v>83</v>
      </c>
      <c r="AI8" s="54"/>
      <c r="AJ8" s="86" t="s">
        <v>84</v>
      </c>
      <c r="AK8" s="54" t="s">
        <v>85</v>
      </c>
      <c r="AL8" s="54" t="s">
        <v>668</v>
      </c>
      <c r="AM8" s="54" t="s">
        <v>87</v>
      </c>
      <c r="AN8" s="54" t="s">
        <v>669</v>
      </c>
      <c r="AO8" s="92" t="s">
        <v>89</v>
      </c>
      <c r="AP8" s="92" t="s">
        <v>89</v>
      </c>
      <c r="AQ8" s="86" t="s">
        <v>90</v>
      </c>
      <c r="AR8" s="86" t="s">
        <v>84</v>
      </c>
      <c r="AS8" s="86" t="s">
        <v>91</v>
      </c>
      <c r="AT8" s="86" t="s">
        <v>92</v>
      </c>
      <c r="AU8" s="86" t="s">
        <v>93</v>
      </c>
      <c r="AV8" s="86" t="s">
        <v>94</v>
      </c>
      <c r="AW8" s="100" t="s">
        <v>97</v>
      </c>
      <c r="AX8" s="100" t="s">
        <v>671</v>
      </c>
      <c r="AY8" s="101"/>
    </row>
    <row r="9" s="30" customFormat="1" ht="54.75" customHeight="1" spans="1:51">
      <c r="A9" s="53" t="str">
        <f t="shared" si="0"/>
        <v>3-0</v>
      </c>
      <c r="B9" s="54">
        <v>3</v>
      </c>
      <c r="C9" s="55" t="s">
        <v>61</v>
      </c>
      <c r="D9" s="54" t="s">
        <v>98</v>
      </c>
      <c r="E9" s="56">
        <v>0</v>
      </c>
      <c r="F9" s="57" t="s">
        <v>63</v>
      </c>
      <c r="G9" s="181" t="s">
        <v>64</v>
      </c>
      <c r="H9" s="57" t="str">
        <f t="shared" si="1"/>
        <v>Hose, Breather; Ø 3.5 mm × 7.5 mm; TSM1649G-1 </v>
      </c>
      <c r="I9" s="57" t="s">
        <v>65</v>
      </c>
      <c r="J9" s="57" t="s">
        <v>66</v>
      </c>
      <c r="K9" s="57" t="s">
        <v>67</v>
      </c>
      <c r="L9" s="55" t="s">
        <v>68</v>
      </c>
      <c r="M9" s="55" t="s">
        <v>69</v>
      </c>
      <c r="N9" s="74" t="s">
        <v>70</v>
      </c>
      <c r="O9" s="74" t="s">
        <v>70</v>
      </c>
      <c r="P9" s="182" t="s">
        <v>71</v>
      </c>
      <c r="Q9" s="86" t="s">
        <v>72</v>
      </c>
      <c r="R9" s="86" t="s">
        <v>73</v>
      </c>
      <c r="S9" s="54" t="s">
        <v>74</v>
      </c>
      <c r="T9" s="54" t="s">
        <v>74</v>
      </c>
      <c r="U9" s="86" t="s">
        <v>76</v>
      </c>
      <c r="V9" s="86" t="s">
        <v>76</v>
      </c>
      <c r="W9" s="86" t="s">
        <v>78</v>
      </c>
      <c r="X9" s="86" t="s">
        <v>78</v>
      </c>
      <c r="Y9" s="86" t="s">
        <v>78</v>
      </c>
      <c r="Z9" s="86" t="s">
        <v>78</v>
      </c>
      <c r="AA9" s="54" t="s">
        <v>79</v>
      </c>
      <c r="AB9" s="54" t="s">
        <v>79</v>
      </c>
      <c r="AC9" s="86" t="s">
        <v>78</v>
      </c>
      <c r="AD9" s="86" t="s">
        <v>78</v>
      </c>
      <c r="AE9" s="54" t="s">
        <v>80</v>
      </c>
      <c r="AF9" s="54" t="s">
        <v>81</v>
      </c>
      <c r="AG9" s="54" t="s">
        <v>82</v>
      </c>
      <c r="AH9" s="54" t="s">
        <v>83</v>
      </c>
      <c r="AI9" s="54"/>
      <c r="AJ9" s="86" t="s">
        <v>84</v>
      </c>
      <c r="AK9" s="54" t="s">
        <v>85</v>
      </c>
      <c r="AL9" s="54" t="s">
        <v>668</v>
      </c>
      <c r="AM9" s="54" t="s">
        <v>87</v>
      </c>
      <c r="AN9" s="54" t="s">
        <v>669</v>
      </c>
      <c r="AO9" s="92" t="s">
        <v>89</v>
      </c>
      <c r="AP9" s="92" t="s">
        <v>89</v>
      </c>
      <c r="AQ9" s="86" t="s">
        <v>90</v>
      </c>
      <c r="AR9" s="86" t="s">
        <v>84</v>
      </c>
      <c r="AS9" s="86" t="s">
        <v>91</v>
      </c>
      <c r="AT9" s="86" t="s">
        <v>92</v>
      </c>
      <c r="AU9" s="86" t="s">
        <v>93</v>
      </c>
      <c r="AV9" s="86" t="s">
        <v>94</v>
      </c>
      <c r="AW9" s="100" t="s">
        <v>99</v>
      </c>
      <c r="AX9" s="100" t="s">
        <v>672</v>
      </c>
      <c r="AY9" s="101"/>
    </row>
    <row r="10" s="31" customFormat="1" ht="54.75" customHeight="1" spans="1:51">
      <c r="A10" s="59" t="s">
        <v>673</v>
      </c>
      <c r="B10" s="54">
        <v>4</v>
      </c>
      <c r="C10" s="55" t="s">
        <v>100</v>
      </c>
      <c r="D10" s="54" t="s">
        <v>101</v>
      </c>
      <c r="E10" s="56">
        <v>0</v>
      </c>
      <c r="F10" s="57" t="s">
        <v>63</v>
      </c>
      <c r="G10" s="181" t="s">
        <v>64</v>
      </c>
      <c r="H10" s="57" t="str">
        <f t="shared" si="1"/>
        <v>Hose, Breather; Ø 3.5 mm × 7.5 mm; TSM1656G-2 </v>
      </c>
      <c r="I10" s="57" t="s">
        <v>65</v>
      </c>
      <c r="J10" s="57" t="s">
        <v>66</v>
      </c>
      <c r="K10" s="57" t="s">
        <v>102</v>
      </c>
      <c r="L10" s="55" t="s">
        <v>103</v>
      </c>
      <c r="M10" s="55" t="s">
        <v>79</v>
      </c>
      <c r="N10" s="74" t="s">
        <v>70</v>
      </c>
      <c r="O10" s="74" t="s">
        <v>79</v>
      </c>
      <c r="P10" s="182" t="s">
        <v>71</v>
      </c>
      <c r="Q10" s="55" t="s">
        <v>79</v>
      </c>
      <c r="R10" s="86" t="s">
        <v>73</v>
      </c>
      <c r="S10" s="54" t="s">
        <v>74</v>
      </c>
      <c r="T10" s="54" t="s">
        <v>79</v>
      </c>
      <c r="U10" s="86" t="s">
        <v>75</v>
      </c>
      <c r="V10" s="54" t="s">
        <v>79</v>
      </c>
      <c r="W10" s="86" t="s">
        <v>77</v>
      </c>
      <c r="X10" s="54" t="s">
        <v>79</v>
      </c>
      <c r="Y10" s="86" t="s">
        <v>77</v>
      </c>
      <c r="Z10" s="54" t="s">
        <v>79</v>
      </c>
      <c r="AA10" s="54" t="s">
        <v>79</v>
      </c>
      <c r="AB10" s="54" t="s">
        <v>79</v>
      </c>
      <c r="AC10" s="86" t="s">
        <v>77</v>
      </c>
      <c r="AD10" s="54" t="s">
        <v>79</v>
      </c>
      <c r="AE10" s="54" t="s">
        <v>80</v>
      </c>
      <c r="AF10" s="54" t="s">
        <v>79</v>
      </c>
      <c r="AG10" s="54" t="s">
        <v>82</v>
      </c>
      <c r="AH10" s="54" t="s">
        <v>79</v>
      </c>
      <c r="AI10" s="54"/>
      <c r="AJ10" s="86" t="s">
        <v>84</v>
      </c>
      <c r="AK10" s="54" t="s">
        <v>79</v>
      </c>
      <c r="AL10" s="54" t="s">
        <v>79</v>
      </c>
      <c r="AM10" s="54" t="s">
        <v>79</v>
      </c>
      <c r="AN10" s="54" t="s">
        <v>669</v>
      </c>
      <c r="AO10" s="92" t="s">
        <v>89</v>
      </c>
      <c r="AP10" s="92" t="s">
        <v>89</v>
      </c>
      <c r="AQ10" s="86" t="s">
        <v>90</v>
      </c>
      <c r="AR10" s="86" t="s">
        <v>84</v>
      </c>
      <c r="AS10" s="54" t="s">
        <v>79</v>
      </c>
      <c r="AT10" s="54" t="s">
        <v>79</v>
      </c>
      <c r="AU10" s="86" t="s">
        <v>93</v>
      </c>
      <c r="AV10" s="86" t="s">
        <v>94</v>
      </c>
      <c r="AW10" s="100" t="s">
        <v>104</v>
      </c>
      <c r="AX10" s="100" t="s">
        <v>674</v>
      </c>
      <c r="AY10" s="101"/>
    </row>
    <row r="11" s="31" customFormat="1" ht="54.75" customHeight="1" spans="1:51">
      <c r="A11" s="53" t="str">
        <f t="shared" si="0"/>
        <v>5-0</v>
      </c>
      <c r="B11" s="54">
        <v>5</v>
      </c>
      <c r="C11" s="55" t="s">
        <v>61</v>
      </c>
      <c r="D11" s="54" t="s">
        <v>105</v>
      </c>
      <c r="E11" s="56">
        <v>0</v>
      </c>
      <c r="F11" s="57" t="s">
        <v>106</v>
      </c>
      <c r="G11" s="181" t="s">
        <v>64</v>
      </c>
      <c r="H11" s="57" t="str">
        <f t="shared" si="1"/>
        <v>Hose, Vacuum; Ø 3.5 mm × 7.5 mm; - </v>
      </c>
      <c r="I11" s="57" t="s">
        <v>107</v>
      </c>
      <c r="J11" s="57" t="s">
        <v>66</v>
      </c>
      <c r="K11" s="55" t="s">
        <v>79</v>
      </c>
      <c r="L11" s="55" t="s">
        <v>108</v>
      </c>
      <c r="M11" s="55" t="s">
        <v>109</v>
      </c>
      <c r="N11" s="74" t="s">
        <v>70</v>
      </c>
      <c r="O11" s="74" t="s">
        <v>70</v>
      </c>
      <c r="P11" s="182" t="s">
        <v>71</v>
      </c>
      <c r="Q11" s="86" t="s">
        <v>72</v>
      </c>
      <c r="R11" s="86" t="s">
        <v>110</v>
      </c>
      <c r="S11" s="54" t="s">
        <v>74</v>
      </c>
      <c r="T11" s="54" t="s">
        <v>74</v>
      </c>
      <c r="U11" s="86" t="s">
        <v>111</v>
      </c>
      <c r="V11" s="86" t="s">
        <v>111</v>
      </c>
      <c r="W11" s="86" t="s">
        <v>76</v>
      </c>
      <c r="X11" s="86" t="s">
        <v>78</v>
      </c>
      <c r="Y11" s="86" t="s">
        <v>112</v>
      </c>
      <c r="Z11" s="86" t="s">
        <v>78</v>
      </c>
      <c r="AA11" s="86" t="s">
        <v>76</v>
      </c>
      <c r="AB11" s="54" t="s">
        <v>79</v>
      </c>
      <c r="AC11" s="86" t="s">
        <v>76</v>
      </c>
      <c r="AD11" s="86" t="s">
        <v>78</v>
      </c>
      <c r="AE11" s="54" t="s">
        <v>675</v>
      </c>
      <c r="AF11" s="54" t="s">
        <v>114</v>
      </c>
      <c r="AG11" s="54" t="s">
        <v>115</v>
      </c>
      <c r="AH11" s="54" t="s">
        <v>116</v>
      </c>
      <c r="AI11" s="54"/>
      <c r="AJ11" s="86" t="s">
        <v>84</v>
      </c>
      <c r="AK11" s="54" t="s">
        <v>85</v>
      </c>
      <c r="AL11" s="54" t="s">
        <v>676</v>
      </c>
      <c r="AM11" s="54" t="s">
        <v>87</v>
      </c>
      <c r="AN11" s="54" t="s">
        <v>669</v>
      </c>
      <c r="AO11" s="92" t="s">
        <v>89</v>
      </c>
      <c r="AP11" s="92" t="s">
        <v>89</v>
      </c>
      <c r="AQ11" s="86" t="s">
        <v>90</v>
      </c>
      <c r="AR11" s="86" t="s">
        <v>84</v>
      </c>
      <c r="AS11" s="86" t="s">
        <v>118</v>
      </c>
      <c r="AT11" s="86" t="s">
        <v>92</v>
      </c>
      <c r="AU11" s="86" t="s">
        <v>93</v>
      </c>
      <c r="AV11" s="86" t="s">
        <v>94</v>
      </c>
      <c r="AW11" s="100" t="s">
        <v>119</v>
      </c>
      <c r="AX11" s="100" t="s">
        <v>677</v>
      </c>
      <c r="AY11" s="101"/>
    </row>
    <row r="12" s="31" customFormat="1" ht="54.75" customHeight="1" spans="1:51">
      <c r="A12" s="53" t="str">
        <f t="shared" si="0"/>
        <v>6-0</v>
      </c>
      <c r="B12" s="54">
        <v>6</v>
      </c>
      <c r="C12" s="55" t="s">
        <v>61</v>
      </c>
      <c r="D12" s="54" t="s">
        <v>120</v>
      </c>
      <c r="E12" s="56">
        <v>0</v>
      </c>
      <c r="F12" s="57" t="s">
        <v>63</v>
      </c>
      <c r="G12" s="181" t="s">
        <v>64</v>
      </c>
      <c r="H12" s="57" t="str">
        <f t="shared" si="1"/>
        <v>Hose, Fuel; Ø 5.4 mm × 10.4 mm; TSM1651G-2 </v>
      </c>
      <c r="I12" s="57" t="s">
        <v>121</v>
      </c>
      <c r="J12" s="57" t="s">
        <v>122</v>
      </c>
      <c r="K12" s="75" t="s">
        <v>123</v>
      </c>
      <c r="L12" s="55" t="s">
        <v>124</v>
      </c>
      <c r="M12" s="55" t="s">
        <v>69</v>
      </c>
      <c r="N12" s="74" t="s">
        <v>70</v>
      </c>
      <c r="O12" s="74" t="s">
        <v>70</v>
      </c>
      <c r="P12" s="182" t="s">
        <v>125</v>
      </c>
      <c r="Q12" s="55" t="s">
        <v>678</v>
      </c>
      <c r="R12" s="86" t="s">
        <v>127</v>
      </c>
      <c r="S12" s="54" t="s">
        <v>74</v>
      </c>
      <c r="T12" s="54" t="s">
        <v>74</v>
      </c>
      <c r="U12" s="86" t="s">
        <v>76</v>
      </c>
      <c r="V12" s="86" t="s">
        <v>76</v>
      </c>
      <c r="W12" s="86" t="s">
        <v>78</v>
      </c>
      <c r="X12" s="86" t="s">
        <v>78</v>
      </c>
      <c r="Y12" s="86" t="s">
        <v>78</v>
      </c>
      <c r="Z12" s="86" t="s">
        <v>78</v>
      </c>
      <c r="AA12" s="54" t="s">
        <v>79</v>
      </c>
      <c r="AB12" s="54" t="s">
        <v>79</v>
      </c>
      <c r="AC12" s="86" t="s">
        <v>78</v>
      </c>
      <c r="AD12" s="86" t="s">
        <v>78</v>
      </c>
      <c r="AE12" s="54" t="s">
        <v>128</v>
      </c>
      <c r="AF12" s="54" t="s">
        <v>129</v>
      </c>
      <c r="AG12" s="54" t="s">
        <v>82</v>
      </c>
      <c r="AH12" s="54" t="s">
        <v>83</v>
      </c>
      <c r="AI12" s="54"/>
      <c r="AJ12" s="86" t="s">
        <v>130</v>
      </c>
      <c r="AK12" s="54" t="s">
        <v>85</v>
      </c>
      <c r="AL12" s="54" t="s">
        <v>679</v>
      </c>
      <c r="AM12" s="54" t="s">
        <v>132</v>
      </c>
      <c r="AN12" s="54" t="s">
        <v>669</v>
      </c>
      <c r="AO12" s="92" t="s">
        <v>89</v>
      </c>
      <c r="AP12" s="92" t="s">
        <v>89</v>
      </c>
      <c r="AQ12" s="86" t="s">
        <v>133</v>
      </c>
      <c r="AR12" s="86" t="s">
        <v>130</v>
      </c>
      <c r="AS12" s="86" t="s">
        <v>134</v>
      </c>
      <c r="AT12" s="86" t="s">
        <v>92</v>
      </c>
      <c r="AU12" s="86" t="s">
        <v>135</v>
      </c>
      <c r="AV12" s="86" t="s">
        <v>94</v>
      </c>
      <c r="AW12" s="100" t="s">
        <v>136</v>
      </c>
      <c r="AX12" s="100" t="s">
        <v>680</v>
      </c>
      <c r="AY12" s="101"/>
    </row>
    <row r="13" s="30" customFormat="1" ht="54.75" customHeight="1" spans="1:51">
      <c r="A13" s="53" t="str">
        <f t="shared" si="0"/>
        <v>7-0</v>
      </c>
      <c r="B13" s="54">
        <v>7</v>
      </c>
      <c r="C13" s="55" t="s">
        <v>61</v>
      </c>
      <c r="D13" s="54" t="s">
        <v>137</v>
      </c>
      <c r="E13" s="56">
        <v>0</v>
      </c>
      <c r="F13" s="57" t="s">
        <v>63</v>
      </c>
      <c r="G13" s="181" t="s">
        <v>138</v>
      </c>
      <c r="H13" s="57" t="str">
        <f t="shared" si="1"/>
        <v>Hose, Fuel; Ø 5.4 mm × 10.4 mm; TSM1651G-2 </v>
      </c>
      <c r="I13" s="57" t="s">
        <v>121</v>
      </c>
      <c r="J13" s="57" t="s">
        <v>122</v>
      </c>
      <c r="K13" s="75" t="s">
        <v>123</v>
      </c>
      <c r="L13" s="55" t="s">
        <v>124</v>
      </c>
      <c r="M13" s="55" t="s">
        <v>69</v>
      </c>
      <c r="N13" s="74" t="s">
        <v>70</v>
      </c>
      <c r="O13" s="74" t="s">
        <v>70</v>
      </c>
      <c r="P13" s="182" t="s">
        <v>125</v>
      </c>
      <c r="Q13" s="55" t="s">
        <v>678</v>
      </c>
      <c r="R13" s="86" t="s">
        <v>127</v>
      </c>
      <c r="S13" s="54" t="s">
        <v>74</v>
      </c>
      <c r="T13" s="54" t="s">
        <v>74</v>
      </c>
      <c r="U13" s="86" t="s">
        <v>76</v>
      </c>
      <c r="V13" s="86" t="s">
        <v>76</v>
      </c>
      <c r="W13" s="86" t="s">
        <v>78</v>
      </c>
      <c r="X13" s="86" t="s">
        <v>78</v>
      </c>
      <c r="Y13" s="86" t="s">
        <v>78</v>
      </c>
      <c r="Z13" s="86" t="s">
        <v>78</v>
      </c>
      <c r="AA13" s="54" t="s">
        <v>79</v>
      </c>
      <c r="AB13" s="54" t="s">
        <v>79</v>
      </c>
      <c r="AC13" s="86" t="s">
        <v>78</v>
      </c>
      <c r="AD13" s="86" t="s">
        <v>78</v>
      </c>
      <c r="AE13" s="54" t="s">
        <v>80</v>
      </c>
      <c r="AF13" s="54" t="s">
        <v>81</v>
      </c>
      <c r="AG13" s="54" t="s">
        <v>82</v>
      </c>
      <c r="AH13" s="54" t="s">
        <v>83</v>
      </c>
      <c r="AI13" s="54"/>
      <c r="AJ13" s="86" t="s">
        <v>130</v>
      </c>
      <c r="AK13" s="54" t="s">
        <v>85</v>
      </c>
      <c r="AL13" s="54" t="s">
        <v>679</v>
      </c>
      <c r="AM13" s="54" t="s">
        <v>132</v>
      </c>
      <c r="AN13" s="54" t="s">
        <v>669</v>
      </c>
      <c r="AO13" s="92" t="s">
        <v>89</v>
      </c>
      <c r="AP13" s="92" t="s">
        <v>89</v>
      </c>
      <c r="AQ13" s="86" t="s">
        <v>133</v>
      </c>
      <c r="AR13" s="86" t="s">
        <v>130</v>
      </c>
      <c r="AS13" s="86" t="s">
        <v>134</v>
      </c>
      <c r="AT13" s="86">
        <v>0.1</v>
      </c>
      <c r="AU13" s="86" t="s">
        <v>135</v>
      </c>
      <c r="AV13" s="86" t="s">
        <v>94</v>
      </c>
      <c r="AW13" s="100" t="s">
        <v>139</v>
      </c>
      <c r="AX13" s="100" t="s">
        <v>681</v>
      </c>
      <c r="AY13" s="101"/>
    </row>
    <row r="14" s="31" customFormat="1" ht="54.75" customHeight="1" spans="1:51">
      <c r="A14" s="53" t="str">
        <f t="shared" si="0"/>
        <v>8-0</v>
      </c>
      <c r="B14" s="54">
        <v>8</v>
      </c>
      <c r="C14" s="55" t="s">
        <v>61</v>
      </c>
      <c r="D14" s="54" t="s">
        <v>140</v>
      </c>
      <c r="E14" s="56">
        <v>0</v>
      </c>
      <c r="F14" s="57" t="s">
        <v>141</v>
      </c>
      <c r="G14" s="181" t="s">
        <v>64</v>
      </c>
      <c r="H14" s="57" t="str">
        <f t="shared" si="1"/>
        <v>Hose, Fuel; Ø 5.4 mm × 10.4 mm; DTSM1651G-2 </v>
      </c>
      <c r="I14" s="57" t="s">
        <v>121</v>
      </c>
      <c r="J14" s="57" t="s">
        <v>122</v>
      </c>
      <c r="K14" s="57" t="s">
        <v>142</v>
      </c>
      <c r="L14" s="55" t="s">
        <v>143</v>
      </c>
      <c r="M14" s="55" t="s">
        <v>109</v>
      </c>
      <c r="N14" s="74" t="s">
        <v>70</v>
      </c>
      <c r="O14" s="74" t="s">
        <v>70</v>
      </c>
      <c r="P14" s="182" t="s">
        <v>125</v>
      </c>
      <c r="Q14" s="55" t="s">
        <v>678</v>
      </c>
      <c r="R14" s="86" t="s">
        <v>144</v>
      </c>
      <c r="S14" s="54" t="s">
        <v>145</v>
      </c>
      <c r="T14" s="54" t="s">
        <v>145</v>
      </c>
      <c r="U14" s="86" t="s">
        <v>146</v>
      </c>
      <c r="V14" s="86" t="s">
        <v>111</v>
      </c>
      <c r="W14" s="86" t="s">
        <v>111</v>
      </c>
      <c r="X14" s="86" t="s">
        <v>76</v>
      </c>
      <c r="Y14" s="86" t="s">
        <v>111</v>
      </c>
      <c r="Z14" s="86" t="s">
        <v>76</v>
      </c>
      <c r="AA14" s="54" t="s">
        <v>79</v>
      </c>
      <c r="AB14" s="54" t="s">
        <v>79</v>
      </c>
      <c r="AC14" s="86" t="s">
        <v>111</v>
      </c>
      <c r="AD14" s="86" t="s">
        <v>76</v>
      </c>
      <c r="AE14" s="54" t="s">
        <v>147</v>
      </c>
      <c r="AF14" s="54" t="s">
        <v>148</v>
      </c>
      <c r="AG14" s="54" t="s">
        <v>149</v>
      </c>
      <c r="AH14" s="54" t="s">
        <v>150</v>
      </c>
      <c r="AI14" s="54"/>
      <c r="AJ14" s="86" t="s">
        <v>130</v>
      </c>
      <c r="AK14" s="54" t="s">
        <v>85</v>
      </c>
      <c r="AL14" s="54" t="s">
        <v>679</v>
      </c>
      <c r="AM14" s="54" t="s">
        <v>132</v>
      </c>
      <c r="AN14" s="54" t="s">
        <v>669</v>
      </c>
      <c r="AO14" s="92" t="s">
        <v>89</v>
      </c>
      <c r="AP14" s="92" t="s">
        <v>89</v>
      </c>
      <c r="AQ14" s="86" t="s">
        <v>151</v>
      </c>
      <c r="AR14" s="86" t="s">
        <v>152</v>
      </c>
      <c r="AS14" s="86" t="s">
        <v>134</v>
      </c>
      <c r="AT14" s="86" t="s">
        <v>94</v>
      </c>
      <c r="AU14" s="86" t="s">
        <v>135</v>
      </c>
      <c r="AV14" s="86" t="s">
        <v>94</v>
      </c>
      <c r="AW14" s="100" t="s">
        <v>153</v>
      </c>
      <c r="AX14" s="100" t="s">
        <v>682</v>
      </c>
      <c r="AY14" s="101"/>
    </row>
    <row r="15" s="30" customFormat="1" ht="54.75" customHeight="1" spans="1:51">
      <c r="A15" s="53" t="str">
        <f t="shared" si="0"/>
        <v>9-0</v>
      </c>
      <c r="B15" s="54">
        <v>9</v>
      </c>
      <c r="C15" s="55" t="s">
        <v>61</v>
      </c>
      <c r="D15" s="54" t="s">
        <v>154</v>
      </c>
      <c r="E15" s="56">
        <v>0</v>
      </c>
      <c r="F15" s="57" t="s">
        <v>63</v>
      </c>
      <c r="G15" s="181" t="s">
        <v>138</v>
      </c>
      <c r="H15" s="57" t="str">
        <f t="shared" si="1"/>
        <v>Hose, Fuel; Ø 7 mm × 12 mm; TSM1651G-2 </v>
      </c>
      <c r="I15" s="57" t="s">
        <v>121</v>
      </c>
      <c r="J15" s="57" t="s">
        <v>155</v>
      </c>
      <c r="K15" s="57" t="s">
        <v>123</v>
      </c>
      <c r="L15" s="55" t="s">
        <v>124</v>
      </c>
      <c r="M15" s="55" t="s">
        <v>69</v>
      </c>
      <c r="N15" s="74" t="s">
        <v>70</v>
      </c>
      <c r="O15" s="74" t="s">
        <v>70</v>
      </c>
      <c r="P15" s="182" t="s">
        <v>156</v>
      </c>
      <c r="Q15" s="55" t="s">
        <v>678</v>
      </c>
      <c r="R15" s="86" t="s">
        <v>157</v>
      </c>
      <c r="S15" s="54" t="s">
        <v>74</v>
      </c>
      <c r="T15" s="54" t="s">
        <v>74</v>
      </c>
      <c r="U15" s="86" t="s">
        <v>76</v>
      </c>
      <c r="V15" s="86" t="s">
        <v>76</v>
      </c>
      <c r="W15" s="86" t="s">
        <v>78</v>
      </c>
      <c r="X15" s="86" t="s">
        <v>78</v>
      </c>
      <c r="Y15" s="86" t="s">
        <v>78</v>
      </c>
      <c r="Z15" s="86" t="s">
        <v>78</v>
      </c>
      <c r="AA15" s="54" t="s">
        <v>79</v>
      </c>
      <c r="AB15" s="54" t="s">
        <v>79</v>
      </c>
      <c r="AC15" s="86" t="s">
        <v>78</v>
      </c>
      <c r="AD15" s="86" t="s">
        <v>78</v>
      </c>
      <c r="AE15" s="54" t="s">
        <v>80</v>
      </c>
      <c r="AF15" s="54" t="s">
        <v>81</v>
      </c>
      <c r="AG15" s="54" t="s">
        <v>82</v>
      </c>
      <c r="AH15" s="54" t="s">
        <v>83</v>
      </c>
      <c r="AI15" s="54"/>
      <c r="AJ15" s="86" t="s">
        <v>158</v>
      </c>
      <c r="AK15" s="54" t="s">
        <v>85</v>
      </c>
      <c r="AL15" s="54" t="s">
        <v>679</v>
      </c>
      <c r="AM15" s="54" t="s">
        <v>132</v>
      </c>
      <c r="AN15" s="54" t="s">
        <v>669</v>
      </c>
      <c r="AO15" s="92" t="s">
        <v>89</v>
      </c>
      <c r="AP15" s="92" t="s">
        <v>89</v>
      </c>
      <c r="AQ15" s="86" t="s">
        <v>159</v>
      </c>
      <c r="AR15" s="86" t="s">
        <v>158</v>
      </c>
      <c r="AS15" s="86" t="s">
        <v>134</v>
      </c>
      <c r="AT15" s="86" t="s">
        <v>92</v>
      </c>
      <c r="AU15" s="86" t="s">
        <v>135</v>
      </c>
      <c r="AV15" s="86" t="s">
        <v>94</v>
      </c>
      <c r="AW15" s="100" t="s">
        <v>160</v>
      </c>
      <c r="AX15" s="100" t="s">
        <v>683</v>
      </c>
      <c r="AY15" s="101"/>
    </row>
    <row r="16" s="31" customFormat="1" ht="54.75" customHeight="1" spans="1:51">
      <c r="A16" s="53" t="str">
        <f t="shared" si="0"/>
        <v>10-0</v>
      </c>
      <c r="B16" s="54">
        <v>10</v>
      </c>
      <c r="C16" s="55" t="s">
        <v>61</v>
      </c>
      <c r="D16" s="54" t="s">
        <v>161</v>
      </c>
      <c r="E16" s="56">
        <v>0</v>
      </c>
      <c r="F16" s="57" t="s">
        <v>63</v>
      </c>
      <c r="G16" s="181" t="s">
        <v>64</v>
      </c>
      <c r="H16" s="57" t="str">
        <f t="shared" si="1"/>
        <v>Hose, Fuel; Ø 7 mm × 12 mm; TSM1651G-2 </v>
      </c>
      <c r="I16" s="57" t="s">
        <v>121</v>
      </c>
      <c r="J16" s="57" t="s">
        <v>155</v>
      </c>
      <c r="K16" s="57" t="s">
        <v>123</v>
      </c>
      <c r="L16" s="55" t="s">
        <v>124</v>
      </c>
      <c r="M16" s="55" t="s">
        <v>69</v>
      </c>
      <c r="N16" s="74" t="s">
        <v>70</v>
      </c>
      <c r="O16" s="74" t="s">
        <v>70</v>
      </c>
      <c r="P16" s="182" t="s">
        <v>156</v>
      </c>
      <c r="Q16" s="55" t="s">
        <v>678</v>
      </c>
      <c r="R16" s="86" t="s">
        <v>157</v>
      </c>
      <c r="S16" s="54" t="s">
        <v>74</v>
      </c>
      <c r="T16" s="54" t="s">
        <v>74</v>
      </c>
      <c r="U16" s="86" t="s">
        <v>76</v>
      </c>
      <c r="V16" s="86" t="s">
        <v>76</v>
      </c>
      <c r="W16" s="86" t="s">
        <v>78</v>
      </c>
      <c r="X16" s="86" t="s">
        <v>78</v>
      </c>
      <c r="Y16" s="86" t="s">
        <v>78</v>
      </c>
      <c r="Z16" s="86" t="s">
        <v>78</v>
      </c>
      <c r="AA16" s="54" t="s">
        <v>79</v>
      </c>
      <c r="AB16" s="54" t="s">
        <v>79</v>
      </c>
      <c r="AC16" s="86" t="s">
        <v>78</v>
      </c>
      <c r="AD16" s="86" t="s">
        <v>78</v>
      </c>
      <c r="AE16" s="54" t="s">
        <v>80</v>
      </c>
      <c r="AF16" s="54" t="s">
        <v>81</v>
      </c>
      <c r="AG16" s="54" t="s">
        <v>82</v>
      </c>
      <c r="AH16" s="54" t="s">
        <v>83</v>
      </c>
      <c r="AI16" s="54"/>
      <c r="AJ16" s="86" t="s">
        <v>158</v>
      </c>
      <c r="AK16" s="54" t="s">
        <v>85</v>
      </c>
      <c r="AL16" s="54" t="s">
        <v>679</v>
      </c>
      <c r="AM16" s="54" t="s">
        <v>132</v>
      </c>
      <c r="AN16" s="54" t="s">
        <v>669</v>
      </c>
      <c r="AO16" s="92" t="s">
        <v>89</v>
      </c>
      <c r="AP16" s="92" t="s">
        <v>89</v>
      </c>
      <c r="AQ16" s="86" t="s">
        <v>159</v>
      </c>
      <c r="AR16" s="86" t="s">
        <v>158</v>
      </c>
      <c r="AS16" s="86" t="s">
        <v>134</v>
      </c>
      <c r="AT16" s="86" t="s">
        <v>92</v>
      </c>
      <c r="AU16" s="86" t="s">
        <v>135</v>
      </c>
      <c r="AV16" s="86" t="s">
        <v>94</v>
      </c>
      <c r="AW16" s="100" t="s">
        <v>162</v>
      </c>
      <c r="AX16" s="100" t="s">
        <v>684</v>
      </c>
      <c r="AY16" s="101"/>
    </row>
    <row r="17" s="31" customFormat="1" ht="54.75" customHeight="1" spans="1:51">
      <c r="A17" s="53" t="str">
        <f t="shared" si="0"/>
        <v>11-0</v>
      </c>
      <c r="B17" s="54">
        <v>11</v>
      </c>
      <c r="C17" s="55" t="s">
        <v>61</v>
      </c>
      <c r="D17" s="54" t="s">
        <v>163</v>
      </c>
      <c r="E17" s="56">
        <v>0</v>
      </c>
      <c r="F17" s="57" t="s">
        <v>63</v>
      </c>
      <c r="G17" s="181" t="s">
        <v>64</v>
      </c>
      <c r="H17" s="57" t="str">
        <f t="shared" si="1"/>
        <v>Hose, Fuel; Ø 7 mm × 14 mm; TSM1651G-2 </v>
      </c>
      <c r="I17" s="57" t="s">
        <v>121</v>
      </c>
      <c r="J17" s="57" t="s">
        <v>164</v>
      </c>
      <c r="K17" s="57" t="s">
        <v>123</v>
      </c>
      <c r="L17" s="55" t="s">
        <v>124</v>
      </c>
      <c r="M17" s="55" t="s">
        <v>69</v>
      </c>
      <c r="N17" s="74" t="s">
        <v>70</v>
      </c>
      <c r="O17" s="74" t="s">
        <v>70</v>
      </c>
      <c r="P17" s="182" t="s">
        <v>156</v>
      </c>
      <c r="Q17" s="55" t="s">
        <v>678</v>
      </c>
      <c r="R17" s="55" t="s">
        <v>685</v>
      </c>
      <c r="S17" s="54" t="s">
        <v>74</v>
      </c>
      <c r="T17" s="54" t="s">
        <v>74</v>
      </c>
      <c r="U17" s="86" t="s">
        <v>76</v>
      </c>
      <c r="V17" s="86" t="s">
        <v>76</v>
      </c>
      <c r="W17" s="86" t="s">
        <v>78</v>
      </c>
      <c r="X17" s="86" t="s">
        <v>78</v>
      </c>
      <c r="Y17" s="86" t="s">
        <v>78</v>
      </c>
      <c r="Z17" s="86" t="s">
        <v>78</v>
      </c>
      <c r="AA17" s="54" t="s">
        <v>79</v>
      </c>
      <c r="AB17" s="54" t="s">
        <v>79</v>
      </c>
      <c r="AC17" s="86" t="s">
        <v>78</v>
      </c>
      <c r="AD17" s="86" t="s">
        <v>78</v>
      </c>
      <c r="AE17" s="54" t="s">
        <v>80</v>
      </c>
      <c r="AF17" s="54" t="s">
        <v>81</v>
      </c>
      <c r="AG17" s="54" t="s">
        <v>82</v>
      </c>
      <c r="AH17" s="54" t="s">
        <v>83</v>
      </c>
      <c r="AI17" s="54"/>
      <c r="AJ17" s="86" t="s">
        <v>166</v>
      </c>
      <c r="AK17" s="54" t="s">
        <v>85</v>
      </c>
      <c r="AL17" s="54" t="s">
        <v>679</v>
      </c>
      <c r="AM17" s="54" t="s">
        <v>132</v>
      </c>
      <c r="AN17" s="54" t="s">
        <v>669</v>
      </c>
      <c r="AO17" s="92" t="s">
        <v>89</v>
      </c>
      <c r="AP17" s="92" t="s">
        <v>89</v>
      </c>
      <c r="AQ17" s="86" t="s">
        <v>159</v>
      </c>
      <c r="AR17" s="86" t="s">
        <v>166</v>
      </c>
      <c r="AS17" s="86" t="s">
        <v>167</v>
      </c>
      <c r="AT17" s="86" t="s">
        <v>92</v>
      </c>
      <c r="AU17" s="86" t="s">
        <v>90</v>
      </c>
      <c r="AV17" s="86" t="s">
        <v>94</v>
      </c>
      <c r="AW17" s="100" t="s">
        <v>168</v>
      </c>
      <c r="AX17" s="100" t="s">
        <v>686</v>
      </c>
      <c r="AY17" s="101"/>
    </row>
    <row r="18" s="30" customFormat="1" ht="54.75" customHeight="1" spans="1:51">
      <c r="A18" s="53" t="str">
        <f t="shared" si="0"/>
        <v>12-0</v>
      </c>
      <c r="B18" s="54">
        <v>12</v>
      </c>
      <c r="C18" s="55" t="s">
        <v>61</v>
      </c>
      <c r="D18" s="54" t="s">
        <v>169</v>
      </c>
      <c r="E18" s="56">
        <v>0</v>
      </c>
      <c r="F18" s="57" t="s">
        <v>63</v>
      </c>
      <c r="G18" s="181" t="s">
        <v>138</v>
      </c>
      <c r="H18" s="57" t="str">
        <f t="shared" si="1"/>
        <v>Hose, Fuel; Ø 7 mm × 14 mm; TSM1651G-2 </v>
      </c>
      <c r="I18" s="57" t="s">
        <v>121</v>
      </c>
      <c r="J18" s="57" t="s">
        <v>164</v>
      </c>
      <c r="K18" s="57" t="s">
        <v>123</v>
      </c>
      <c r="L18" s="55" t="s">
        <v>124</v>
      </c>
      <c r="M18" s="55" t="s">
        <v>69</v>
      </c>
      <c r="N18" s="74" t="s">
        <v>70</v>
      </c>
      <c r="O18" s="74" t="s">
        <v>70</v>
      </c>
      <c r="P18" s="182" t="s">
        <v>156</v>
      </c>
      <c r="Q18" s="55" t="s">
        <v>687</v>
      </c>
      <c r="R18" s="55" t="s">
        <v>687</v>
      </c>
      <c r="S18" s="54" t="s">
        <v>74</v>
      </c>
      <c r="T18" s="54" t="s">
        <v>74</v>
      </c>
      <c r="U18" s="86" t="s">
        <v>76</v>
      </c>
      <c r="V18" s="86" t="s">
        <v>76</v>
      </c>
      <c r="W18" s="86" t="s">
        <v>78</v>
      </c>
      <c r="X18" s="86" t="s">
        <v>78</v>
      </c>
      <c r="Y18" s="86" t="s">
        <v>78</v>
      </c>
      <c r="Z18" s="86" t="s">
        <v>78</v>
      </c>
      <c r="AA18" s="54" t="s">
        <v>79</v>
      </c>
      <c r="AB18" s="54" t="s">
        <v>79</v>
      </c>
      <c r="AC18" s="86" t="s">
        <v>78</v>
      </c>
      <c r="AD18" s="86" t="s">
        <v>78</v>
      </c>
      <c r="AE18" s="54" t="s">
        <v>80</v>
      </c>
      <c r="AF18" s="54" t="s">
        <v>81</v>
      </c>
      <c r="AG18" s="54" t="s">
        <v>82</v>
      </c>
      <c r="AH18" s="54" t="s">
        <v>83</v>
      </c>
      <c r="AI18" s="54"/>
      <c r="AJ18" s="86" t="s">
        <v>166</v>
      </c>
      <c r="AK18" s="54" t="s">
        <v>85</v>
      </c>
      <c r="AL18" s="54" t="s">
        <v>679</v>
      </c>
      <c r="AM18" s="54" t="s">
        <v>132</v>
      </c>
      <c r="AN18" s="54" t="s">
        <v>669</v>
      </c>
      <c r="AO18" s="92" t="s">
        <v>89</v>
      </c>
      <c r="AP18" s="92" t="s">
        <v>89</v>
      </c>
      <c r="AQ18" s="86" t="s">
        <v>159</v>
      </c>
      <c r="AR18" s="86" t="s">
        <v>166</v>
      </c>
      <c r="AS18" s="86" t="s">
        <v>167</v>
      </c>
      <c r="AT18" s="86">
        <v>0.1</v>
      </c>
      <c r="AU18" s="86" t="s">
        <v>90</v>
      </c>
      <c r="AV18" s="86" t="s">
        <v>94</v>
      </c>
      <c r="AW18" s="100" t="s">
        <v>171</v>
      </c>
      <c r="AX18" s="100" t="s">
        <v>688</v>
      </c>
      <c r="AY18" s="101"/>
    </row>
    <row r="19" s="31" customFormat="1" ht="54.75" customHeight="1" spans="1:51">
      <c r="A19" s="53" t="str">
        <f t="shared" si="0"/>
        <v>13-0</v>
      </c>
      <c r="B19" s="54">
        <v>13</v>
      </c>
      <c r="C19" s="55" t="s">
        <v>61</v>
      </c>
      <c r="D19" s="54" t="s">
        <v>172</v>
      </c>
      <c r="E19" s="56">
        <v>0</v>
      </c>
      <c r="F19" s="57" t="s">
        <v>141</v>
      </c>
      <c r="G19" s="181" t="s">
        <v>64</v>
      </c>
      <c r="H19" s="57" t="str">
        <f t="shared" si="1"/>
        <v>Hose, Fuel; Ø 7 mm × 14 mm; DTSM1651G-2 </v>
      </c>
      <c r="I19" s="57" t="s">
        <v>121</v>
      </c>
      <c r="J19" s="57" t="s">
        <v>164</v>
      </c>
      <c r="K19" s="57" t="s">
        <v>142</v>
      </c>
      <c r="L19" s="55" t="s">
        <v>143</v>
      </c>
      <c r="M19" s="55" t="s">
        <v>109</v>
      </c>
      <c r="N19" s="74" t="s">
        <v>70</v>
      </c>
      <c r="O19" s="74" t="s">
        <v>70</v>
      </c>
      <c r="P19" s="182" t="s">
        <v>156</v>
      </c>
      <c r="Q19" s="55" t="s">
        <v>689</v>
      </c>
      <c r="R19" s="55" t="s">
        <v>687</v>
      </c>
      <c r="S19" s="54" t="s">
        <v>74</v>
      </c>
      <c r="T19" s="54" t="s">
        <v>74</v>
      </c>
      <c r="U19" s="86" t="s">
        <v>111</v>
      </c>
      <c r="V19" s="86" t="s">
        <v>111</v>
      </c>
      <c r="W19" s="86" t="s">
        <v>76</v>
      </c>
      <c r="X19" s="86" t="s">
        <v>76</v>
      </c>
      <c r="Y19" s="86" t="s">
        <v>76</v>
      </c>
      <c r="Z19" s="86" t="s">
        <v>76</v>
      </c>
      <c r="AA19" s="55" t="s">
        <v>79</v>
      </c>
      <c r="AB19" s="55" t="s">
        <v>79</v>
      </c>
      <c r="AC19" s="86" t="s">
        <v>76</v>
      </c>
      <c r="AD19" s="86" t="s">
        <v>76</v>
      </c>
      <c r="AE19" s="54" t="s">
        <v>174</v>
      </c>
      <c r="AF19" s="54" t="s">
        <v>175</v>
      </c>
      <c r="AG19" s="54" t="s">
        <v>176</v>
      </c>
      <c r="AH19" s="54" t="s">
        <v>177</v>
      </c>
      <c r="AI19" s="54"/>
      <c r="AJ19" s="86" t="s">
        <v>166</v>
      </c>
      <c r="AK19" s="54" t="s">
        <v>85</v>
      </c>
      <c r="AL19" s="54" t="s">
        <v>679</v>
      </c>
      <c r="AM19" s="54" t="s">
        <v>132</v>
      </c>
      <c r="AN19" s="54" t="s">
        <v>669</v>
      </c>
      <c r="AO19" s="92" t="s">
        <v>89</v>
      </c>
      <c r="AP19" s="92" t="s">
        <v>89</v>
      </c>
      <c r="AQ19" s="86" t="s">
        <v>159</v>
      </c>
      <c r="AR19" s="86" t="s">
        <v>178</v>
      </c>
      <c r="AS19" s="86" t="s">
        <v>179</v>
      </c>
      <c r="AT19" s="86" t="s">
        <v>94</v>
      </c>
      <c r="AU19" s="86" t="s">
        <v>90</v>
      </c>
      <c r="AV19" s="86" t="s">
        <v>94</v>
      </c>
      <c r="AW19" s="100" t="s">
        <v>180</v>
      </c>
      <c r="AX19" s="100" t="s">
        <v>690</v>
      </c>
      <c r="AY19" s="101"/>
    </row>
    <row r="20" s="31" customFormat="1" ht="54.75" customHeight="1" spans="1:51">
      <c r="A20" s="53" t="str">
        <f t="shared" si="0"/>
        <v>14-0</v>
      </c>
      <c r="B20" s="54">
        <v>14</v>
      </c>
      <c r="C20" s="55" t="s">
        <v>100</v>
      </c>
      <c r="D20" s="54" t="s">
        <v>181</v>
      </c>
      <c r="E20" s="56">
        <v>0</v>
      </c>
      <c r="F20" s="57" t="s">
        <v>141</v>
      </c>
      <c r="G20" s="181" t="s">
        <v>64</v>
      </c>
      <c r="H20" s="57" t="str">
        <f t="shared" si="1"/>
        <v>Hose, Reservoir; Ø 8.5 mm × 16.6 mm; DTSM1650G-1 </v>
      </c>
      <c r="I20" s="75" t="s">
        <v>182</v>
      </c>
      <c r="J20" s="57" t="s">
        <v>183</v>
      </c>
      <c r="K20" s="75" t="s">
        <v>184</v>
      </c>
      <c r="L20" s="55" t="s">
        <v>185</v>
      </c>
      <c r="M20" s="55" t="s">
        <v>79</v>
      </c>
      <c r="N20" s="74" t="s">
        <v>70</v>
      </c>
      <c r="O20" s="74" t="s">
        <v>79</v>
      </c>
      <c r="P20" s="182" t="s">
        <v>186</v>
      </c>
      <c r="Q20" s="55" t="s">
        <v>79</v>
      </c>
      <c r="R20" s="55" t="s">
        <v>691</v>
      </c>
      <c r="S20" s="54" t="s">
        <v>74</v>
      </c>
      <c r="T20" s="54" t="s">
        <v>79</v>
      </c>
      <c r="U20" s="86" t="s">
        <v>111</v>
      </c>
      <c r="V20" s="54" t="s">
        <v>79</v>
      </c>
      <c r="W20" s="86" t="s">
        <v>78</v>
      </c>
      <c r="X20" s="54" t="s">
        <v>79</v>
      </c>
      <c r="Y20" s="86" t="s">
        <v>78</v>
      </c>
      <c r="Z20" s="54" t="s">
        <v>79</v>
      </c>
      <c r="AA20" s="54" t="s">
        <v>79</v>
      </c>
      <c r="AB20" s="54" t="s">
        <v>79</v>
      </c>
      <c r="AC20" s="86" t="s">
        <v>78</v>
      </c>
      <c r="AD20" s="54" t="s">
        <v>79</v>
      </c>
      <c r="AE20" s="54" t="s">
        <v>188</v>
      </c>
      <c r="AF20" s="54" t="s">
        <v>79</v>
      </c>
      <c r="AG20" s="54" t="s">
        <v>189</v>
      </c>
      <c r="AH20" s="54" t="s">
        <v>79</v>
      </c>
      <c r="AI20" s="54"/>
      <c r="AJ20" s="86" t="s">
        <v>190</v>
      </c>
      <c r="AK20" s="54" t="s">
        <v>79</v>
      </c>
      <c r="AL20" s="54" t="s">
        <v>79</v>
      </c>
      <c r="AM20" s="54" t="s">
        <v>79</v>
      </c>
      <c r="AN20" s="54" t="s">
        <v>669</v>
      </c>
      <c r="AO20" s="92" t="s">
        <v>89</v>
      </c>
      <c r="AP20" s="92" t="s">
        <v>89</v>
      </c>
      <c r="AQ20" s="86" t="s">
        <v>191</v>
      </c>
      <c r="AR20" s="86" t="s">
        <v>192</v>
      </c>
      <c r="AS20" s="54" t="s">
        <v>79</v>
      </c>
      <c r="AT20" s="54" t="s">
        <v>79</v>
      </c>
      <c r="AU20" s="86" t="s">
        <v>193</v>
      </c>
      <c r="AV20" s="86" t="s">
        <v>94</v>
      </c>
      <c r="AW20" s="100" t="s">
        <v>194</v>
      </c>
      <c r="AX20" s="100" t="s">
        <v>692</v>
      </c>
      <c r="AY20" s="101"/>
    </row>
    <row r="21" s="31" customFormat="1" ht="54.75" customHeight="1" spans="1:51">
      <c r="A21" s="53" t="str">
        <f t="shared" si="0"/>
        <v>15-0</v>
      </c>
      <c r="B21" s="54">
        <v>15</v>
      </c>
      <c r="C21" s="55" t="s">
        <v>100</v>
      </c>
      <c r="D21" s="54" t="s">
        <v>195</v>
      </c>
      <c r="E21" s="56">
        <v>0</v>
      </c>
      <c r="F21" s="57" t="s">
        <v>63</v>
      </c>
      <c r="G21" s="181" t="s">
        <v>64</v>
      </c>
      <c r="H21" s="57" t="str">
        <f t="shared" si="1"/>
        <v>Hose, Clutch; Ø 8.5 mm × 17 mm; TSM1650G-1 </v>
      </c>
      <c r="I21" s="75" t="s">
        <v>196</v>
      </c>
      <c r="J21" s="57" t="s">
        <v>197</v>
      </c>
      <c r="K21" s="75" t="s">
        <v>198</v>
      </c>
      <c r="L21" s="55" t="s">
        <v>185</v>
      </c>
      <c r="M21" s="55" t="s">
        <v>79</v>
      </c>
      <c r="N21" s="74" t="s">
        <v>70</v>
      </c>
      <c r="O21" s="74" t="s">
        <v>79</v>
      </c>
      <c r="P21" s="182" t="s">
        <v>186</v>
      </c>
      <c r="Q21" s="55" t="s">
        <v>79</v>
      </c>
      <c r="R21" s="55" t="s">
        <v>693</v>
      </c>
      <c r="S21" s="54" t="s">
        <v>74</v>
      </c>
      <c r="T21" s="54" t="s">
        <v>79</v>
      </c>
      <c r="U21" s="86" t="s">
        <v>146</v>
      </c>
      <c r="V21" s="54" t="s">
        <v>79</v>
      </c>
      <c r="W21" s="86" t="s">
        <v>111</v>
      </c>
      <c r="X21" s="54" t="s">
        <v>79</v>
      </c>
      <c r="Y21" s="86" t="s">
        <v>111</v>
      </c>
      <c r="Z21" s="54" t="s">
        <v>79</v>
      </c>
      <c r="AA21" s="54" t="s">
        <v>79</v>
      </c>
      <c r="AB21" s="54" t="s">
        <v>79</v>
      </c>
      <c r="AC21" s="86" t="s">
        <v>111</v>
      </c>
      <c r="AD21" s="54" t="s">
        <v>79</v>
      </c>
      <c r="AE21" s="54" t="s">
        <v>200</v>
      </c>
      <c r="AF21" s="54" t="s">
        <v>79</v>
      </c>
      <c r="AG21" s="54" t="s">
        <v>201</v>
      </c>
      <c r="AH21" s="54" t="s">
        <v>79</v>
      </c>
      <c r="AI21" s="54"/>
      <c r="AJ21" s="86" t="s">
        <v>202</v>
      </c>
      <c r="AK21" s="54" t="s">
        <v>79</v>
      </c>
      <c r="AL21" s="54" t="s">
        <v>79</v>
      </c>
      <c r="AM21" s="54" t="s">
        <v>79</v>
      </c>
      <c r="AN21" s="54" t="s">
        <v>669</v>
      </c>
      <c r="AO21" s="92" t="s">
        <v>89</v>
      </c>
      <c r="AP21" s="92" t="s">
        <v>89</v>
      </c>
      <c r="AQ21" s="86" t="s">
        <v>203</v>
      </c>
      <c r="AR21" s="86" t="s">
        <v>202</v>
      </c>
      <c r="AS21" s="54" t="s">
        <v>79</v>
      </c>
      <c r="AT21" s="54" t="s">
        <v>79</v>
      </c>
      <c r="AU21" s="86" t="s">
        <v>204</v>
      </c>
      <c r="AV21" s="86" t="s">
        <v>94</v>
      </c>
      <c r="AW21" s="100" t="s">
        <v>205</v>
      </c>
      <c r="AX21" s="100" t="s">
        <v>694</v>
      </c>
      <c r="AY21" s="101"/>
    </row>
    <row r="22" s="31" customFormat="1" ht="54.75" customHeight="1" spans="1:51">
      <c r="A22" s="53" t="str">
        <f t="shared" si="0"/>
        <v>16-0</v>
      </c>
      <c r="B22" s="54">
        <v>16</v>
      </c>
      <c r="C22" s="55" t="s">
        <v>61</v>
      </c>
      <c r="D22" s="54" t="s">
        <v>206</v>
      </c>
      <c r="E22" s="56">
        <v>0</v>
      </c>
      <c r="F22" s="57" t="s">
        <v>141</v>
      </c>
      <c r="G22" s="181" t="s">
        <v>64</v>
      </c>
      <c r="H22" s="57" t="str">
        <f t="shared" si="1"/>
        <v>Hose, Ventilation; Ø 9 mm × 17 mm; DTSM1670G-1 </v>
      </c>
      <c r="I22" s="57" t="s">
        <v>207</v>
      </c>
      <c r="J22" s="57" t="s">
        <v>208</v>
      </c>
      <c r="K22" s="57" t="s">
        <v>209</v>
      </c>
      <c r="L22" s="55" t="s">
        <v>210</v>
      </c>
      <c r="M22" s="55" t="s">
        <v>69</v>
      </c>
      <c r="N22" s="74" t="s">
        <v>70</v>
      </c>
      <c r="O22" s="74" t="s">
        <v>70</v>
      </c>
      <c r="P22" s="182" t="s">
        <v>186</v>
      </c>
      <c r="Q22" s="55" t="s">
        <v>695</v>
      </c>
      <c r="R22" s="55" t="s">
        <v>696</v>
      </c>
      <c r="S22" s="54" t="s">
        <v>74</v>
      </c>
      <c r="T22" s="54" t="s">
        <v>74</v>
      </c>
      <c r="U22" s="86" t="s">
        <v>111</v>
      </c>
      <c r="V22" s="86" t="s">
        <v>111</v>
      </c>
      <c r="W22" s="86" t="s">
        <v>78</v>
      </c>
      <c r="X22" s="86" t="s">
        <v>78</v>
      </c>
      <c r="Y22" s="86" t="s">
        <v>78</v>
      </c>
      <c r="Z22" s="86" t="s">
        <v>78</v>
      </c>
      <c r="AA22" s="54" t="s">
        <v>79</v>
      </c>
      <c r="AB22" s="54" t="s">
        <v>79</v>
      </c>
      <c r="AC22" s="86" t="s">
        <v>78</v>
      </c>
      <c r="AD22" s="86" t="s">
        <v>78</v>
      </c>
      <c r="AE22" s="54" t="s">
        <v>213</v>
      </c>
      <c r="AF22" s="54" t="s">
        <v>214</v>
      </c>
      <c r="AG22" s="54" t="s">
        <v>215</v>
      </c>
      <c r="AH22" s="54" t="s">
        <v>216</v>
      </c>
      <c r="AI22" s="54"/>
      <c r="AJ22" s="86" t="s">
        <v>217</v>
      </c>
      <c r="AK22" s="54" t="s">
        <v>85</v>
      </c>
      <c r="AL22" s="54" t="s">
        <v>679</v>
      </c>
      <c r="AM22" s="54" t="s">
        <v>132</v>
      </c>
      <c r="AN22" s="54" t="s">
        <v>669</v>
      </c>
      <c r="AO22" s="92" t="s">
        <v>89</v>
      </c>
      <c r="AP22" s="92" t="s">
        <v>89</v>
      </c>
      <c r="AQ22" s="86" t="s">
        <v>218</v>
      </c>
      <c r="AR22" s="86" t="s">
        <v>219</v>
      </c>
      <c r="AS22" s="86" t="s">
        <v>193</v>
      </c>
      <c r="AT22" s="86" t="s">
        <v>94</v>
      </c>
      <c r="AU22" s="86" t="s">
        <v>220</v>
      </c>
      <c r="AV22" s="86" t="s">
        <v>94</v>
      </c>
      <c r="AW22" s="100" t="s">
        <v>221</v>
      </c>
      <c r="AX22" s="100" t="s">
        <v>697</v>
      </c>
      <c r="AY22" s="101"/>
    </row>
    <row r="23" s="31" customFormat="1" ht="54.75" customHeight="1" spans="1:51">
      <c r="A23" s="53" t="str">
        <f t="shared" si="0"/>
        <v>17-0</v>
      </c>
      <c r="B23" s="54">
        <v>17</v>
      </c>
      <c r="C23" s="55" t="s">
        <v>61</v>
      </c>
      <c r="D23" s="54" t="s">
        <v>222</v>
      </c>
      <c r="E23" s="56">
        <v>0</v>
      </c>
      <c r="F23" s="57" t="s">
        <v>63</v>
      </c>
      <c r="G23" s="181" t="s">
        <v>64</v>
      </c>
      <c r="H23" s="57" t="str">
        <f t="shared" si="1"/>
        <v>Hose, Ventilation; Ø 9 mm × 17 mm; TSM1671G-1A </v>
      </c>
      <c r="I23" s="57" t="s">
        <v>207</v>
      </c>
      <c r="J23" s="57" t="s">
        <v>208</v>
      </c>
      <c r="K23" s="57" t="s">
        <v>223</v>
      </c>
      <c r="L23" s="55" t="s">
        <v>210</v>
      </c>
      <c r="M23" s="55" t="s">
        <v>69</v>
      </c>
      <c r="N23" s="74" t="s">
        <v>70</v>
      </c>
      <c r="O23" s="74" t="s">
        <v>70</v>
      </c>
      <c r="P23" s="182" t="s">
        <v>186</v>
      </c>
      <c r="Q23" s="55" t="s">
        <v>695</v>
      </c>
      <c r="R23" s="55" t="s">
        <v>685</v>
      </c>
      <c r="S23" s="54" t="s">
        <v>74</v>
      </c>
      <c r="T23" s="54" t="s">
        <v>74</v>
      </c>
      <c r="U23" s="86" t="s">
        <v>111</v>
      </c>
      <c r="V23" s="86" t="s">
        <v>111</v>
      </c>
      <c r="W23" s="86" t="s">
        <v>78</v>
      </c>
      <c r="X23" s="86" t="s">
        <v>78</v>
      </c>
      <c r="Y23" s="86" t="s">
        <v>78</v>
      </c>
      <c r="Z23" s="86" t="s">
        <v>78</v>
      </c>
      <c r="AA23" s="54" t="s">
        <v>79</v>
      </c>
      <c r="AB23" s="54" t="s">
        <v>79</v>
      </c>
      <c r="AC23" s="86" t="s">
        <v>78</v>
      </c>
      <c r="AD23" s="86" t="s">
        <v>78</v>
      </c>
      <c r="AE23" s="54" t="s">
        <v>698</v>
      </c>
      <c r="AF23" s="54" t="s">
        <v>116</v>
      </c>
      <c r="AG23" s="54" t="s">
        <v>201</v>
      </c>
      <c r="AH23" s="54" t="s">
        <v>201</v>
      </c>
      <c r="AI23" s="54"/>
      <c r="AJ23" s="86" t="s">
        <v>234</v>
      </c>
      <c r="AK23" s="54" t="s">
        <v>85</v>
      </c>
      <c r="AL23" s="54" t="s">
        <v>679</v>
      </c>
      <c r="AM23" s="54" t="s">
        <v>132</v>
      </c>
      <c r="AN23" s="54" t="s">
        <v>669</v>
      </c>
      <c r="AO23" s="92" t="s">
        <v>89</v>
      </c>
      <c r="AP23" s="92" t="s">
        <v>89</v>
      </c>
      <c r="AQ23" s="86" t="s">
        <v>218</v>
      </c>
      <c r="AR23" s="86" t="s">
        <v>234</v>
      </c>
      <c r="AS23" s="86" t="s">
        <v>235</v>
      </c>
      <c r="AT23" s="86" t="s">
        <v>94</v>
      </c>
      <c r="AU23" s="86" t="s">
        <v>193</v>
      </c>
      <c r="AV23" s="86" t="s">
        <v>94</v>
      </c>
      <c r="AW23" s="100" t="s">
        <v>236</v>
      </c>
      <c r="AX23" s="100" t="s">
        <v>699</v>
      </c>
      <c r="AY23" s="101"/>
    </row>
    <row r="24" s="31" customFormat="1" ht="54.75" customHeight="1" spans="1:51">
      <c r="A24" s="53" t="str">
        <f t="shared" si="0"/>
        <v>18-0</v>
      </c>
      <c r="B24" s="54">
        <v>18</v>
      </c>
      <c r="C24" s="55" t="s">
        <v>100</v>
      </c>
      <c r="D24" s="54" t="s">
        <v>238</v>
      </c>
      <c r="E24" s="56">
        <v>0</v>
      </c>
      <c r="F24" s="57" t="s">
        <v>141</v>
      </c>
      <c r="G24" s="181" t="s">
        <v>239</v>
      </c>
      <c r="H24" s="57" t="str">
        <f t="shared" si="1"/>
        <v>Hose, Fuel Tank; Ø 13.5 mm × 21.5 mm; DTSM1647G-1C </v>
      </c>
      <c r="I24" s="57" t="s">
        <v>240</v>
      </c>
      <c r="J24" s="57" t="s">
        <v>241</v>
      </c>
      <c r="K24" s="57" t="s">
        <v>242</v>
      </c>
      <c r="L24" s="55" t="s">
        <v>243</v>
      </c>
      <c r="M24" s="55" t="s">
        <v>79</v>
      </c>
      <c r="N24" s="74" t="s">
        <v>70</v>
      </c>
      <c r="O24" s="74" t="s">
        <v>70</v>
      </c>
      <c r="P24" s="182" t="s">
        <v>244</v>
      </c>
      <c r="Q24" s="55" t="s">
        <v>79</v>
      </c>
      <c r="R24" s="86" t="s">
        <v>245</v>
      </c>
      <c r="S24" s="54" t="s">
        <v>74</v>
      </c>
      <c r="T24" s="54" t="s">
        <v>79</v>
      </c>
      <c r="U24" s="86" t="s">
        <v>111</v>
      </c>
      <c r="V24" s="86" t="s">
        <v>79</v>
      </c>
      <c r="W24" s="86" t="s">
        <v>78</v>
      </c>
      <c r="X24" s="86" t="s">
        <v>79</v>
      </c>
      <c r="Y24" s="86" t="s">
        <v>78</v>
      </c>
      <c r="Z24" s="86" t="s">
        <v>79</v>
      </c>
      <c r="AA24" s="54" t="s">
        <v>79</v>
      </c>
      <c r="AB24" s="54" t="s">
        <v>79</v>
      </c>
      <c r="AC24" s="86" t="s">
        <v>78</v>
      </c>
      <c r="AD24" s="86" t="s">
        <v>79</v>
      </c>
      <c r="AE24" s="54" t="s">
        <v>246</v>
      </c>
      <c r="AF24" s="54" t="s">
        <v>79</v>
      </c>
      <c r="AG24" s="54" t="s">
        <v>247</v>
      </c>
      <c r="AH24" s="54" t="s">
        <v>79</v>
      </c>
      <c r="AI24" s="54"/>
      <c r="AJ24" s="86" t="s">
        <v>248</v>
      </c>
      <c r="AK24" s="54" t="s">
        <v>85</v>
      </c>
      <c r="AL24" s="54" t="s">
        <v>249</v>
      </c>
      <c r="AM24" s="54" t="s">
        <v>250</v>
      </c>
      <c r="AN24" s="54" t="s">
        <v>669</v>
      </c>
      <c r="AO24" s="92" t="s">
        <v>251</v>
      </c>
      <c r="AP24" s="92" t="s">
        <v>252</v>
      </c>
      <c r="AQ24" s="86" t="s">
        <v>253</v>
      </c>
      <c r="AR24" s="86" t="s">
        <v>254</v>
      </c>
      <c r="AS24" s="54" t="s">
        <v>79</v>
      </c>
      <c r="AT24" s="54" t="s">
        <v>79</v>
      </c>
      <c r="AU24" s="86" t="s">
        <v>255</v>
      </c>
      <c r="AV24" s="86" t="s">
        <v>94</v>
      </c>
      <c r="AW24" s="100" t="s">
        <v>256</v>
      </c>
      <c r="AX24" s="100" t="s">
        <v>700</v>
      </c>
      <c r="AY24" s="101"/>
    </row>
    <row r="25" s="32" customFormat="1" ht="54.75" customHeight="1" spans="1:51">
      <c r="A25" s="53" t="str">
        <f t="shared" si="0"/>
        <v>19-0</v>
      </c>
      <c r="B25" s="54">
        <v>19</v>
      </c>
      <c r="C25" s="55" t="s">
        <v>100</v>
      </c>
      <c r="D25" s="54" t="s">
        <v>257</v>
      </c>
      <c r="E25" s="56">
        <v>0</v>
      </c>
      <c r="F25" s="57" t="s">
        <v>141</v>
      </c>
      <c r="G25" s="181" t="s">
        <v>239</v>
      </c>
      <c r="H25" s="57" t="str">
        <f t="shared" si="1"/>
        <v>EPDM Solid; Ø 15 mm × 19 mm; DTSM1500G-N708 </v>
      </c>
      <c r="I25" s="57" t="s">
        <v>258</v>
      </c>
      <c r="J25" s="57" t="s">
        <v>259</v>
      </c>
      <c r="K25" s="57" t="s">
        <v>260</v>
      </c>
      <c r="L25" s="55" t="s">
        <v>261</v>
      </c>
      <c r="M25" s="55" t="s">
        <v>79</v>
      </c>
      <c r="N25" s="74" t="s">
        <v>70</v>
      </c>
      <c r="O25" s="74" t="s">
        <v>70</v>
      </c>
      <c r="P25" s="182" t="s">
        <v>262</v>
      </c>
      <c r="Q25" s="55" t="s">
        <v>79</v>
      </c>
      <c r="R25" s="55" t="s">
        <v>701</v>
      </c>
      <c r="S25" s="54" t="s">
        <v>74</v>
      </c>
      <c r="T25" s="54" t="s">
        <v>79</v>
      </c>
      <c r="U25" s="86" t="s">
        <v>76</v>
      </c>
      <c r="V25" s="86" t="s">
        <v>79</v>
      </c>
      <c r="W25" s="86" t="s">
        <v>264</v>
      </c>
      <c r="X25" s="86" t="s">
        <v>79</v>
      </c>
      <c r="Y25" s="86" t="s">
        <v>264</v>
      </c>
      <c r="Z25" s="86" t="s">
        <v>79</v>
      </c>
      <c r="AA25" s="54" t="s">
        <v>79</v>
      </c>
      <c r="AB25" s="54" t="s">
        <v>79</v>
      </c>
      <c r="AC25" s="86" t="s">
        <v>264</v>
      </c>
      <c r="AD25" s="86" t="s">
        <v>79</v>
      </c>
      <c r="AE25" s="54" t="s">
        <v>265</v>
      </c>
      <c r="AF25" s="54" t="s">
        <v>79</v>
      </c>
      <c r="AG25" s="54" t="s">
        <v>266</v>
      </c>
      <c r="AH25" s="54" t="s">
        <v>79</v>
      </c>
      <c r="AI25" s="54"/>
      <c r="AJ25" s="86" t="s">
        <v>267</v>
      </c>
      <c r="AK25" s="54" t="s">
        <v>79</v>
      </c>
      <c r="AL25" s="54" t="s">
        <v>79</v>
      </c>
      <c r="AM25" s="54" t="s">
        <v>79</v>
      </c>
      <c r="AN25" s="54" t="s">
        <v>669</v>
      </c>
      <c r="AO25" s="92" t="s">
        <v>89</v>
      </c>
      <c r="AP25" s="92" t="s">
        <v>89</v>
      </c>
      <c r="AQ25" s="86" t="s">
        <v>268</v>
      </c>
      <c r="AR25" s="86" t="s">
        <v>269</v>
      </c>
      <c r="AS25" s="54" t="s">
        <v>79</v>
      </c>
      <c r="AT25" s="54" t="s">
        <v>79</v>
      </c>
      <c r="AU25" s="86" t="s">
        <v>118</v>
      </c>
      <c r="AV25" s="86" t="s">
        <v>94</v>
      </c>
      <c r="AW25" s="100" t="s">
        <v>270</v>
      </c>
      <c r="AX25" s="100" t="s">
        <v>702</v>
      </c>
      <c r="AY25" s="101"/>
    </row>
    <row r="26" s="32" customFormat="1" ht="54.75" customHeight="1" spans="1:51">
      <c r="A26" s="53" t="str">
        <f t="shared" si="0"/>
        <v>20-0</v>
      </c>
      <c r="B26" s="54">
        <v>20</v>
      </c>
      <c r="C26" s="55" t="s">
        <v>100</v>
      </c>
      <c r="D26" s="54" t="s">
        <v>271</v>
      </c>
      <c r="E26" s="56">
        <v>0</v>
      </c>
      <c r="F26" s="57" t="s">
        <v>63</v>
      </c>
      <c r="G26" s="181" t="s">
        <v>239</v>
      </c>
      <c r="H26" s="57" t="str">
        <f t="shared" si="1"/>
        <v>EPDM Solid; Ø 15.5 mm × 19.5 mm; TSM1500G-N708 </v>
      </c>
      <c r="I26" s="57" t="s">
        <v>258</v>
      </c>
      <c r="J26" s="57" t="s">
        <v>272</v>
      </c>
      <c r="K26" s="57" t="s">
        <v>273</v>
      </c>
      <c r="L26" s="55" t="s">
        <v>261</v>
      </c>
      <c r="M26" s="55" t="s">
        <v>79</v>
      </c>
      <c r="N26" s="74" t="s">
        <v>70</v>
      </c>
      <c r="O26" s="74" t="s">
        <v>79</v>
      </c>
      <c r="P26" s="182" t="s">
        <v>262</v>
      </c>
      <c r="Q26" s="55" t="s">
        <v>79</v>
      </c>
      <c r="R26" s="55" t="s">
        <v>703</v>
      </c>
      <c r="S26" s="54" t="s">
        <v>74</v>
      </c>
      <c r="T26" s="54" t="s">
        <v>79</v>
      </c>
      <c r="U26" s="86" t="s">
        <v>76</v>
      </c>
      <c r="V26" s="86" t="s">
        <v>79</v>
      </c>
      <c r="W26" s="86" t="s">
        <v>264</v>
      </c>
      <c r="X26" s="86" t="s">
        <v>79</v>
      </c>
      <c r="Y26" s="86" t="s">
        <v>264</v>
      </c>
      <c r="Z26" s="86" t="s">
        <v>79</v>
      </c>
      <c r="AA26" s="54" t="s">
        <v>79</v>
      </c>
      <c r="AB26" s="54" t="s">
        <v>79</v>
      </c>
      <c r="AC26" s="86" t="s">
        <v>264</v>
      </c>
      <c r="AD26" s="86" t="s">
        <v>79</v>
      </c>
      <c r="AE26" s="54" t="s">
        <v>265</v>
      </c>
      <c r="AF26" s="54" t="s">
        <v>79</v>
      </c>
      <c r="AG26" s="54" t="s">
        <v>266</v>
      </c>
      <c r="AH26" s="54" t="s">
        <v>79</v>
      </c>
      <c r="AI26" s="54"/>
      <c r="AJ26" s="86" t="s">
        <v>275</v>
      </c>
      <c r="AK26" s="54" t="s">
        <v>79</v>
      </c>
      <c r="AL26" s="54" t="s">
        <v>79</v>
      </c>
      <c r="AM26" s="54" t="s">
        <v>79</v>
      </c>
      <c r="AN26" s="54" t="s">
        <v>669</v>
      </c>
      <c r="AO26" s="92" t="s">
        <v>89</v>
      </c>
      <c r="AP26" s="92" t="s">
        <v>89</v>
      </c>
      <c r="AQ26" s="86" t="s">
        <v>276</v>
      </c>
      <c r="AR26" s="86" t="s">
        <v>277</v>
      </c>
      <c r="AS26" s="54" t="s">
        <v>79</v>
      </c>
      <c r="AT26" s="54" t="s">
        <v>79</v>
      </c>
      <c r="AU26" s="86" t="s">
        <v>118</v>
      </c>
      <c r="AV26" s="86" t="s">
        <v>94</v>
      </c>
      <c r="AW26" s="100" t="s">
        <v>278</v>
      </c>
      <c r="AX26" s="100" t="s">
        <v>704</v>
      </c>
      <c r="AY26" s="101"/>
    </row>
    <row r="27" s="31" customFormat="1" ht="54.75" customHeight="1" spans="1:51">
      <c r="A27" s="53" t="str">
        <f t="shared" si="0"/>
        <v>21-0</v>
      </c>
      <c r="B27" s="54">
        <v>21</v>
      </c>
      <c r="C27" s="55" t="s">
        <v>61</v>
      </c>
      <c r="D27" s="54" t="s">
        <v>279</v>
      </c>
      <c r="E27" s="56">
        <v>0</v>
      </c>
      <c r="F27" s="57" t="s">
        <v>63</v>
      </c>
      <c r="G27" s="181" t="s">
        <v>64</v>
      </c>
      <c r="H27" s="57" t="str">
        <f t="shared" si="1"/>
        <v>Hose, Ventilation; Ø 15 mm × 22 mm; TSM1670G-1B </v>
      </c>
      <c r="I27" s="57" t="s">
        <v>207</v>
      </c>
      <c r="J27" s="57" t="s">
        <v>280</v>
      </c>
      <c r="K27" s="57" t="s">
        <v>281</v>
      </c>
      <c r="L27" s="55" t="s">
        <v>210</v>
      </c>
      <c r="M27" s="55" t="s">
        <v>69</v>
      </c>
      <c r="N27" s="74" t="s">
        <v>70</v>
      </c>
      <c r="O27" s="74" t="s">
        <v>70</v>
      </c>
      <c r="P27" s="182" t="s">
        <v>244</v>
      </c>
      <c r="Q27" s="86" t="s">
        <v>282</v>
      </c>
      <c r="R27" s="86" t="s">
        <v>283</v>
      </c>
      <c r="S27" s="54" t="s">
        <v>74</v>
      </c>
      <c r="T27" s="54" t="s">
        <v>74</v>
      </c>
      <c r="U27" s="86" t="s">
        <v>76</v>
      </c>
      <c r="V27" s="86" t="s">
        <v>76</v>
      </c>
      <c r="W27" s="86" t="s">
        <v>264</v>
      </c>
      <c r="X27" s="86" t="s">
        <v>264</v>
      </c>
      <c r="Y27" s="86" t="s">
        <v>264</v>
      </c>
      <c r="Z27" s="86" t="s">
        <v>264</v>
      </c>
      <c r="AA27" s="54" t="s">
        <v>79</v>
      </c>
      <c r="AB27" s="54" t="s">
        <v>79</v>
      </c>
      <c r="AC27" s="86" t="s">
        <v>264</v>
      </c>
      <c r="AD27" s="86" t="s">
        <v>264</v>
      </c>
      <c r="AE27" s="54" t="s">
        <v>265</v>
      </c>
      <c r="AF27" s="54" t="s">
        <v>284</v>
      </c>
      <c r="AG27" s="54" t="s">
        <v>285</v>
      </c>
      <c r="AH27" s="54" t="s">
        <v>286</v>
      </c>
      <c r="AI27" s="54"/>
      <c r="AJ27" s="86" t="s">
        <v>287</v>
      </c>
      <c r="AK27" s="54" t="s">
        <v>85</v>
      </c>
      <c r="AL27" s="54" t="s">
        <v>679</v>
      </c>
      <c r="AM27" s="54" t="s">
        <v>132</v>
      </c>
      <c r="AN27" s="54" t="s">
        <v>669</v>
      </c>
      <c r="AO27" s="92" t="s">
        <v>89</v>
      </c>
      <c r="AP27" s="92" t="s">
        <v>89</v>
      </c>
      <c r="AQ27" s="86" t="s">
        <v>166</v>
      </c>
      <c r="AR27" s="86" t="s">
        <v>288</v>
      </c>
      <c r="AS27" s="86" t="s">
        <v>179</v>
      </c>
      <c r="AT27" s="86" t="s">
        <v>92</v>
      </c>
      <c r="AU27" s="86" t="s">
        <v>289</v>
      </c>
      <c r="AV27" s="86" t="s">
        <v>94</v>
      </c>
      <c r="AW27" s="100" t="s">
        <v>290</v>
      </c>
      <c r="AX27" s="100" t="s">
        <v>705</v>
      </c>
      <c r="AY27" s="101"/>
    </row>
    <row r="28" s="31" customFormat="1" ht="54.75" customHeight="1" spans="1:51">
      <c r="A28" s="53" t="str">
        <f t="shared" si="0"/>
        <v>22-0</v>
      </c>
      <c r="B28" s="54">
        <v>22</v>
      </c>
      <c r="C28" s="55" t="s">
        <v>61</v>
      </c>
      <c r="D28" s="54" t="s">
        <v>291</v>
      </c>
      <c r="E28" s="56">
        <v>0</v>
      </c>
      <c r="F28" s="57" t="s">
        <v>141</v>
      </c>
      <c r="G28" s="181" t="s">
        <v>64</v>
      </c>
      <c r="H28" s="57" t="str">
        <f t="shared" si="1"/>
        <v>Hose, Ventilation; Ø 15 mm × 22 mm; DTSM1670G-1 </v>
      </c>
      <c r="I28" s="57" t="s">
        <v>207</v>
      </c>
      <c r="J28" s="57" t="s">
        <v>280</v>
      </c>
      <c r="K28" s="57" t="s">
        <v>209</v>
      </c>
      <c r="L28" s="55" t="s">
        <v>210</v>
      </c>
      <c r="M28" s="55" t="s">
        <v>69</v>
      </c>
      <c r="N28" s="74" t="s">
        <v>70</v>
      </c>
      <c r="O28" s="74" t="s">
        <v>70</v>
      </c>
      <c r="P28" s="182" t="s">
        <v>244</v>
      </c>
      <c r="Q28" s="86" t="s">
        <v>282</v>
      </c>
      <c r="R28" s="86" t="s">
        <v>283</v>
      </c>
      <c r="S28" s="54" t="s">
        <v>74</v>
      </c>
      <c r="T28" s="54" t="s">
        <v>74</v>
      </c>
      <c r="U28" s="86" t="s">
        <v>76</v>
      </c>
      <c r="V28" s="86" t="s">
        <v>76</v>
      </c>
      <c r="W28" s="86" t="s">
        <v>264</v>
      </c>
      <c r="X28" s="86" t="s">
        <v>264</v>
      </c>
      <c r="Y28" s="86" t="s">
        <v>264</v>
      </c>
      <c r="Z28" s="86" t="s">
        <v>264</v>
      </c>
      <c r="AA28" s="54" t="s">
        <v>79</v>
      </c>
      <c r="AB28" s="54" t="s">
        <v>79</v>
      </c>
      <c r="AC28" s="86" t="s">
        <v>264</v>
      </c>
      <c r="AD28" s="86" t="s">
        <v>264</v>
      </c>
      <c r="AE28" s="54" t="s">
        <v>265</v>
      </c>
      <c r="AF28" s="54" t="s">
        <v>284</v>
      </c>
      <c r="AG28" s="54" t="s">
        <v>285</v>
      </c>
      <c r="AH28" s="54" t="s">
        <v>286</v>
      </c>
      <c r="AI28" s="54"/>
      <c r="AJ28" s="86" t="s">
        <v>292</v>
      </c>
      <c r="AK28" s="54" t="s">
        <v>85</v>
      </c>
      <c r="AL28" s="54" t="s">
        <v>679</v>
      </c>
      <c r="AM28" s="54" t="s">
        <v>132</v>
      </c>
      <c r="AN28" s="54" t="s">
        <v>669</v>
      </c>
      <c r="AO28" s="92" t="s">
        <v>89</v>
      </c>
      <c r="AP28" s="92" t="s">
        <v>89</v>
      </c>
      <c r="AQ28" s="86" t="s">
        <v>166</v>
      </c>
      <c r="AR28" s="86" t="s">
        <v>288</v>
      </c>
      <c r="AS28" s="86" t="s">
        <v>179</v>
      </c>
      <c r="AT28" s="86" t="s">
        <v>92</v>
      </c>
      <c r="AU28" s="86" t="s">
        <v>289</v>
      </c>
      <c r="AV28" s="86" t="s">
        <v>94</v>
      </c>
      <c r="AW28" s="100" t="s">
        <v>293</v>
      </c>
      <c r="AX28" s="100" t="s">
        <v>706</v>
      </c>
      <c r="AY28" s="101"/>
    </row>
    <row r="29" s="32" customFormat="1" ht="54.75" customHeight="1" spans="1:51">
      <c r="A29" s="53" t="str">
        <f t="shared" si="0"/>
        <v>23-0</v>
      </c>
      <c r="B29" s="54">
        <v>23</v>
      </c>
      <c r="C29" s="55" t="s">
        <v>100</v>
      </c>
      <c r="D29" s="54" t="s">
        <v>294</v>
      </c>
      <c r="E29" s="56">
        <v>0</v>
      </c>
      <c r="F29" s="57" t="s">
        <v>141</v>
      </c>
      <c r="G29" s="181" t="s">
        <v>239</v>
      </c>
      <c r="H29" s="57" t="str">
        <f t="shared" si="1"/>
        <v>EPDM Solid; Ø 17 mm × 20 mm; DTSM1500G-N708 </v>
      </c>
      <c r="I29" s="57" t="s">
        <v>258</v>
      </c>
      <c r="J29" s="57" t="s">
        <v>295</v>
      </c>
      <c r="K29" s="57" t="s">
        <v>260</v>
      </c>
      <c r="L29" s="55" t="s">
        <v>261</v>
      </c>
      <c r="M29" s="55" t="s">
        <v>79</v>
      </c>
      <c r="N29" s="74" t="s">
        <v>70</v>
      </c>
      <c r="O29" s="74" t="s">
        <v>70</v>
      </c>
      <c r="P29" s="182" t="s">
        <v>262</v>
      </c>
      <c r="Q29" s="55" t="s">
        <v>79</v>
      </c>
      <c r="R29" s="86" t="s">
        <v>296</v>
      </c>
      <c r="S29" s="54" t="s">
        <v>74</v>
      </c>
      <c r="T29" s="54" t="s">
        <v>79</v>
      </c>
      <c r="U29" s="86" t="s">
        <v>111</v>
      </c>
      <c r="V29" s="86" t="s">
        <v>111</v>
      </c>
      <c r="W29" s="86" t="s">
        <v>78</v>
      </c>
      <c r="X29" s="86" t="s">
        <v>78</v>
      </c>
      <c r="Y29" s="86" t="s">
        <v>78</v>
      </c>
      <c r="Z29" s="86" t="s">
        <v>78</v>
      </c>
      <c r="AA29" s="54" t="s">
        <v>79</v>
      </c>
      <c r="AB29" s="54" t="s">
        <v>79</v>
      </c>
      <c r="AC29" s="86" t="s">
        <v>78</v>
      </c>
      <c r="AD29" s="86" t="s">
        <v>78</v>
      </c>
      <c r="AE29" s="54" t="s">
        <v>297</v>
      </c>
      <c r="AF29" s="54" t="s">
        <v>79</v>
      </c>
      <c r="AG29" s="54" t="s">
        <v>298</v>
      </c>
      <c r="AH29" s="54" t="s">
        <v>79</v>
      </c>
      <c r="AI29" s="54"/>
      <c r="AJ29" s="86" t="s">
        <v>299</v>
      </c>
      <c r="AK29" s="54" t="s">
        <v>79</v>
      </c>
      <c r="AL29" s="54" t="s">
        <v>79</v>
      </c>
      <c r="AM29" s="54" t="s">
        <v>79</v>
      </c>
      <c r="AN29" s="54" t="s">
        <v>669</v>
      </c>
      <c r="AO29" s="92" t="s">
        <v>89</v>
      </c>
      <c r="AP29" s="92" t="s">
        <v>89</v>
      </c>
      <c r="AQ29" s="86" t="s">
        <v>300</v>
      </c>
      <c r="AR29" s="86" t="s">
        <v>301</v>
      </c>
      <c r="AS29" s="54" t="s">
        <v>79</v>
      </c>
      <c r="AT29" s="54" t="s">
        <v>79</v>
      </c>
      <c r="AU29" s="86" t="s">
        <v>91</v>
      </c>
      <c r="AV29" s="86" t="s">
        <v>94</v>
      </c>
      <c r="AW29" s="100" t="s">
        <v>302</v>
      </c>
      <c r="AX29" s="100" t="s">
        <v>707</v>
      </c>
      <c r="AY29" s="101"/>
    </row>
    <row r="30" s="31" customFormat="1" ht="54.75" customHeight="1" spans="1:51">
      <c r="A30" s="53" t="str">
        <f t="shared" si="0"/>
        <v>24-0</v>
      </c>
      <c r="B30" s="54">
        <v>24</v>
      </c>
      <c r="C30" s="55" t="s">
        <v>61</v>
      </c>
      <c r="D30" s="54" t="s">
        <v>303</v>
      </c>
      <c r="E30" s="56">
        <v>0</v>
      </c>
      <c r="F30" s="57" t="s">
        <v>63</v>
      </c>
      <c r="G30" s="181" t="s">
        <v>239</v>
      </c>
      <c r="H30" s="57" t="str">
        <f t="shared" si="1"/>
        <v>Hose, Air; Ø 18 mm × 25 mm; TSM1671G-1A </v>
      </c>
      <c r="I30" s="57" t="s">
        <v>304</v>
      </c>
      <c r="J30" s="57" t="s">
        <v>305</v>
      </c>
      <c r="K30" s="57" t="s">
        <v>223</v>
      </c>
      <c r="L30" s="55" t="s">
        <v>210</v>
      </c>
      <c r="M30" s="55" t="s">
        <v>69</v>
      </c>
      <c r="N30" s="74" t="s">
        <v>70</v>
      </c>
      <c r="O30" s="74" t="s">
        <v>70</v>
      </c>
      <c r="P30" s="182" t="s">
        <v>306</v>
      </c>
      <c r="Q30" s="55" t="s">
        <v>708</v>
      </c>
      <c r="R30" s="86" t="s">
        <v>308</v>
      </c>
      <c r="S30" s="54" t="s">
        <v>145</v>
      </c>
      <c r="T30" s="54" t="s">
        <v>145</v>
      </c>
      <c r="U30" s="86" t="s">
        <v>76</v>
      </c>
      <c r="V30" s="86" t="s">
        <v>76</v>
      </c>
      <c r="W30" s="86" t="s">
        <v>78</v>
      </c>
      <c r="X30" s="86" t="s">
        <v>78</v>
      </c>
      <c r="Y30" s="86" t="s">
        <v>78</v>
      </c>
      <c r="Z30" s="86" t="s">
        <v>78</v>
      </c>
      <c r="AA30" s="54" t="s">
        <v>79</v>
      </c>
      <c r="AB30" s="54" t="s">
        <v>79</v>
      </c>
      <c r="AC30" s="86" t="s">
        <v>78</v>
      </c>
      <c r="AD30" s="86" t="s">
        <v>78</v>
      </c>
      <c r="AE30" s="54" t="s">
        <v>80</v>
      </c>
      <c r="AF30" s="54" t="s">
        <v>81</v>
      </c>
      <c r="AG30" s="54" t="s">
        <v>82</v>
      </c>
      <c r="AH30" s="54" t="s">
        <v>83</v>
      </c>
      <c r="AI30" s="54"/>
      <c r="AJ30" s="86" t="s">
        <v>309</v>
      </c>
      <c r="AK30" s="54" t="s">
        <v>85</v>
      </c>
      <c r="AL30" s="54" t="s">
        <v>679</v>
      </c>
      <c r="AM30" s="54" t="s">
        <v>132</v>
      </c>
      <c r="AN30" s="54" t="s">
        <v>669</v>
      </c>
      <c r="AO30" s="92" t="s">
        <v>89</v>
      </c>
      <c r="AP30" s="92" t="s">
        <v>89</v>
      </c>
      <c r="AQ30" s="86" t="s">
        <v>310</v>
      </c>
      <c r="AR30" s="86" t="s">
        <v>311</v>
      </c>
      <c r="AS30" s="86" t="s">
        <v>312</v>
      </c>
      <c r="AT30" s="86" t="s">
        <v>313</v>
      </c>
      <c r="AU30" s="86" t="s">
        <v>90</v>
      </c>
      <c r="AV30" s="86" t="s">
        <v>94</v>
      </c>
      <c r="AW30" s="100" t="s">
        <v>314</v>
      </c>
      <c r="AX30" s="100" t="s">
        <v>709</v>
      </c>
      <c r="AY30" s="101"/>
    </row>
    <row r="31" s="32" customFormat="1" ht="54.75" customHeight="1" spans="1:51">
      <c r="A31" s="53" t="str">
        <f t="shared" si="0"/>
        <v>25-0</v>
      </c>
      <c r="B31" s="54">
        <v>25</v>
      </c>
      <c r="C31" s="55" t="s">
        <v>100</v>
      </c>
      <c r="D31" s="54" t="s">
        <v>315</v>
      </c>
      <c r="E31" s="56">
        <v>0</v>
      </c>
      <c r="F31" s="57" t="s">
        <v>141</v>
      </c>
      <c r="G31" s="181" t="s">
        <v>239</v>
      </c>
      <c r="H31" s="57" t="str">
        <f t="shared" si="1"/>
        <v>EPDM Solid; Ø 23 mm × 27 mm; DTSM1500G-N708 </v>
      </c>
      <c r="I31" s="57" t="s">
        <v>258</v>
      </c>
      <c r="J31" s="57" t="s">
        <v>316</v>
      </c>
      <c r="K31" s="57" t="s">
        <v>260</v>
      </c>
      <c r="L31" s="55" t="s">
        <v>261</v>
      </c>
      <c r="M31" s="55" t="s">
        <v>79</v>
      </c>
      <c r="N31" s="74" t="s">
        <v>70</v>
      </c>
      <c r="O31" s="74" t="s">
        <v>70</v>
      </c>
      <c r="P31" s="182" t="s">
        <v>317</v>
      </c>
      <c r="Q31" s="55" t="s">
        <v>79</v>
      </c>
      <c r="R31" s="86" t="s">
        <v>318</v>
      </c>
      <c r="S31" s="54" t="s">
        <v>74</v>
      </c>
      <c r="T31" s="54" t="s">
        <v>79</v>
      </c>
      <c r="U31" s="86" t="s">
        <v>76</v>
      </c>
      <c r="V31" s="86" t="s">
        <v>79</v>
      </c>
      <c r="W31" s="86" t="s">
        <v>264</v>
      </c>
      <c r="X31" s="86" t="s">
        <v>79</v>
      </c>
      <c r="Y31" s="86" t="s">
        <v>264</v>
      </c>
      <c r="Z31" s="86" t="s">
        <v>79</v>
      </c>
      <c r="AA31" s="54" t="s">
        <v>79</v>
      </c>
      <c r="AB31" s="54" t="s">
        <v>79</v>
      </c>
      <c r="AC31" s="86" t="s">
        <v>264</v>
      </c>
      <c r="AD31" s="86" t="s">
        <v>79</v>
      </c>
      <c r="AE31" s="54" t="s">
        <v>319</v>
      </c>
      <c r="AF31" s="54" t="s">
        <v>79</v>
      </c>
      <c r="AG31" s="54" t="s">
        <v>320</v>
      </c>
      <c r="AH31" s="54" t="s">
        <v>79</v>
      </c>
      <c r="AI31" s="54"/>
      <c r="AJ31" s="86" t="s">
        <v>321</v>
      </c>
      <c r="AK31" s="54" t="s">
        <v>79</v>
      </c>
      <c r="AL31" s="54" t="s">
        <v>79</v>
      </c>
      <c r="AM31" s="54" t="s">
        <v>79</v>
      </c>
      <c r="AN31" s="54" t="s">
        <v>669</v>
      </c>
      <c r="AO31" s="92" t="s">
        <v>89</v>
      </c>
      <c r="AP31" s="92" t="s">
        <v>89</v>
      </c>
      <c r="AQ31" s="86" t="s">
        <v>322</v>
      </c>
      <c r="AR31" s="86" t="s">
        <v>323</v>
      </c>
      <c r="AS31" s="54" t="s">
        <v>79</v>
      </c>
      <c r="AT31" s="54" t="s">
        <v>79</v>
      </c>
      <c r="AU31" s="86" t="s">
        <v>118</v>
      </c>
      <c r="AV31" s="86" t="s">
        <v>94</v>
      </c>
      <c r="AW31" s="100" t="s">
        <v>324</v>
      </c>
      <c r="AX31" s="100" t="s">
        <v>710</v>
      </c>
      <c r="AY31" s="101"/>
    </row>
    <row r="32" s="31" customFormat="1" ht="54.75" customHeight="1" spans="1:51">
      <c r="A32" s="53" t="str">
        <f t="shared" si="0"/>
        <v>26-0</v>
      </c>
      <c r="B32" s="54">
        <v>26</v>
      </c>
      <c r="C32" s="55" t="s">
        <v>61</v>
      </c>
      <c r="D32" s="54" t="s">
        <v>325</v>
      </c>
      <c r="E32" s="56">
        <v>0</v>
      </c>
      <c r="F32" s="57" t="s">
        <v>63</v>
      </c>
      <c r="G32" s="181" t="s">
        <v>239</v>
      </c>
      <c r="H32" s="57" t="str">
        <f t="shared" si="1"/>
        <v>Hose, Air; Ø 24.5 mm × 31.5 mm; TSM1671G-1A </v>
      </c>
      <c r="I32" s="57" t="s">
        <v>304</v>
      </c>
      <c r="J32" s="57" t="s">
        <v>326</v>
      </c>
      <c r="K32" s="57" t="s">
        <v>223</v>
      </c>
      <c r="L32" s="55" t="s">
        <v>210</v>
      </c>
      <c r="M32" s="55" t="s">
        <v>69</v>
      </c>
      <c r="N32" s="74" t="s">
        <v>70</v>
      </c>
      <c r="O32" s="74" t="s">
        <v>70</v>
      </c>
      <c r="P32" s="182" t="s">
        <v>327</v>
      </c>
      <c r="Q32" s="55" t="s">
        <v>711</v>
      </c>
      <c r="R32" s="86" t="s">
        <v>329</v>
      </c>
      <c r="S32" s="54" t="s">
        <v>145</v>
      </c>
      <c r="T32" s="54" t="s">
        <v>145</v>
      </c>
      <c r="U32" s="86" t="s">
        <v>111</v>
      </c>
      <c r="V32" s="86" t="s">
        <v>111</v>
      </c>
      <c r="W32" s="86" t="s">
        <v>78</v>
      </c>
      <c r="X32" s="86" t="s">
        <v>78</v>
      </c>
      <c r="Y32" s="86" t="s">
        <v>78</v>
      </c>
      <c r="Z32" s="86" t="s">
        <v>78</v>
      </c>
      <c r="AA32" s="54" t="s">
        <v>79</v>
      </c>
      <c r="AB32" s="54" t="s">
        <v>79</v>
      </c>
      <c r="AC32" s="86" t="s">
        <v>78</v>
      </c>
      <c r="AD32" s="86" t="s">
        <v>78</v>
      </c>
      <c r="AE32" s="54" t="s">
        <v>80</v>
      </c>
      <c r="AF32" s="54" t="s">
        <v>81</v>
      </c>
      <c r="AG32" s="54" t="s">
        <v>82</v>
      </c>
      <c r="AH32" s="54" t="s">
        <v>83</v>
      </c>
      <c r="AI32" s="54"/>
      <c r="AJ32" s="86" t="s">
        <v>330</v>
      </c>
      <c r="AK32" s="54" t="s">
        <v>85</v>
      </c>
      <c r="AL32" s="54" t="s">
        <v>679</v>
      </c>
      <c r="AM32" s="54" t="s">
        <v>132</v>
      </c>
      <c r="AN32" s="54" t="s">
        <v>669</v>
      </c>
      <c r="AO32" s="92" t="s">
        <v>89</v>
      </c>
      <c r="AP32" s="92" t="s">
        <v>89</v>
      </c>
      <c r="AQ32" s="86" t="s">
        <v>331</v>
      </c>
      <c r="AR32" s="86" t="s">
        <v>332</v>
      </c>
      <c r="AS32" s="86" t="s">
        <v>167</v>
      </c>
      <c r="AT32" s="86" t="s">
        <v>94</v>
      </c>
      <c r="AU32" s="86" t="s">
        <v>235</v>
      </c>
      <c r="AV32" s="86" t="s">
        <v>94</v>
      </c>
      <c r="AW32" s="100" t="s">
        <v>333</v>
      </c>
      <c r="AX32" s="100" t="s">
        <v>712</v>
      </c>
      <c r="AY32" s="101"/>
    </row>
    <row r="33" s="31" customFormat="1" ht="54.75" customHeight="1" spans="1:51">
      <c r="A33" s="53" t="str">
        <f t="shared" si="0"/>
        <v>27-0</v>
      </c>
      <c r="B33" s="54">
        <v>27</v>
      </c>
      <c r="C33" s="55" t="s">
        <v>100</v>
      </c>
      <c r="D33" s="54" t="s">
        <v>334</v>
      </c>
      <c r="E33" s="56">
        <v>0</v>
      </c>
      <c r="F33" s="57" t="s">
        <v>141</v>
      </c>
      <c r="G33" s="181" t="s">
        <v>239</v>
      </c>
      <c r="H33" s="57" t="str">
        <f t="shared" si="1"/>
        <v>Hose, Fuel Tank; Ø 34 mm × 42 mm; DTSM1647G-1C </v>
      </c>
      <c r="I33" s="57" t="s">
        <v>240</v>
      </c>
      <c r="J33" s="57" t="s">
        <v>335</v>
      </c>
      <c r="K33" s="57" t="s">
        <v>242</v>
      </c>
      <c r="L33" s="55" t="s">
        <v>243</v>
      </c>
      <c r="M33" s="55" t="s">
        <v>79</v>
      </c>
      <c r="N33" s="74" t="s">
        <v>70</v>
      </c>
      <c r="O33" s="74" t="s">
        <v>70</v>
      </c>
      <c r="P33" s="182" t="s">
        <v>336</v>
      </c>
      <c r="Q33" s="55" t="s">
        <v>79</v>
      </c>
      <c r="R33" s="86" t="s">
        <v>337</v>
      </c>
      <c r="S33" s="54" t="s">
        <v>74</v>
      </c>
      <c r="T33" s="54" t="s">
        <v>79</v>
      </c>
      <c r="U33" s="86" t="s">
        <v>111</v>
      </c>
      <c r="V33" s="86" t="s">
        <v>79</v>
      </c>
      <c r="W33" s="86" t="s">
        <v>78</v>
      </c>
      <c r="X33" s="86" t="s">
        <v>79</v>
      </c>
      <c r="Y33" s="86" t="s">
        <v>78</v>
      </c>
      <c r="Z33" s="86" t="s">
        <v>79</v>
      </c>
      <c r="AA33" s="54" t="s">
        <v>79</v>
      </c>
      <c r="AB33" s="54" t="s">
        <v>79</v>
      </c>
      <c r="AC33" s="86" t="s">
        <v>78</v>
      </c>
      <c r="AD33" s="86" t="s">
        <v>79</v>
      </c>
      <c r="AE33" s="54" t="s">
        <v>338</v>
      </c>
      <c r="AF33" s="54" t="s">
        <v>79</v>
      </c>
      <c r="AG33" s="54" t="s">
        <v>339</v>
      </c>
      <c r="AH33" s="54" t="s">
        <v>79</v>
      </c>
      <c r="AI33" s="54"/>
      <c r="AJ33" s="86" t="s">
        <v>340</v>
      </c>
      <c r="AK33" s="54" t="s">
        <v>85</v>
      </c>
      <c r="AL33" s="54" t="s">
        <v>249</v>
      </c>
      <c r="AM33" s="54" t="s">
        <v>250</v>
      </c>
      <c r="AN33" s="54" t="s">
        <v>669</v>
      </c>
      <c r="AO33" s="92" t="s">
        <v>341</v>
      </c>
      <c r="AP33" s="92" t="s">
        <v>342</v>
      </c>
      <c r="AQ33" s="86" t="s">
        <v>343</v>
      </c>
      <c r="AR33" s="86" t="s">
        <v>344</v>
      </c>
      <c r="AS33" s="54" t="s">
        <v>79</v>
      </c>
      <c r="AT33" s="54" t="s">
        <v>79</v>
      </c>
      <c r="AU33" s="86" t="s">
        <v>193</v>
      </c>
      <c r="AV33" s="86" t="s">
        <v>94</v>
      </c>
      <c r="AW33" s="100" t="s">
        <v>345</v>
      </c>
      <c r="AX33" s="100" t="s">
        <v>713</v>
      </c>
      <c r="AY33" s="101"/>
    </row>
    <row r="34" s="31" customFormat="1" ht="54.75" customHeight="1" spans="1:51">
      <c r="A34" s="53" t="str">
        <f t="shared" si="0"/>
        <v>28-0</v>
      </c>
      <c r="B34" s="54">
        <v>28</v>
      </c>
      <c r="C34" s="55" t="s">
        <v>100</v>
      </c>
      <c r="D34" s="54" t="s">
        <v>346</v>
      </c>
      <c r="E34" s="56">
        <v>0</v>
      </c>
      <c r="F34" s="57" t="s">
        <v>141</v>
      </c>
      <c r="G34" s="181" t="s">
        <v>239</v>
      </c>
      <c r="H34" s="57" t="str">
        <f t="shared" si="1"/>
        <v>Hose, Fuel Tank; Ø 34 mm × 42 mm; DTSE7351G-1 </v>
      </c>
      <c r="I34" s="57" t="s">
        <v>240</v>
      </c>
      <c r="J34" s="57" t="s">
        <v>335</v>
      </c>
      <c r="K34" s="75" t="s">
        <v>347</v>
      </c>
      <c r="L34" s="55" t="s">
        <v>243</v>
      </c>
      <c r="M34" s="55" t="s">
        <v>79</v>
      </c>
      <c r="N34" s="74" t="s">
        <v>70</v>
      </c>
      <c r="O34" s="74" t="s">
        <v>70</v>
      </c>
      <c r="P34" s="182" t="s">
        <v>348</v>
      </c>
      <c r="Q34" s="55" t="s">
        <v>79</v>
      </c>
      <c r="R34" s="86" t="s">
        <v>349</v>
      </c>
      <c r="S34" s="54" t="s">
        <v>74</v>
      </c>
      <c r="T34" s="54" t="s">
        <v>79</v>
      </c>
      <c r="U34" s="86" t="s">
        <v>111</v>
      </c>
      <c r="V34" s="54" t="s">
        <v>79</v>
      </c>
      <c r="W34" s="86" t="s">
        <v>78</v>
      </c>
      <c r="X34" s="54" t="s">
        <v>79</v>
      </c>
      <c r="Y34" s="86" t="s">
        <v>78</v>
      </c>
      <c r="Z34" s="54" t="s">
        <v>79</v>
      </c>
      <c r="AA34" s="54" t="s">
        <v>79</v>
      </c>
      <c r="AB34" s="54" t="s">
        <v>79</v>
      </c>
      <c r="AC34" s="86" t="s">
        <v>78</v>
      </c>
      <c r="AD34" s="54" t="s">
        <v>79</v>
      </c>
      <c r="AE34" s="54" t="s">
        <v>350</v>
      </c>
      <c r="AF34" s="54" t="s">
        <v>79</v>
      </c>
      <c r="AG34" s="54" t="s">
        <v>351</v>
      </c>
      <c r="AH34" s="54" t="s">
        <v>79</v>
      </c>
      <c r="AI34" s="54"/>
      <c r="AJ34" s="86" t="s">
        <v>352</v>
      </c>
      <c r="AK34" s="54" t="s">
        <v>85</v>
      </c>
      <c r="AL34" s="54" t="s">
        <v>249</v>
      </c>
      <c r="AM34" s="54" t="s">
        <v>250</v>
      </c>
      <c r="AN34" s="54" t="s">
        <v>669</v>
      </c>
      <c r="AO34" s="92" t="s">
        <v>353</v>
      </c>
      <c r="AP34" s="92" t="s">
        <v>354</v>
      </c>
      <c r="AQ34" s="86" t="s">
        <v>343</v>
      </c>
      <c r="AR34" s="86" t="s">
        <v>344</v>
      </c>
      <c r="AS34" s="54" t="s">
        <v>79</v>
      </c>
      <c r="AT34" s="54" t="s">
        <v>79</v>
      </c>
      <c r="AU34" s="86" t="s">
        <v>193</v>
      </c>
      <c r="AV34" s="86" t="s">
        <v>94</v>
      </c>
      <c r="AW34" s="100" t="s">
        <v>355</v>
      </c>
      <c r="AX34" s="100" t="s">
        <v>714</v>
      </c>
      <c r="AY34" s="101"/>
    </row>
    <row r="35" s="31" customFormat="1" ht="54.75" customHeight="1" spans="1:51">
      <c r="A35" s="53" t="str">
        <f t="shared" si="0"/>
        <v>29-0</v>
      </c>
      <c r="B35" s="54">
        <v>29</v>
      </c>
      <c r="C35" s="55" t="s">
        <v>100</v>
      </c>
      <c r="D35" s="54" t="s">
        <v>356</v>
      </c>
      <c r="E35" s="56">
        <v>0</v>
      </c>
      <c r="F35" s="57" t="s">
        <v>357</v>
      </c>
      <c r="G35" s="181" t="s">
        <v>358</v>
      </c>
      <c r="H35" s="57" t="str">
        <f t="shared" si="1"/>
        <v>Hose, Vacuum; Ø 7.5 mm × 14.5 mm; - </v>
      </c>
      <c r="I35" s="57" t="s">
        <v>107</v>
      </c>
      <c r="J35" s="57" t="s">
        <v>359</v>
      </c>
      <c r="K35" s="75" t="s">
        <v>79</v>
      </c>
      <c r="L35" s="55" t="s">
        <v>360</v>
      </c>
      <c r="M35" s="55" t="s">
        <v>79</v>
      </c>
      <c r="N35" s="74" t="s">
        <v>70</v>
      </c>
      <c r="O35" s="74" t="s">
        <v>79</v>
      </c>
      <c r="P35" s="182" t="s">
        <v>361</v>
      </c>
      <c r="Q35" s="55" t="s">
        <v>79</v>
      </c>
      <c r="R35" s="86" t="s">
        <v>362</v>
      </c>
      <c r="S35" s="54" t="s">
        <v>74</v>
      </c>
      <c r="T35" s="54" t="s">
        <v>79</v>
      </c>
      <c r="U35" s="86" t="s">
        <v>146</v>
      </c>
      <c r="V35" s="54" t="s">
        <v>79</v>
      </c>
      <c r="W35" s="86" t="s">
        <v>77</v>
      </c>
      <c r="X35" s="54" t="s">
        <v>79</v>
      </c>
      <c r="Y35" s="86" t="s">
        <v>77</v>
      </c>
      <c r="Z35" s="54" t="s">
        <v>79</v>
      </c>
      <c r="AA35" s="54" t="s">
        <v>79</v>
      </c>
      <c r="AB35" s="54" t="s">
        <v>79</v>
      </c>
      <c r="AC35" s="86" t="s">
        <v>77</v>
      </c>
      <c r="AD35" s="54" t="s">
        <v>79</v>
      </c>
      <c r="AE35" s="54" t="s">
        <v>363</v>
      </c>
      <c r="AF35" s="54" t="s">
        <v>79</v>
      </c>
      <c r="AG35" s="54" t="s">
        <v>364</v>
      </c>
      <c r="AH35" s="54" t="s">
        <v>79</v>
      </c>
      <c r="AI35" s="54"/>
      <c r="AJ35" s="86" t="s">
        <v>365</v>
      </c>
      <c r="AK35" s="54" t="s">
        <v>85</v>
      </c>
      <c r="AL35" s="54" t="s">
        <v>366</v>
      </c>
      <c r="AM35" s="54" t="s">
        <v>250</v>
      </c>
      <c r="AN35" s="54" t="s">
        <v>669</v>
      </c>
      <c r="AO35" s="92" t="s">
        <v>367</v>
      </c>
      <c r="AP35" s="92" t="s">
        <v>367</v>
      </c>
      <c r="AQ35" s="86" t="s">
        <v>368</v>
      </c>
      <c r="AR35" s="86" t="s">
        <v>369</v>
      </c>
      <c r="AS35" s="54" t="s">
        <v>79</v>
      </c>
      <c r="AT35" s="54" t="s">
        <v>79</v>
      </c>
      <c r="AU35" s="86" t="s">
        <v>90</v>
      </c>
      <c r="AV35" s="86" t="s">
        <v>94</v>
      </c>
      <c r="AW35" s="100" t="s">
        <v>370</v>
      </c>
      <c r="AX35" s="100" t="s">
        <v>715</v>
      </c>
      <c r="AY35" s="101"/>
    </row>
    <row r="36" s="31" customFormat="1" ht="54.75" customHeight="1" spans="1:51">
      <c r="A36" s="53" t="str">
        <f t="shared" si="0"/>
        <v>30-0</v>
      </c>
      <c r="B36" s="54">
        <v>30</v>
      </c>
      <c r="C36" s="55" t="s">
        <v>100</v>
      </c>
      <c r="D36" s="54" t="s">
        <v>371</v>
      </c>
      <c r="E36" s="56">
        <v>0</v>
      </c>
      <c r="F36" s="57" t="s">
        <v>372</v>
      </c>
      <c r="G36" s="181" t="s">
        <v>373</v>
      </c>
      <c r="H36" s="53" t="str">
        <f t="shared" si="1"/>
        <v>Hose, Fuel Tank; Ø 34 mm × 44 mm; TSM1647G-1C </v>
      </c>
      <c r="I36" s="53" t="s">
        <v>240</v>
      </c>
      <c r="J36" s="57" t="s">
        <v>374</v>
      </c>
      <c r="K36" s="76" t="s">
        <v>375</v>
      </c>
      <c r="L36" s="77" t="s">
        <v>376</v>
      </c>
      <c r="M36" s="77" t="s">
        <v>79</v>
      </c>
      <c r="N36" s="78" t="s">
        <v>70</v>
      </c>
      <c r="O36" s="78" t="s">
        <v>79</v>
      </c>
      <c r="P36" s="183" t="s">
        <v>348</v>
      </c>
      <c r="Q36" s="77" t="s">
        <v>79</v>
      </c>
      <c r="R36" s="87" t="s">
        <v>377</v>
      </c>
      <c r="S36" s="88" t="s">
        <v>74</v>
      </c>
      <c r="T36" s="88" t="s">
        <v>79</v>
      </c>
      <c r="U36" s="87" t="s">
        <v>77</v>
      </c>
      <c r="V36" s="88" t="s">
        <v>79</v>
      </c>
      <c r="W36" s="87" t="s">
        <v>111</v>
      </c>
      <c r="X36" s="88" t="s">
        <v>79</v>
      </c>
      <c r="Y36" s="87" t="s">
        <v>111</v>
      </c>
      <c r="Z36" s="88" t="s">
        <v>79</v>
      </c>
      <c r="AA36" s="88" t="s">
        <v>79</v>
      </c>
      <c r="AB36" s="88" t="s">
        <v>79</v>
      </c>
      <c r="AC36" s="87" t="s">
        <v>111</v>
      </c>
      <c r="AD36" s="88" t="s">
        <v>79</v>
      </c>
      <c r="AE36" s="88" t="s">
        <v>378</v>
      </c>
      <c r="AF36" s="88" t="s">
        <v>79</v>
      </c>
      <c r="AG36" s="88" t="s">
        <v>379</v>
      </c>
      <c r="AH36" s="88" t="s">
        <v>79</v>
      </c>
      <c r="AI36" s="89">
        <v>0.5</v>
      </c>
      <c r="AJ36" s="87" t="s">
        <v>380</v>
      </c>
      <c r="AK36" s="88" t="s">
        <v>85</v>
      </c>
      <c r="AL36" s="88" t="s">
        <v>381</v>
      </c>
      <c r="AM36" s="88" t="s">
        <v>382</v>
      </c>
      <c r="AN36" s="88" t="s">
        <v>669</v>
      </c>
      <c r="AO36" s="93" t="s">
        <v>341</v>
      </c>
      <c r="AP36" s="93" t="s">
        <v>383</v>
      </c>
      <c r="AQ36" s="87" t="s">
        <v>384</v>
      </c>
      <c r="AR36" s="88" t="s">
        <v>79</v>
      </c>
      <c r="AS36" s="88" t="s">
        <v>79</v>
      </c>
      <c r="AT36" s="88" t="s">
        <v>79</v>
      </c>
      <c r="AU36" s="87" t="s">
        <v>385</v>
      </c>
      <c r="AV36" s="87" t="s">
        <v>94</v>
      </c>
      <c r="AW36" s="100" t="s">
        <v>386</v>
      </c>
      <c r="AX36" s="100" t="s">
        <v>716</v>
      </c>
      <c r="AY36" s="101"/>
    </row>
    <row r="37" s="30" customFormat="1" ht="54.75" customHeight="1" spans="1:51">
      <c r="A37" s="53" t="str">
        <f t="shared" si="0"/>
        <v>31-0</v>
      </c>
      <c r="B37" s="60">
        <v>31</v>
      </c>
      <c r="C37" s="55" t="s">
        <v>61</v>
      </c>
      <c r="D37" s="54" t="s">
        <v>389</v>
      </c>
      <c r="E37" s="56">
        <v>0</v>
      </c>
      <c r="F37" s="57" t="s">
        <v>372</v>
      </c>
      <c r="G37" s="181" t="s">
        <v>373</v>
      </c>
      <c r="H37" s="53" t="str">
        <f t="shared" si="1"/>
        <v>Hose, Fuel; Ø 7 mm × 12 mm; TSM1651G-2 </v>
      </c>
      <c r="I37" s="80" t="s">
        <v>121</v>
      </c>
      <c r="J37" s="57" t="s">
        <v>155</v>
      </c>
      <c r="K37" s="53" t="s">
        <v>123</v>
      </c>
      <c r="L37" s="81" t="s">
        <v>124</v>
      </c>
      <c r="M37" s="81" t="s">
        <v>69</v>
      </c>
      <c r="N37" s="82" t="s">
        <v>70</v>
      </c>
      <c r="O37" s="82" t="s">
        <v>70</v>
      </c>
      <c r="P37" s="182" t="s">
        <v>156</v>
      </c>
      <c r="Q37" s="55" t="s">
        <v>678</v>
      </c>
      <c r="R37" s="86" t="s">
        <v>157</v>
      </c>
      <c r="S37" s="54" t="s">
        <v>74</v>
      </c>
      <c r="T37" s="54" t="s">
        <v>74</v>
      </c>
      <c r="U37" s="86" t="s">
        <v>76</v>
      </c>
      <c r="V37" s="86" t="s">
        <v>76</v>
      </c>
      <c r="W37" s="86" t="s">
        <v>78</v>
      </c>
      <c r="X37" s="86" t="s">
        <v>78</v>
      </c>
      <c r="Y37" s="86" t="s">
        <v>78</v>
      </c>
      <c r="Z37" s="86" t="s">
        <v>78</v>
      </c>
      <c r="AA37" s="54" t="s">
        <v>79</v>
      </c>
      <c r="AB37" s="54" t="s">
        <v>79</v>
      </c>
      <c r="AC37" s="86" t="s">
        <v>78</v>
      </c>
      <c r="AD37" s="86" t="s">
        <v>78</v>
      </c>
      <c r="AE37" s="54" t="s">
        <v>390</v>
      </c>
      <c r="AF37" s="54" t="s">
        <v>391</v>
      </c>
      <c r="AG37" s="54" t="s">
        <v>82</v>
      </c>
      <c r="AH37" s="54" t="s">
        <v>83</v>
      </c>
      <c r="AI37" s="54"/>
      <c r="AJ37" s="86" t="s">
        <v>158</v>
      </c>
      <c r="AK37" s="54" t="s">
        <v>85</v>
      </c>
      <c r="AL37" s="54" t="s">
        <v>717</v>
      </c>
      <c r="AM37" s="54" t="s">
        <v>132</v>
      </c>
      <c r="AN37" s="54" t="s">
        <v>669</v>
      </c>
      <c r="AO37" s="92" t="s">
        <v>89</v>
      </c>
      <c r="AP37" s="92" t="s">
        <v>89</v>
      </c>
      <c r="AQ37" s="86" t="s">
        <v>159</v>
      </c>
      <c r="AR37" s="86" t="s">
        <v>158</v>
      </c>
      <c r="AS37" s="86" t="s">
        <v>134</v>
      </c>
      <c r="AT37" s="86" t="s">
        <v>92</v>
      </c>
      <c r="AU37" s="86" t="s">
        <v>135</v>
      </c>
      <c r="AV37" s="86" t="s">
        <v>94</v>
      </c>
      <c r="AW37" s="100" t="s">
        <v>393</v>
      </c>
      <c r="AX37" s="100" t="s">
        <v>718</v>
      </c>
      <c r="AY37" s="101"/>
    </row>
    <row r="38" s="31" customFormat="1" ht="54.75" customHeight="1" spans="1:51">
      <c r="A38" s="53" t="str">
        <f t="shared" si="0"/>
        <v>32-0</v>
      </c>
      <c r="B38" s="60">
        <v>32</v>
      </c>
      <c r="C38" s="55" t="s">
        <v>61</v>
      </c>
      <c r="D38" s="54" t="s">
        <v>394</v>
      </c>
      <c r="E38" s="56">
        <v>0</v>
      </c>
      <c r="F38" s="57" t="s">
        <v>372</v>
      </c>
      <c r="G38" s="181" t="s">
        <v>373</v>
      </c>
      <c r="H38" s="53" t="str">
        <f t="shared" si="1"/>
        <v>Hose, Fuel; Ø 9 mm × 14 mm; TSM1651G-2 </v>
      </c>
      <c r="I38" s="80" t="s">
        <v>121</v>
      </c>
      <c r="J38" s="57" t="s">
        <v>395</v>
      </c>
      <c r="K38" s="53" t="s">
        <v>123</v>
      </c>
      <c r="L38" s="81" t="s">
        <v>124</v>
      </c>
      <c r="M38" s="81" t="s">
        <v>69</v>
      </c>
      <c r="N38" s="82" t="s">
        <v>70</v>
      </c>
      <c r="O38" s="82" t="s">
        <v>70</v>
      </c>
      <c r="P38" s="184" t="s">
        <v>186</v>
      </c>
      <c r="Q38" s="86" t="s">
        <v>396</v>
      </c>
      <c r="R38" s="86" t="s">
        <v>397</v>
      </c>
      <c r="S38" s="54" t="s">
        <v>74</v>
      </c>
      <c r="T38" s="54" t="s">
        <v>74</v>
      </c>
      <c r="U38" s="86" t="s">
        <v>76</v>
      </c>
      <c r="V38" s="86" t="s">
        <v>76</v>
      </c>
      <c r="W38" s="86" t="s">
        <v>264</v>
      </c>
      <c r="X38" s="86" t="s">
        <v>264</v>
      </c>
      <c r="Y38" s="86" t="s">
        <v>264</v>
      </c>
      <c r="Z38" s="86" t="s">
        <v>264</v>
      </c>
      <c r="AA38" s="54" t="s">
        <v>79</v>
      </c>
      <c r="AB38" s="54" t="s">
        <v>79</v>
      </c>
      <c r="AC38" s="86" t="s">
        <v>264</v>
      </c>
      <c r="AD38" s="86" t="s">
        <v>264</v>
      </c>
      <c r="AE38" s="54" t="s">
        <v>398</v>
      </c>
      <c r="AF38" s="54" t="s">
        <v>399</v>
      </c>
      <c r="AG38" s="54" t="s">
        <v>364</v>
      </c>
      <c r="AH38" s="54" t="s">
        <v>400</v>
      </c>
      <c r="AI38" s="54">
        <v>30</v>
      </c>
      <c r="AJ38" s="86" t="s">
        <v>401</v>
      </c>
      <c r="AK38" s="54" t="s">
        <v>85</v>
      </c>
      <c r="AL38" s="54" t="s">
        <v>717</v>
      </c>
      <c r="AM38" s="54" t="s">
        <v>132</v>
      </c>
      <c r="AN38" s="54" t="s">
        <v>669</v>
      </c>
      <c r="AO38" s="92" t="s">
        <v>204</v>
      </c>
      <c r="AP38" s="92" t="s">
        <v>402</v>
      </c>
      <c r="AQ38" s="86" t="s">
        <v>403</v>
      </c>
      <c r="AR38" s="86" t="s">
        <v>404</v>
      </c>
      <c r="AS38" s="86" t="s">
        <v>135</v>
      </c>
      <c r="AT38" s="86" t="s">
        <v>92</v>
      </c>
      <c r="AU38" s="86" t="s">
        <v>405</v>
      </c>
      <c r="AV38" s="86" t="s">
        <v>94</v>
      </c>
      <c r="AW38" s="100" t="s">
        <v>406</v>
      </c>
      <c r="AX38" s="100" t="s">
        <v>719</v>
      </c>
      <c r="AY38" s="101"/>
    </row>
    <row r="39" s="31" customFormat="1" ht="54.75" customHeight="1" spans="1:51">
      <c r="A39" s="53" t="str">
        <f t="shared" si="0"/>
        <v>33-0</v>
      </c>
      <c r="B39" s="54">
        <v>33</v>
      </c>
      <c r="C39" s="55" t="s">
        <v>100</v>
      </c>
      <c r="D39" s="54" t="s">
        <v>407</v>
      </c>
      <c r="E39" s="56">
        <v>0</v>
      </c>
      <c r="F39" s="57" t="s">
        <v>372</v>
      </c>
      <c r="G39" s="181" t="s">
        <v>408</v>
      </c>
      <c r="H39" s="53" t="str">
        <f t="shared" si="1"/>
        <v>Hose, Fuel Tank; Ø 34 mm × 44 mm; TSM1647G-1C </v>
      </c>
      <c r="I39" s="53" t="s">
        <v>240</v>
      </c>
      <c r="J39" s="57" t="s">
        <v>374</v>
      </c>
      <c r="K39" s="53" t="s">
        <v>375</v>
      </c>
      <c r="L39" s="81" t="s">
        <v>376</v>
      </c>
      <c r="M39" s="81" t="s">
        <v>79</v>
      </c>
      <c r="N39" s="82" t="s">
        <v>70</v>
      </c>
      <c r="O39" s="82" t="s">
        <v>79</v>
      </c>
      <c r="P39" s="182" t="s">
        <v>348</v>
      </c>
      <c r="Q39" s="81" t="s">
        <v>79</v>
      </c>
      <c r="R39" s="86" t="s">
        <v>409</v>
      </c>
      <c r="S39" s="54" t="s">
        <v>74</v>
      </c>
      <c r="T39" s="54" t="s">
        <v>79</v>
      </c>
      <c r="U39" s="86" t="s">
        <v>77</v>
      </c>
      <c r="V39" s="54" t="s">
        <v>79</v>
      </c>
      <c r="W39" s="86" t="s">
        <v>111</v>
      </c>
      <c r="X39" s="54" t="s">
        <v>79</v>
      </c>
      <c r="Y39" s="86" t="s">
        <v>111</v>
      </c>
      <c r="Z39" s="54" t="s">
        <v>79</v>
      </c>
      <c r="AA39" s="54" t="s">
        <v>79</v>
      </c>
      <c r="AB39" s="54" t="s">
        <v>79</v>
      </c>
      <c r="AC39" s="86" t="s">
        <v>111</v>
      </c>
      <c r="AD39" s="54" t="s">
        <v>79</v>
      </c>
      <c r="AE39" s="54" t="s">
        <v>410</v>
      </c>
      <c r="AF39" s="54" t="s">
        <v>79</v>
      </c>
      <c r="AG39" s="54" t="s">
        <v>379</v>
      </c>
      <c r="AH39" s="54" t="s">
        <v>79</v>
      </c>
      <c r="AI39" s="90">
        <v>0.5</v>
      </c>
      <c r="AJ39" s="86" t="s">
        <v>411</v>
      </c>
      <c r="AK39" s="54" t="s">
        <v>85</v>
      </c>
      <c r="AL39" s="54" t="s">
        <v>381</v>
      </c>
      <c r="AM39" s="54" t="s">
        <v>250</v>
      </c>
      <c r="AN39" s="54" t="s">
        <v>669</v>
      </c>
      <c r="AO39" s="92" t="s">
        <v>341</v>
      </c>
      <c r="AP39" s="92" t="s">
        <v>412</v>
      </c>
      <c r="AQ39" s="86" t="s">
        <v>413</v>
      </c>
      <c r="AR39" s="54" t="s">
        <v>79</v>
      </c>
      <c r="AS39" s="54" t="s">
        <v>79</v>
      </c>
      <c r="AT39" s="54" t="s">
        <v>79</v>
      </c>
      <c r="AU39" s="86" t="s">
        <v>367</v>
      </c>
      <c r="AV39" s="86" t="s">
        <v>94</v>
      </c>
      <c r="AW39" s="100" t="s">
        <v>414</v>
      </c>
      <c r="AX39" s="100" t="s">
        <v>720</v>
      </c>
      <c r="AY39" s="101"/>
    </row>
    <row r="40" s="33" customFormat="1" ht="54.75" customHeight="1" spans="1:51">
      <c r="A40" s="53" t="str">
        <f t="shared" si="0"/>
        <v>34-0</v>
      </c>
      <c r="B40" s="54">
        <v>34</v>
      </c>
      <c r="C40" s="55" t="s">
        <v>61</v>
      </c>
      <c r="D40" s="54" t="s">
        <v>415</v>
      </c>
      <c r="E40" s="56">
        <v>0</v>
      </c>
      <c r="F40" s="57" t="s">
        <v>416</v>
      </c>
      <c r="G40" s="181" t="s">
        <v>417</v>
      </c>
      <c r="H40" s="53" t="str">
        <f t="shared" si="1"/>
        <v>Hose, Fuel; Ø 7 mm × 14 mm; TSM1651G-2 </v>
      </c>
      <c r="I40" s="53" t="s">
        <v>121</v>
      </c>
      <c r="J40" s="57" t="s">
        <v>164</v>
      </c>
      <c r="K40" s="57" t="s">
        <v>123</v>
      </c>
      <c r="L40" s="81" t="s">
        <v>124</v>
      </c>
      <c r="M40" s="81" t="s">
        <v>69</v>
      </c>
      <c r="N40" s="82" t="s">
        <v>70</v>
      </c>
      <c r="O40" s="82" t="s">
        <v>70</v>
      </c>
      <c r="P40" s="182" t="s">
        <v>156</v>
      </c>
      <c r="Q40" s="86" t="s">
        <v>418</v>
      </c>
      <c r="R40" s="86" t="s">
        <v>419</v>
      </c>
      <c r="S40" s="54" t="s">
        <v>74</v>
      </c>
      <c r="T40" s="54" t="s">
        <v>74</v>
      </c>
      <c r="U40" s="86" t="s">
        <v>76</v>
      </c>
      <c r="V40" s="86" t="s">
        <v>76</v>
      </c>
      <c r="W40" s="86" t="s">
        <v>78</v>
      </c>
      <c r="X40" s="86" t="s">
        <v>78</v>
      </c>
      <c r="Y40" s="86" t="s">
        <v>78</v>
      </c>
      <c r="Z40" s="86" t="s">
        <v>78</v>
      </c>
      <c r="AA40" s="54" t="s">
        <v>79</v>
      </c>
      <c r="AB40" s="54" t="s">
        <v>79</v>
      </c>
      <c r="AC40" s="86" t="s">
        <v>78</v>
      </c>
      <c r="AD40" s="86" t="s">
        <v>78</v>
      </c>
      <c r="AE40" s="54" t="s">
        <v>420</v>
      </c>
      <c r="AF40" s="54" t="s">
        <v>421</v>
      </c>
      <c r="AG40" s="54" t="s">
        <v>422</v>
      </c>
      <c r="AH40" s="54" t="s">
        <v>423</v>
      </c>
      <c r="AI40" s="54">
        <v>30</v>
      </c>
      <c r="AJ40" s="86" t="s">
        <v>424</v>
      </c>
      <c r="AK40" s="54" t="s">
        <v>85</v>
      </c>
      <c r="AL40" s="54" t="s">
        <v>717</v>
      </c>
      <c r="AM40" s="54" t="s">
        <v>132</v>
      </c>
      <c r="AN40" s="54" t="s">
        <v>669</v>
      </c>
      <c r="AO40" s="92" t="s">
        <v>89</v>
      </c>
      <c r="AP40" s="92" t="s">
        <v>89</v>
      </c>
      <c r="AQ40" s="86" t="s">
        <v>159</v>
      </c>
      <c r="AR40" s="86" t="s">
        <v>166</v>
      </c>
      <c r="AS40" s="86" t="s">
        <v>167</v>
      </c>
      <c r="AT40" s="86" t="s">
        <v>425</v>
      </c>
      <c r="AU40" s="86" t="s">
        <v>235</v>
      </c>
      <c r="AV40" s="86" t="s">
        <v>94</v>
      </c>
      <c r="AW40" s="100" t="s">
        <v>426</v>
      </c>
      <c r="AX40" s="100" t="s">
        <v>721</v>
      </c>
      <c r="AY40" s="101"/>
    </row>
    <row r="41" s="31" customFormat="1" ht="54.75" customHeight="1" spans="1:51">
      <c r="A41" s="53" t="str">
        <f t="shared" si="0"/>
        <v>35-0</v>
      </c>
      <c r="B41" s="54">
        <v>35</v>
      </c>
      <c r="C41" s="55" t="s">
        <v>61</v>
      </c>
      <c r="D41" s="54" t="s">
        <v>427</v>
      </c>
      <c r="E41" s="56">
        <v>0</v>
      </c>
      <c r="F41" s="57" t="s">
        <v>428</v>
      </c>
      <c r="G41" s="181" t="s">
        <v>417</v>
      </c>
      <c r="H41" s="53" t="str">
        <f t="shared" si="1"/>
        <v>Hose, Fuel Tank; Ø 13.5 mm × 21.5 mm; TSM1648G-3 </v>
      </c>
      <c r="I41" s="53" t="s">
        <v>240</v>
      </c>
      <c r="J41" s="57" t="s">
        <v>241</v>
      </c>
      <c r="K41" s="53" t="s">
        <v>429</v>
      </c>
      <c r="L41" s="81" t="s">
        <v>430</v>
      </c>
      <c r="M41" s="81" t="s">
        <v>431</v>
      </c>
      <c r="N41" s="82" t="s">
        <v>70</v>
      </c>
      <c r="O41" s="82" t="s">
        <v>70</v>
      </c>
      <c r="P41" s="182" t="s">
        <v>244</v>
      </c>
      <c r="Q41" s="86" t="s">
        <v>202</v>
      </c>
      <c r="R41" s="86" t="s">
        <v>267</v>
      </c>
      <c r="S41" s="54" t="s">
        <v>74</v>
      </c>
      <c r="T41" s="54" t="s">
        <v>74</v>
      </c>
      <c r="U41" s="86" t="s">
        <v>76</v>
      </c>
      <c r="V41" s="86" t="s">
        <v>111</v>
      </c>
      <c r="W41" s="86" t="s">
        <v>264</v>
      </c>
      <c r="X41" s="86" t="s">
        <v>78</v>
      </c>
      <c r="Y41" s="86" t="s">
        <v>264</v>
      </c>
      <c r="Z41" s="86" t="s">
        <v>78</v>
      </c>
      <c r="AA41" s="54" t="s">
        <v>79</v>
      </c>
      <c r="AB41" s="54" t="s">
        <v>79</v>
      </c>
      <c r="AC41" s="86" t="s">
        <v>264</v>
      </c>
      <c r="AD41" s="86" t="s">
        <v>78</v>
      </c>
      <c r="AE41" s="54" t="s">
        <v>432</v>
      </c>
      <c r="AF41" s="54" t="s">
        <v>433</v>
      </c>
      <c r="AG41" s="54" t="s">
        <v>434</v>
      </c>
      <c r="AH41" s="54" t="s">
        <v>435</v>
      </c>
      <c r="AI41" s="54">
        <v>30</v>
      </c>
      <c r="AJ41" s="86" t="s">
        <v>436</v>
      </c>
      <c r="AK41" s="54" t="s">
        <v>85</v>
      </c>
      <c r="AL41" s="54" t="s">
        <v>722</v>
      </c>
      <c r="AM41" s="54" t="s">
        <v>250</v>
      </c>
      <c r="AN41" s="54" t="s">
        <v>669</v>
      </c>
      <c r="AO41" s="92" t="s">
        <v>204</v>
      </c>
      <c r="AP41" s="92" t="s">
        <v>204</v>
      </c>
      <c r="AQ41" s="86" t="s">
        <v>438</v>
      </c>
      <c r="AR41" s="86" t="s">
        <v>439</v>
      </c>
      <c r="AS41" s="86" t="s">
        <v>440</v>
      </c>
      <c r="AT41" s="86" t="s">
        <v>441</v>
      </c>
      <c r="AU41" s="86" t="s">
        <v>442</v>
      </c>
      <c r="AV41" s="86" t="s">
        <v>94</v>
      </c>
      <c r="AW41" s="100" t="s">
        <v>443</v>
      </c>
      <c r="AX41" s="100" t="s">
        <v>723</v>
      </c>
      <c r="AY41" s="101"/>
    </row>
    <row r="42" s="33" customFormat="1" ht="54.75" customHeight="1" spans="1:51">
      <c r="A42" s="53" t="str">
        <f t="shared" si="0"/>
        <v>36-0</v>
      </c>
      <c r="B42" s="54">
        <v>36</v>
      </c>
      <c r="C42" s="55" t="s">
        <v>61</v>
      </c>
      <c r="D42" s="54" t="s">
        <v>444</v>
      </c>
      <c r="E42" s="56">
        <v>0</v>
      </c>
      <c r="F42" s="57" t="s">
        <v>63</v>
      </c>
      <c r="G42" s="181" t="s">
        <v>445</v>
      </c>
      <c r="H42" s="57" t="str">
        <f t="shared" si="1"/>
        <v>Hose, Fuel; Ø 7 mm × 14 mm; TSM1651G-2 </v>
      </c>
      <c r="I42" s="57" t="s">
        <v>121</v>
      </c>
      <c r="J42" s="57" t="s">
        <v>164</v>
      </c>
      <c r="K42" s="57" t="s">
        <v>123</v>
      </c>
      <c r="L42" s="55" t="s">
        <v>124</v>
      </c>
      <c r="M42" s="55" t="s">
        <v>69</v>
      </c>
      <c r="N42" s="74" t="s">
        <v>70</v>
      </c>
      <c r="O42" s="74" t="s">
        <v>70</v>
      </c>
      <c r="P42" s="182" t="s">
        <v>156</v>
      </c>
      <c r="Q42" s="55" t="s">
        <v>687</v>
      </c>
      <c r="R42" s="55" t="s">
        <v>687</v>
      </c>
      <c r="S42" s="54" t="s">
        <v>74</v>
      </c>
      <c r="T42" s="54" t="s">
        <v>74</v>
      </c>
      <c r="U42" s="86" t="s">
        <v>76</v>
      </c>
      <c r="V42" s="86" t="s">
        <v>76</v>
      </c>
      <c r="W42" s="86" t="s">
        <v>78</v>
      </c>
      <c r="X42" s="86" t="s">
        <v>78</v>
      </c>
      <c r="Y42" s="86" t="s">
        <v>78</v>
      </c>
      <c r="Z42" s="86" t="s">
        <v>78</v>
      </c>
      <c r="AA42" s="54" t="s">
        <v>79</v>
      </c>
      <c r="AB42" s="54" t="s">
        <v>79</v>
      </c>
      <c r="AC42" s="86" t="s">
        <v>78</v>
      </c>
      <c r="AD42" s="86" t="s">
        <v>78</v>
      </c>
      <c r="AE42" s="54" t="s">
        <v>80</v>
      </c>
      <c r="AF42" s="54" t="s">
        <v>81</v>
      </c>
      <c r="AG42" s="54" t="s">
        <v>82</v>
      </c>
      <c r="AH42" s="54" t="s">
        <v>83</v>
      </c>
      <c r="AI42" s="54"/>
      <c r="AJ42" s="86" t="s">
        <v>166</v>
      </c>
      <c r="AK42" s="54" t="s">
        <v>85</v>
      </c>
      <c r="AL42" s="54" t="s">
        <v>717</v>
      </c>
      <c r="AM42" s="54" t="s">
        <v>132</v>
      </c>
      <c r="AN42" s="54" t="s">
        <v>669</v>
      </c>
      <c r="AO42" s="92" t="s">
        <v>89</v>
      </c>
      <c r="AP42" s="92" t="s">
        <v>89</v>
      </c>
      <c r="AQ42" s="86" t="s">
        <v>159</v>
      </c>
      <c r="AR42" s="86" t="s">
        <v>166</v>
      </c>
      <c r="AS42" s="86" t="s">
        <v>167</v>
      </c>
      <c r="AT42" s="86">
        <v>0.1</v>
      </c>
      <c r="AU42" s="86" t="s">
        <v>90</v>
      </c>
      <c r="AV42" s="86" t="s">
        <v>94</v>
      </c>
      <c r="AW42" s="100" t="s">
        <v>446</v>
      </c>
      <c r="AX42" s="100" t="s">
        <v>724</v>
      </c>
      <c r="AY42" s="101"/>
    </row>
    <row r="43" s="31" customFormat="1" ht="54.75" customHeight="1" spans="1:51">
      <c r="A43" s="53" t="str">
        <f t="shared" si="0"/>
        <v>37-0</v>
      </c>
      <c r="B43" s="60">
        <v>37</v>
      </c>
      <c r="C43" s="55" t="s">
        <v>61</v>
      </c>
      <c r="D43" s="54" t="s">
        <v>457</v>
      </c>
      <c r="E43" s="61">
        <v>0</v>
      </c>
      <c r="F43" s="57" t="s">
        <v>141</v>
      </c>
      <c r="G43" s="185" t="s">
        <v>458</v>
      </c>
      <c r="H43" s="63" t="str">
        <f t="shared" si="1"/>
        <v>Hose, Actuator; Ø 3.5 mm × 8.5mm; DTSM1649G-1 </v>
      </c>
      <c r="I43" s="53" t="s">
        <v>459</v>
      </c>
      <c r="J43" s="63" t="s">
        <v>460</v>
      </c>
      <c r="K43" s="53" t="s">
        <v>461</v>
      </c>
      <c r="L43" s="81" t="s">
        <v>462</v>
      </c>
      <c r="M43" s="79" t="s">
        <v>463</v>
      </c>
      <c r="N43" s="78" t="s">
        <v>70</v>
      </c>
      <c r="O43" s="78" t="s">
        <v>464</v>
      </c>
      <c r="P43" s="184" t="s">
        <v>125</v>
      </c>
      <c r="Q43" s="86" t="s">
        <v>465</v>
      </c>
      <c r="R43" s="86" t="s">
        <v>159</v>
      </c>
      <c r="S43" s="88" t="s">
        <v>74</v>
      </c>
      <c r="T43" s="88" t="s">
        <v>74</v>
      </c>
      <c r="U43" s="86" t="s">
        <v>76</v>
      </c>
      <c r="V43" s="86" t="s">
        <v>76</v>
      </c>
      <c r="W43" s="87" t="s">
        <v>78</v>
      </c>
      <c r="X43" s="87" t="s">
        <v>78</v>
      </c>
      <c r="Y43" s="87" t="s">
        <v>78</v>
      </c>
      <c r="Z43" s="87" t="s">
        <v>78</v>
      </c>
      <c r="AA43" s="88" t="s">
        <v>79</v>
      </c>
      <c r="AB43" s="88" t="s">
        <v>79</v>
      </c>
      <c r="AC43" s="87" t="s">
        <v>78</v>
      </c>
      <c r="AD43" s="87" t="s">
        <v>78</v>
      </c>
      <c r="AE43" s="54" t="s">
        <v>466</v>
      </c>
      <c r="AF43" s="54" t="s">
        <v>467</v>
      </c>
      <c r="AG43" s="88" t="s">
        <v>229</v>
      </c>
      <c r="AH43" s="88" t="s">
        <v>229</v>
      </c>
      <c r="AI43" s="53" t="s">
        <v>468</v>
      </c>
      <c r="AJ43" s="87" t="s">
        <v>725</v>
      </c>
      <c r="AK43" s="60" t="s">
        <v>85</v>
      </c>
      <c r="AL43" s="53" t="s">
        <v>470</v>
      </c>
      <c r="AM43" s="60" t="s">
        <v>87</v>
      </c>
      <c r="AN43" s="88" t="s">
        <v>726</v>
      </c>
      <c r="AO43" s="186" t="s">
        <v>472</v>
      </c>
      <c r="AP43" s="186" t="s">
        <v>472</v>
      </c>
      <c r="AQ43" s="86" t="s">
        <v>179</v>
      </c>
      <c r="AR43" s="86" t="s">
        <v>473</v>
      </c>
      <c r="AS43" s="86" t="s">
        <v>554</v>
      </c>
      <c r="AT43" s="86" t="s">
        <v>94</v>
      </c>
      <c r="AU43" s="86" t="s">
        <v>135</v>
      </c>
      <c r="AV43" s="187" t="s">
        <v>79</v>
      </c>
      <c r="AW43" s="100" t="s">
        <v>474</v>
      </c>
      <c r="AX43" s="100" t="s">
        <v>727</v>
      </c>
      <c r="AY43" s="101"/>
    </row>
    <row r="44" s="31" customFormat="1" spans="1:51">
      <c r="A44" s="53" t="str">
        <f t="shared" si="0"/>
        <v>-</v>
      </c>
      <c r="B44" s="60"/>
      <c r="C44" s="53"/>
      <c r="D44" s="53"/>
      <c r="E44" s="61"/>
      <c r="F44" s="53"/>
      <c r="G44" s="64"/>
      <c r="H44" s="63" t="str">
        <f t="shared" si="1"/>
        <v>; ;  </v>
      </c>
      <c r="I44" s="53"/>
      <c r="J44" s="53"/>
      <c r="K44" s="53"/>
      <c r="L44" s="81"/>
      <c r="M44" s="81"/>
      <c r="N44" s="83"/>
      <c r="O44" s="83"/>
      <c r="P44" s="81"/>
      <c r="Q44" s="81"/>
      <c r="R44" s="81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102"/>
      <c r="AX44" s="102"/>
      <c r="AY44" s="101"/>
    </row>
    <row r="45" s="31" customFormat="1" spans="1:51">
      <c r="A45" s="53" t="str">
        <f t="shared" si="0"/>
        <v>-</v>
      </c>
      <c r="B45" s="60"/>
      <c r="C45" s="53"/>
      <c r="D45" s="53"/>
      <c r="E45" s="61"/>
      <c r="F45" s="53"/>
      <c r="G45" s="64"/>
      <c r="H45" s="63" t="str">
        <f t="shared" si="1"/>
        <v>; ;  </v>
      </c>
      <c r="I45" s="53"/>
      <c r="J45" s="53"/>
      <c r="K45" s="53"/>
      <c r="L45" s="81"/>
      <c r="M45" s="81"/>
      <c r="N45" s="83"/>
      <c r="O45" s="83"/>
      <c r="P45" s="81"/>
      <c r="Q45" s="81"/>
      <c r="R45" s="81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102"/>
      <c r="AX45" s="102"/>
      <c r="AY45" s="101"/>
    </row>
    <row r="46" s="31" customFormat="1" spans="1:51">
      <c r="A46" s="53" t="str">
        <f t="shared" si="0"/>
        <v>-</v>
      </c>
      <c r="B46" s="60"/>
      <c r="C46" s="53"/>
      <c r="D46" s="53"/>
      <c r="E46" s="61"/>
      <c r="F46" s="53"/>
      <c r="G46" s="64"/>
      <c r="H46" s="63" t="str">
        <f t="shared" si="1"/>
        <v>; ;  </v>
      </c>
      <c r="I46" s="53"/>
      <c r="J46" s="53"/>
      <c r="K46" s="53"/>
      <c r="L46" s="81"/>
      <c r="M46" s="81"/>
      <c r="N46" s="83"/>
      <c r="O46" s="83"/>
      <c r="P46" s="81"/>
      <c r="Q46" s="81"/>
      <c r="R46" s="81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102"/>
      <c r="AX46" s="102"/>
      <c r="AY46" s="101"/>
    </row>
    <row r="47" s="31" customFormat="1" spans="1:51">
      <c r="A47" s="53" t="str">
        <f t="shared" si="0"/>
        <v>-</v>
      </c>
      <c r="B47" s="60"/>
      <c r="C47" s="53"/>
      <c r="D47" s="53"/>
      <c r="E47" s="61"/>
      <c r="F47" s="53"/>
      <c r="G47" s="64"/>
      <c r="H47" s="63" t="str">
        <f t="shared" si="1"/>
        <v>; ;  </v>
      </c>
      <c r="I47" s="53"/>
      <c r="J47" s="53"/>
      <c r="K47" s="53"/>
      <c r="L47" s="81"/>
      <c r="M47" s="81"/>
      <c r="N47" s="83"/>
      <c r="O47" s="83"/>
      <c r="P47" s="81"/>
      <c r="Q47" s="81"/>
      <c r="R47" s="81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102"/>
      <c r="AX47" s="102"/>
      <c r="AY47" s="101"/>
    </row>
    <row r="48" s="31" customFormat="1" spans="1:51">
      <c r="A48" s="53" t="str">
        <f t="shared" si="0"/>
        <v>-</v>
      </c>
      <c r="B48" s="60"/>
      <c r="C48" s="53"/>
      <c r="D48" s="53"/>
      <c r="E48" s="61"/>
      <c r="F48" s="53"/>
      <c r="G48" s="64"/>
      <c r="H48" s="63" t="str">
        <f t="shared" si="1"/>
        <v>; ;  </v>
      </c>
      <c r="I48" s="53"/>
      <c r="J48" s="53"/>
      <c r="K48" s="53"/>
      <c r="L48" s="81"/>
      <c r="M48" s="81"/>
      <c r="N48" s="83"/>
      <c r="O48" s="83"/>
      <c r="P48" s="81"/>
      <c r="Q48" s="81"/>
      <c r="R48" s="81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102"/>
      <c r="AX48" s="102"/>
      <c r="AY48" s="101"/>
    </row>
    <row r="49" s="31" customFormat="1" spans="1:51">
      <c r="A49" s="53" t="str">
        <f t="shared" si="0"/>
        <v>-</v>
      </c>
      <c r="B49" s="60"/>
      <c r="C49" s="53"/>
      <c r="D49" s="53"/>
      <c r="E49" s="61"/>
      <c r="F49" s="53"/>
      <c r="G49" s="64"/>
      <c r="H49" s="63" t="str">
        <f t="shared" si="1"/>
        <v>; ;  </v>
      </c>
      <c r="I49" s="53"/>
      <c r="J49" s="53"/>
      <c r="K49" s="53"/>
      <c r="L49" s="81"/>
      <c r="M49" s="81"/>
      <c r="N49" s="83"/>
      <c r="O49" s="83"/>
      <c r="P49" s="81"/>
      <c r="Q49" s="81"/>
      <c r="R49" s="81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102"/>
      <c r="AX49" s="102"/>
      <c r="AY49" s="101"/>
    </row>
    <row r="50" s="31" customFormat="1" spans="1:51">
      <c r="A50" s="53" t="str">
        <f t="shared" si="0"/>
        <v>-</v>
      </c>
      <c r="B50" s="60"/>
      <c r="C50" s="53"/>
      <c r="D50" s="53"/>
      <c r="E50" s="61"/>
      <c r="F50" s="53"/>
      <c r="G50" s="64"/>
      <c r="H50" s="63" t="str">
        <f t="shared" si="1"/>
        <v>; ;  </v>
      </c>
      <c r="I50" s="53"/>
      <c r="J50" s="53"/>
      <c r="K50" s="53"/>
      <c r="L50" s="81"/>
      <c r="M50" s="81"/>
      <c r="N50" s="83"/>
      <c r="O50" s="83"/>
      <c r="P50" s="81"/>
      <c r="Q50" s="81"/>
      <c r="R50" s="81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102"/>
      <c r="AX50" s="102"/>
      <c r="AY50" s="101"/>
    </row>
    <row r="51" s="31" customFormat="1" spans="1:51">
      <c r="A51" s="53" t="str">
        <f t="shared" si="0"/>
        <v>-</v>
      </c>
      <c r="B51" s="60"/>
      <c r="C51" s="53"/>
      <c r="D51" s="53"/>
      <c r="E51" s="61"/>
      <c r="F51" s="53"/>
      <c r="G51" s="64"/>
      <c r="H51" s="63" t="str">
        <f t="shared" si="1"/>
        <v>; ;  </v>
      </c>
      <c r="I51" s="53"/>
      <c r="J51" s="53"/>
      <c r="K51" s="53"/>
      <c r="L51" s="81"/>
      <c r="M51" s="81"/>
      <c r="N51" s="83"/>
      <c r="O51" s="83"/>
      <c r="P51" s="81"/>
      <c r="Q51" s="81"/>
      <c r="R51" s="81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102"/>
      <c r="AX51" s="102"/>
      <c r="AY51" s="101"/>
    </row>
    <row r="52" s="31" customFormat="1" spans="1:51">
      <c r="A52" s="53" t="str">
        <f t="shared" si="0"/>
        <v>-</v>
      </c>
      <c r="B52" s="60"/>
      <c r="C52" s="53"/>
      <c r="D52" s="53"/>
      <c r="E52" s="61"/>
      <c r="F52" s="53"/>
      <c r="G52" s="64"/>
      <c r="H52" s="63" t="str">
        <f t="shared" si="1"/>
        <v>; ;  </v>
      </c>
      <c r="I52" s="53"/>
      <c r="J52" s="53"/>
      <c r="K52" s="53"/>
      <c r="L52" s="81"/>
      <c r="M52" s="81"/>
      <c r="N52" s="83"/>
      <c r="O52" s="83"/>
      <c r="P52" s="81"/>
      <c r="Q52" s="81"/>
      <c r="R52" s="81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102"/>
      <c r="AX52" s="102"/>
      <c r="AY52" s="101"/>
    </row>
    <row r="53" s="31" customFormat="1" spans="1:51">
      <c r="A53" s="53" t="str">
        <f t="shared" si="0"/>
        <v>-</v>
      </c>
      <c r="B53" s="60"/>
      <c r="C53" s="53"/>
      <c r="D53" s="53"/>
      <c r="E53" s="61"/>
      <c r="F53" s="53"/>
      <c r="G53" s="64"/>
      <c r="H53" s="63" t="str">
        <f t="shared" si="1"/>
        <v>; ;  </v>
      </c>
      <c r="I53" s="53"/>
      <c r="J53" s="53"/>
      <c r="K53" s="53"/>
      <c r="L53" s="81"/>
      <c r="M53" s="81"/>
      <c r="N53" s="83"/>
      <c r="O53" s="83"/>
      <c r="P53" s="81"/>
      <c r="Q53" s="81"/>
      <c r="R53" s="81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102"/>
      <c r="AX53" s="102"/>
      <c r="AY53" s="101"/>
    </row>
    <row r="54" s="31" customFormat="1" spans="1:51">
      <c r="A54" s="53" t="str">
        <f t="shared" si="0"/>
        <v>-</v>
      </c>
      <c r="B54" s="60"/>
      <c r="C54" s="53"/>
      <c r="D54" s="53"/>
      <c r="E54" s="61"/>
      <c r="F54" s="53"/>
      <c r="G54" s="64"/>
      <c r="H54" s="63" t="str">
        <f t="shared" si="1"/>
        <v>; ;  </v>
      </c>
      <c r="I54" s="53"/>
      <c r="J54" s="53"/>
      <c r="K54" s="53"/>
      <c r="L54" s="81"/>
      <c r="M54" s="81"/>
      <c r="N54" s="83"/>
      <c r="O54" s="83"/>
      <c r="P54" s="81"/>
      <c r="Q54" s="81"/>
      <c r="R54" s="81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102"/>
      <c r="AX54" s="102"/>
      <c r="AY54" s="101"/>
    </row>
    <row r="55" s="31" customFormat="1" spans="1:51">
      <c r="A55" s="53" t="str">
        <f t="shared" si="0"/>
        <v>-</v>
      </c>
      <c r="B55" s="60"/>
      <c r="C55" s="53"/>
      <c r="D55" s="53"/>
      <c r="E55" s="61"/>
      <c r="F55" s="53"/>
      <c r="G55" s="64"/>
      <c r="H55" s="63" t="str">
        <f t="shared" si="1"/>
        <v>; ;  </v>
      </c>
      <c r="I55" s="53"/>
      <c r="J55" s="53"/>
      <c r="K55" s="53"/>
      <c r="L55" s="81"/>
      <c r="M55" s="81"/>
      <c r="N55" s="83"/>
      <c r="O55" s="83"/>
      <c r="P55" s="81"/>
      <c r="Q55" s="81"/>
      <c r="R55" s="81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102"/>
      <c r="AX55" s="102"/>
      <c r="AY55" s="101"/>
    </row>
    <row r="56" s="31" customFormat="1" spans="1:51">
      <c r="A56" s="53" t="str">
        <f t="shared" si="0"/>
        <v>-</v>
      </c>
      <c r="B56" s="60"/>
      <c r="C56" s="53"/>
      <c r="D56" s="53"/>
      <c r="E56" s="61"/>
      <c r="F56" s="53"/>
      <c r="G56" s="64"/>
      <c r="H56" s="63" t="str">
        <f t="shared" si="1"/>
        <v>; ;  </v>
      </c>
      <c r="I56" s="53"/>
      <c r="J56" s="53"/>
      <c r="K56" s="53"/>
      <c r="L56" s="81"/>
      <c r="M56" s="81"/>
      <c r="N56" s="83"/>
      <c r="O56" s="83"/>
      <c r="P56" s="81"/>
      <c r="Q56" s="81"/>
      <c r="R56" s="81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102"/>
      <c r="AX56" s="102"/>
      <c r="AY56" s="101"/>
    </row>
    <row r="57" s="31" customFormat="1" spans="1:51">
      <c r="A57" s="53" t="str">
        <f t="shared" si="0"/>
        <v>-</v>
      </c>
      <c r="B57" s="60"/>
      <c r="C57" s="53"/>
      <c r="D57" s="53"/>
      <c r="E57" s="61"/>
      <c r="F57" s="53"/>
      <c r="G57" s="64"/>
      <c r="H57" s="63" t="str">
        <f t="shared" si="1"/>
        <v>; ;  </v>
      </c>
      <c r="I57" s="53"/>
      <c r="J57" s="53"/>
      <c r="K57" s="53"/>
      <c r="L57" s="81"/>
      <c r="M57" s="81"/>
      <c r="N57" s="83"/>
      <c r="O57" s="83"/>
      <c r="P57" s="81"/>
      <c r="Q57" s="81"/>
      <c r="R57" s="81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102"/>
      <c r="AX57" s="102"/>
      <c r="AY57" s="101"/>
    </row>
    <row r="58" s="31" customFormat="1" spans="1:51">
      <c r="A58" s="53" t="str">
        <f t="shared" si="0"/>
        <v>-</v>
      </c>
      <c r="B58" s="60"/>
      <c r="C58" s="53"/>
      <c r="D58" s="53"/>
      <c r="E58" s="61"/>
      <c r="F58" s="53"/>
      <c r="G58" s="64"/>
      <c r="H58" s="63" t="str">
        <f t="shared" si="1"/>
        <v>; ;  </v>
      </c>
      <c r="I58" s="53"/>
      <c r="J58" s="53"/>
      <c r="K58" s="53"/>
      <c r="L58" s="81"/>
      <c r="M58" s="81"/>
      <c r="N58" s="83"/>
      <c r="O58" s="83"/>
      <c r="P58" s="81"/>
      <c r="Q58" s="81"/>
      <c r="R58" s="81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102"/>
      <c r="AX58" s="102"/>
      <c r="AY58" s="101"/>
    </row>
    <row r="59" s="31" customFormat="1" spans="1:51">
      <c r="A59" s="53" t="str">
        <f t="shared" si="0"/>
        <v>-</v>
      </c>
      <c r="B59" s="60"/>
      <c r="C59" s="53"/>
      <c r="D59" s="53"/>
      <c r="E59" s="61"/>
      <c r="F59" s="53"/>
      <c r="G59" s="64"/>
      <c r="H59" s="63" t="str">
        <f t="shared" si="1"/>
        <v>; ;  </v>
      </c>
      <c r="I59" s="53"/>
      <c r="J59" s="53"/>
      <c r="K59" s="53"/>
      <c r="L59" s="81"/>
      <c r="M59" s="81"/>
      <c r="N59" s="83"/>
      <c r="O59" s="83"/>
      <c r="P59" s="81"/>
      <c r="Q59" s="81"/>
      <c r="R59" s="81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102"/>
      <c r="AX59" s="102"/>
      <c r="AY59" s="101"/>
    </row>
    <row r="60" s="31" customFormat="1" spans="1:51">
      <c r="A60" s="53" t="str">
        <f t="shared" si="0"/>
        <v>-</v>
      </c>
      <c r="B60" s="60"/>
      <c r="C60" s="53"/>
      <c r="D60" s="53"/>
      <c r="E60" s="61"/>
      <c r="F60" s="53"/>
      <c r="G60" s="64"/>
      <c r="H60" s="63" t="str">
        <f t="shared" si="1"/>
        <v>; ;  </v>
      </c>
      <c r="I60" s="53"/>
      <c r="J60" s="53"/>
      <c r="K60" s="53"/>
      <c r="L60" s="81"/>
      <c r="M60" s="81"/>
      <c r="N60" s="83"/>
      <c r="O60" s="83"/>
      <c r="P60" s="81"/>
      <c r="Q60" s="81"/>
      <c r="R60" s="81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102"/>
      <c r="AX60" s="102"/>
      <c r="AY60" s="101"/>
    </row>
    <row r="61" s="31" customFormat="1" spans="2:51">
      <c r="B61" s="65"/>
      <c r="C61" s="66"/>
      <c r="D61" s="66"/>
      <c r="E61" s="67"/>
      <c r="F61" s="66"/>
      <c r="G61" s="68"/>
      <c r="H61" s="66"/>
      <c r="I61" s="66"/>
      <c r="J61" s="66"/>
      <c r="K61" s="66"/>
      <c r="L61" s="84"/>
      <c r="M61" s="84"/>
      <c r="N61" s="41"/>
      <c r="O61" s="41"/>
      <c r="P61" s="84"/>
      <c r="Q61" s="84"/>
      <c r="R61" s="84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6"/>
      <c r="AV61" s="65"/>
      <c r="AW61" s="66"/>
      <c r="AX61" s="103"/>
      <c r="AY61" s="104"/>
    </row>
    <row r="62" s="31" customFormat="1" spans="2:51">
      <c r="B62" s="65"/>
      <c r="C62" s="66"/>
      <c r="D62" s="66"/>
      <c r="E62" s="67"/>
      <c r="F62" s="66"/>
      <c r="G62" s="68"/>
      <c r="H62" s="66"/>
      <c r="I62" s="66"/>
      <c r="J62" s="66"/>
      <c r="K62" s="66"/>
      <c r="L62" s="84"/>
      <c r="M62" s="84"/>
      <c r="N62" s="41"/>
      <c r="O62" s="41"/>
      <c r="P62" s="84"/>
      <c r="Q62" s="84"/>
      <c r="R62" s="84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5"/>
      <c r="AW62" s="66"/>
      <c r="AX62" s="103"/>
      <c r="AY62" s="105"/>
    </row>
    <row r="63" s="31" customFormat="1" spans="2:51">
      <c r="B63" s="65"/>
      <c r="C63" s="66"/>
      <c r="D63" s="66"/>
      <c r="E63" s="67"/>
      <c r="F63" s="66"/>
      <c r="G63" s="68"/>
      <c r="H63" s="66"/>
      <c r="I63" s="66"/>
      <c r="J63" s="66"/>
      <c r="K63" s="66"/>
      <c r="L63" s="84"/>
      <c r="M63" s="84"/>
      <c r="N63" s="41"/>
      <c r="O63" s="41"/>
      <c r="P63" s="84"/>
      <c r="Q63" s="84"/>
      <c r="R63" s="84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6"/>
      <c r="AV63" s="65"/>
      <c r="AW63" s="66"/>
      <c r="AX63" s="103"/>
      <c r="AY63" s="105"/>
    </row>
    <row r="64" s="31" customFormat="1" spans="2:51">
      <c r="B64" s="65"/>
      <c r="C64" s="66"/>
      <c r="D64" s="66"/>
      <c r="E64" s="67"/>
      <c r="F64" s="66"/>
      <c r="G64" s="68"/>
      <c r="H64" s="66"/>
      <c r="I64" s="66"/>
      <c r="J64" s="66"/>
      <c r="K64" s="66"/>
      <c r="L64" s="84"/>
      <c r="M64" s="84"/>
      <c r="N64" s="41"/>
      <c r="O64" s="41"/>
      <c r="P64" s="84"/>
      <c r="Q64" s="84"/>
      <c r="R64" s="84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5"/>
      <c r="AW64" s="66"/>
      <c r="AX64" s="103"/>
      <c r="AY64" s="105"/>
    </row>
    <row r="65" s="31" customFormat="1" spans="2:51">
      <c r="B65" s="65"/>
      <c r="C65" s="66"/>
      <c r="D65" s="66"/>
      <c r="E65" s="67"/>
      <c r="F65" s="66"/>
      <c r="G65" s="68"/>
      <c r="H65" s="66"/>
      <c r="I65" s="66"/>
      <c r="J65" s="66"/>
      <c r="K65" s="66"/>
      <c r="L65" s="84"/>
      <c r="M65" s="84"/>
      <c r="N65" s="41"/>
      <c r="O65" s="41"/>
      <c r="P65" s="84"/>
      <c r="Q65" s="84"/>
      <c r="R65" s="84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5"/>
      <c r="AW65" s="66"/>
      <c r="AX65" s="103"/>
      <c r="AY65" s="105"/>
    </row>
    <row r="66" s="31" customFormat="1" spans="2:51">
      <c r="B66" s="65"/>
      <c r="C66" s="66"/>
      <c r="D66" s="66"/>
      <c r="E66" s="67"/>
      <c r="F66" s="66"/>
      <c r="G66" s="68"/>
      <c r="H66" s="66"/>
      <c r="I66" s="66"/>
      <c r="J66" s="66"/>
      <c r="K66" s="66"/>
      <c r="L66" s="84"/>
      <c r="M66" s="84"/>
      <c r="N66" s="41"/>
      <c r="O66" s="41"/>
      <c r="P66" s="84"/>
      <c r="Q66" s="84"/>
      <c r="R66" s="84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5"/>
      <c r="AW66" s="66"/>
      <c r="AX66" s="103"/>
      <c r="AY66" s="105"/>
    </row>
    <row r="67" s="31" customFormat="1" spans="2:51">
      <c r="B67" s="65"/>
      <c r="C67" s="66"/>
      <c r="D67" s="66"/>
      <c r="E67" s="67"/>
      <c r="F67" s="66"/>
      <c r="G67" s="68"/>
      <c r="H67" s="66"/>
      <c r="I67" s="66"/>
      <c r="J67" s="66"/>
      <c r="K67" s="66"/>
      <c r="L67" s="84"/>
      <c r="M67" s="84"/>
      <c r="N67" s="41"/>
      <c r="O67" s="41"/>
      <c r="P67" s="84"/>
      <c r="Q67" s="84"/>
      <c r="R67" s="84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5"/>
      <c r="AW67" s="66"/>
      <c r="AX67" s="103"/>
      <c r="AY67" s="105"/>
    </row>
    <row r="68" s="31" customFormat="1" spans="2:51">
      <c r="B68" s="65"/>
      <c r="C68" s="66"/>
      <c r="D68" s="66"/>
      <c r="E68" s="67"/>
      <c r="F68" s="66"/>
      <c r="G68" s="68"/>
      <c r="H68" s="66"/>
      <c r="I68" s="66"/>
      <c r="J68" s="66"/>
      <c r="K68" s="66"/>
      <c r="L68" s="84"/>
      <c r="M68" s="84"/>
      <c r="N68" s="41"/>
      <c r="O68" s="41"/>
      <c r="P68" s="84"/>
      <c r="Q68" s="84"/>
      <c r="R68" s="84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5"/>
      <c r="AW68" s="66"/>
      <c r="AX68" s="103"/>
      <c r="AY68" s="105"/>
    </row>
    <row r="69" s="31" customFormat="1" spans="2:51">
      <c r="B69" s="65"/>
      <c r="C69" s="66"/>
      <c r="D69" s="66"/>
      <c r="E69" s="67"/>
      <c r="F69" s="66"/>
      <c r="G69" s="68"/>
      <c r="H69" s="66"/>
      <c r="I69" s="66"/>
      <c r="J69" s="66"/>
      <c r="K69" s="66"/>
      <c r="L69" s="84"/>
      <c r="M69" s="84"/>
      <c r="N69" s="41"/>
      <c r="O69" s="41"/>
      <c r="P69" s="84"/>
      <c r="Q69" s="84"/>
      <c r="R69" s="84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5"/>
      <c r="AW69" s="66"/>
      <c r="AX69" s="103"/>
      <c r="AY69" s="105"/>
    </row>
    <row r="70" s="31" customFormat="1" spans="2:51">
      <c r="B70" s="65"/>
      <c r="C70" s="66"/>
      <c r="D70" s="66"/>
      <c r="E70" s="67"/>
      <c r="F70" s="66"/>
      <c r="G70" s="68"/>
      <c r="H70" s="66"/>
      <c r="I70" s="66"/>
      <c r="J70" s="66"/>
      <c r="K70" s="66"/>
      <c r="L70" s="84"/>
      <c r="M70" s="84"/>
      <c r="N70" s="41"/>
      <c r="O70" s="41"/>
      <c r="P70" s="84"/>
      <c r="Q70" s="84"/>
      <c r="R70" s="84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5"/>
      <c r="AW70" s="66"/>
      <c r="AX70" s="103"/>
      <c r="AY70" s="105"/>
    </row>
    <row r="71" s="31" customFormat="1" spans="2:51">
      <c r="B71" s="65"/>
      <c r="C71" s="66"/>
      <c r="D71" s="66"/>
      <c r="E71" s="67"/>
      <c r="F71" s="66"/>
      <c r="G71" s="68"/>
      <c r="H71" s="66"/>
      <c r="I71" s="66"/>
      <c r="J71" s="66"/>
      <c r="K71" s="66"/>
      <c r="L71" s="84"/>
      <c r="M71" s="84"/>
      <c r="N71" s="41"/>
      <c r="O71" s="41"/>
      <c r="P71" s="84"/>
      <c r="Q71" s="84"/>
      <c r="R71" s="84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5"/>
      <c r="AW71" s="66"/>
      <c r="AX71" s="103"/>
      <c r="AY71" s="105"/>
    </row>
    <row r="72" s="31" customFormat="1" spans="2:51">
      <c r="B72" s="65"/>
      <c r="C72" s="66"/>
      <c r="D72" s="66"/>
      <c r="E72" s="67"/>
      <c r="F72" s="66"/>
      <c r="G72" s="68"/>
      <c r="H72" s="66"/>
      <c r="I72" s="66"/>
      <c r="J72" s="66"/>
      <c r="K72" s="66"/>
      <c r="L72" s="84"/>
      <c r="M72" s="84"/>
      <c r="N72" s="41"/>
      <c r="O72" s="41"/>
      <c r="P72" s="84"/>
      <c r="Q72" s="84"/>
      <c r="R72" s="84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6"/>
      <c r="AV72" s="65"/>
      <c r="AW72" s="66"/>
      <c r="AX72" s="103"/>
      <c r="AY72" s="105"/>
    </row>
    <row r="73" s="31" customFormat="1" spans="2:51">
      <c r="B73" s="65"/>
      <c r="C73" s="66"/>
      <c r="D73" s="66"/>
      <c r="E73" s="67"/>
      <c r="F73" s="66"/>
      <c r="G73" s="68"/>
      <c r="H73" s="66"/>
      <c r="I73" s="66"/>
      <c r="J73" s="66"/>
      <c r="K73" s="66"/>
      <c r="L73" s="84"/>
      <c r="M73" s="84"/>
      <c r="N73" s="41"/>
      <c r="O73" s="41"/>
      <c r="P73" s="84"/>
      <c r="Q73" s="84"/>
      <c r="R73" s="84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  <c r="AV73" s="65"/>
      <c r="AW73" s="66"/>
      <c r="AX73" s="103"/>
      <c r="AY73" s="105"/>
    </row>
    <row r="74" s="31" customFormat="1" spans="2:51">
      <c r="B74" s="65"/>
      <c r="C74" s="66"/>
      <c r="D74" s="66"/>
      <c r="E74" s="67"/>
      <c r="F74" s="66"/>
      <c r="G74" s="68"/>
      <c r="H74" s="66"/>
      <c r="I74" s="66"/>
      <c r="J74" s="66"/>
      <c r="K74" s="66"/>
      <c r="L74" s="84"/>
      <c r="M74" s="84"/>
      <c r="N74" s="41"/>
      <c r="O74" s="41"/>
      <c r="P74" s="84"/>
      <c r="Q74" s="84"/>
      <c r="R74" s="84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5"/>
      <c r="AW74" s="66"/>
      <c r="AX74" s="103"/>
      <c r="AY74" s="105"/>
    </row>
    <row r="75" s="31" customFormat="1" spans="2:51">
      <c r="B75" s="65"/>
      <c r="C75" s="66"/>
      <c r="D75" s="66"/>
      <c r="E75" s="67"/>
      <c r="F75" s="66"/>
      <c r="G75" s="68"/>
      <c r="H75" s="66"/>
      <c r="I75" s="66"/>
      <c r="J75" s="66"/>
      <c r="K75" s="66"/>
      <c r="L75" s="84"/>
      <c r="M75" s="84"/>
      <c r="N75" s="41"/>
      <c r="O75" s="41"/>
      <c r="P75" s="84"/>
      <c r="Q75" s="84"/>
      <c r="R75" s="84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5"/>
      <c r="AW75" s="66"/>
      <c r="AX75" s="103"/>
      <c r="AY75" s="105"/>
    </row>
    <row r="76" s="31" customFormat="1" spans="2:51">
      <c r="B76" s="65"/>
      <c r="C76" s="66"/>
      <c r="D76" s="66"/>
      <c r="E76" s="67"/>
      <c r="F76" s="66"/>
      <c r="G76" s="68"/>
      <c r="H76" s="66"/>
      <c r="I76" s="66"/>
      <c r="J76" s="66"/>
      <c r="K76" s="66"/>
      <c r="L76" s="84"/>
      <c r="M76" s="84"/>
      <c r="N76" s="41"/>
      <c r="O76" s="41"/>
      <c r="P76" s="84"/>
      <c r="Q76" s="84"/>
      <c r="R76" s="84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5"/>
      <c r="AW76" s="66"/>
      <c r="AX76" s="103"/>
      <c r="AY76" s="105"/>
    </row>
    <row r="77" s="31" customFormat="1" spans="2:51">
      <c r="B77" s="65"/>
      <c r="C77" s="66"/>
      <c r="D77" s="66"/>
      <c r="E77" s="67"/>
      <c r="F77" s="66"/>
      <c r="G77" s="68"/>
      <c r="H77" s="66"/>
      <c r="I77" s="66"/>
      <c r="J77" s="66"/>
      <c r="K77" s="66"/>
      <c r="L77" s="84"/>
      <c r="M77" s="84"/>
      <c r="N77" s="41"/>
      <c r="O77" s="41"/>
      <c r="P77" s="84"/>
      <c r="Q77" s="84"/>
      <c r="R77" s="84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5"/>
      <c r="AW77" s="66"/>
      <c r="AX77" s="103"/>
      <c r="AY77" s="105"/>
    </row>
    <row r="78" s="31" customFormat="1" spans="2:51">
      <c r="B78" s="65"/>
      <c r="C78" s="66"/>
      <c r="D78" s="66"/>
      <c r="E78" s="67"/>
      <c r="F78" s="66"/>
      <c r="G78" s="68"/>
      <c r="H78" s="66"/>
      <c r="I78" s="66"/>
      <c r="J78" s="66"/>
      <c r="K78" s="66"/>
      <c r="L78" s="84"/>
      <c r="M78" s="84"/>
      <c r="N78" s="41"/>
      <c r="O78" s="41"/>
      <c r="P78" s="84"/>
      <c r="Q78" s="84"/>
      <c r="R78" s="84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6"/>
      <c r="AV78" s="65"/>
      <c r="AW78" s="66"/>
      <c r="AX78" s="103"/>
      <c r="AY78" s="105"/>
    </row>
    <row r="79" s="31" customFormat="1" spans="2:51">
      <c r="B79" s="65"/>
      <c r="C79" s="66"/>
      <c r="D79" s="66"/>
      <c r="E79" s="67"/>
      <c r="F79" s="66"/>
      <c r="G79" s="68"/>
      <c r="H79" s="66"/>
      <c r="I79" s="66"/>
      <c r="J79" s="66"/>
      <c r="K79" s="66"/>
      <c r="L79" s="84"/>
      <c r="M79" s="84"/>
      <c r="N79" s="41"/>
      <c r="O79" s="41"/>
      <c r="P79" s="84"/>
      <c r="Q79" s="84"/>
      <c r="R79" s="84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6"/>
      <c r="AV79" s="65"/>
      <c r="AW79" s="66"/>
      <c r="AX79" s="103"/>
      <c r="AY79" s="105"/>
    </row>
    <row r="80" s="31" customFormat="1" spans="2:51">
      <c r="B80" s="65"/>
      <c r="C80" s="66"/>
      <c r="D80" s="66"/>
      <c r="E80" s="67"/>
      <c r="F80" s="66"/>
      <c r="G80" s="68"/>
      <c r="H80" s="66"/>
      <c r="I80" s="66"/>
      <c r="J80" s="66"/>
      <c r="K80" s="66"/>
      <c r="L80" s="84"/>
      <c r="M80" s="84"/>
      <c r="N80" s="41"/>
      <c r="O80" s="41"/>
      <c r="P80" s="84"/>
      <c r="Q80" s="84"/>
      <c r="R80" s="84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5"/>
      <c r="AW80" s="66"/>
      <c r="AX80" s="66"/>
      <c r="AY80" s="106"/>
    </row>
    <row r="81" s="31" customFormat="1" spans="2:51">
      <c r="B81" s="65"/>
      <c r="C81" s="66"/>
      <c r="D81" s="66"/>
      <c r="E81" s="67"/>
      <c r="F81" s="66"/>
      <c r="G81" s="68"/>
      <c r="H81" s="66"/>
      <c r="I81" s="66"/>
      <c r="J81" s="66"/>
      <c r="K81" s="66"/>
      <c r="L81" s="84"/>
      <c r="M81" s="84"/>
      <c r="N81" s="41"/>
      <c r="O81" s="41"/>
      <c r="P81" s="84"/>
      <c r="Q81" s="84"/>
      <c r="R81" s="84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5"/>
      <c r="AW81" s="66"/>
      <c r="AX81" s="66"/>
      <c r="AY81" s="106"/>
    </row>
    <row r="82" s="31" customFormat="1" spans="2:51">
      <c r="B82" s="65"/>
      <c r="C82" s="66"/>
      <c r="D82" s="66"/>
      <c r="E82" s="67"/>
      <c r="F82" s="66"/>
      <c r="G82" s="68"/>
      <c r="H82" s="66"/>
      <c r="I82" s="66"/>
      <c r="J82" s="66"/>
      <c r="K82" s="66"/>
      <c r="L82" s="84"/>
      <c r="M82" s="84"/>
      <c r="N82" s="41"/>
      <c r="O82" s="41"/>
      <c r="P82" s="84"/>
      <c r="Q82" s="84"/>
      <c r="R82" s="84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6"/>
      <c r="AV82" s="65"/>
      <c r="AW82" s="66"/>
      <c r="AX82" s="66"/>
      <c r="AY82" s="106"/>
    </row>
    <row r="83" s="31" customFormat="1" spans="2:51">
      <c r="B83" s="65"/>
      <c r="C83" s="66"/>
      <c r="D83" s="66"/>
      <c r="E83" s="67"/>
      <c r="F83" s="66"/>
      <c r="G83" s="68"/>
      <c r="H83" s="66"/>
      <c r="I83" s="66"/>
      <c r="J83" s="66"/>
      <c r="K83" s="66"/>
      <c r="L83" s="84"/>
      <c r="M83" s="84"/>
      <c r="N83" s="41"/>
      <c r="O83" s="41"/>
      <c r="P83" s="84"/>
      <c r="Q83" s="84"/>
      <c r="R83" s="84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6"/>
      <c r="AV83" s="65"/>
      <c r="AW83" s="66"/>
      <c r="AX83" s="66"/>
      <c r="AY83" s="106"/>
    </row>
    <row r="84" s="31" customFormat="1" spans="2:51">
      <c r="B84" s="65"/>
      <c r="C84" s="66"/>
      <c r="D84" s="66"/>
      <c r="E84" s="67"/>
      <c r="F84" s="66"/>
      <c r="G84" s="68"/>
      <c r="H84" s="66"/>
      <c r="I84" s="66"/>
      <c r="J84" s="66"/>
      <c r="K84" s="66"/>
      <c r="L84" s="84"/>
      <c r="M84" s="84"/>
      <c r="N84" s="41"/>
      <c r="O84" s="41"/>
      <c r="P84" s="84"/>
      <c r="Q84" s="84"/>
      <c r="R84" s="84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6"/>
      <c r="AV84" s="65"/>
      <c r="AW84" s="66"/>
      <c r="AX84" s="66"/>
      <c r="AY84" s="106"/>
    </row>
    <row r="85" s="31" customFormat="1" spans="2:51">
      <c r="B85" s="65"/>
      <c r="C85" s="66"/>
      <c r="D85" s="66"/>
      <c r="E85" s="67"/>
      <c r="F85" s="66"/>
      <c r="G85" s="68"/>
      <c r="H85" s="66"/>
      <c r="I85" s="66"/>
      <c r="J85" s="66"/>
      <c r="K85" s="66"/>
      <c r="L85" s="84"/>
      <c r="M85" s="84"/>
      <c r="N85" s="41"/>
      <c r="O85" s="41"/>
      <c r="P85" s="84"/>
      <c r="Q85" s="84"/>
      <c r="R85" s="84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6"/>
      <c r="AV85" s="65"/>
      <c r="AW85" s="66"/>
      <c r="AX85" s="66"/>
      <c r="AY85" s="106"/>
    </row>
    <row r="86" s="31" customFormat="1" spans="2:51">
      <c r="B86" s="65"/>
      <c r="C86" s="66"/>
      <c r="D86" s="66"/>
      <c r="E86" s="67"/>
      <c r="F86" s="66"/>
      <c r="G86" s="68"/>
      <c r="H86" s="66"/>
      <c r="I86" s="66"/>
      <c r="J86" s="66"/>
      <c r="K86" s="66"/>
      <c r="L86" s="84"/>
      <c r="M86" s="84"/>
      <c r="N86" s="41"/>
      <c r="O86" s="41"/>
      <c r="P86" s="84"/>
      <c r="Q86" s="84"/>
      <c r="R86" s="84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6"/>
      <c r="AV86" s="65"/>
      <c r="AW86" s="66"/>
      <c r="AX86" s="66"/>
      <c r="AY86" s="106"/>
    </row>
    <row r="87" s="31" customFormat="1" spans="2:51">
      <c r="B87" s="65"/>
      <c r="C87" s="66"/>
      <c r="D87" s="66"/>
      <c r="E87" s="67"/>
      <c r="F87" s="66"/>
      <c r="G87" s="68"/>
      <c r="H87" s="66"/>
      <c r="I87" s="66"/>
      <c r="J87" s="66"/>
      <c r="K87" s="66"/>
      <c r="L87" s="84"/>
      <c r="M87" s="84"/>
      <c r="N87" s="41"/>
      <c r="O87" s="41"/>
      <c r="P87" s="84"/>
      <c r="Q87" s="84"/>
      <c r="R87" s="84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6"/>
      <c r="AV87" s="65"/>
      <c r="AW87" s="66"/>
      <c r="AX87" s="66"/>
      <c r="AY87" s="106"/>
    </row>
    <row r="88" s="31" customFormat="1" spans="2:51">
      <c r="B88" s="65"/>
      <c r="C88" s="66"/>
      <c r="D88" s="66"/>
      <c r="E88" s="67"/>
      <c r="F88" s="66"/>
      <c r="G88" s="68"/>
      <c r="H88" s="66"/>
      <c r="I88" s="66"/>
      <c r="J88" s="66"/>
      <c r="K88" s="66"/>
      <c r="L88" s="84"/>
      <c r="M88" s="84"/>
      <c r="N88" s="41"/>
      <c r="O88" s="41"/>
      <c r="P88" s="84"/>
      <c r="Q88" s="84"/>
      <c r="R88" s="84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5"/>
      <c r="AW88" s="66"/>
      <c r="AX88" s="66"/>
      <c r="AY88" s="106"/>
    </row>
    <row r="89" s="31" customFormat="1" spans="2:51">
      <c r="B89" s="65"/>
      <c r="C89" s="66"/>
      <c r="D89" s="66"/>
      <c r="E89" s="67"/>
      <c r="F89" s="66"/>
      <c r="G89" s="68"/>
      <c r="H89" s="66"/>
      <c r="I89" s="66"/>
      <c r="J89" s="66"/>
      <c r="K89" s="66"/>
      <c r="L89" s="84"/>
      <c r="M89" s="84"/>
      <c r="N89" s="41"/>
      <c r="O89" s="41"/>
      <c r="P89" s="84"/>
      <c r="Q89" s="84"/>
      <c r="R89" s="84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5"/>
      <c r="AW89" s="66"/>
      <c r="AX89" s="66"/>
      <c r="AY89" s="106"/>
    </row>
    <row r="90" s="31" customFormat="1" spans="2:51">
      <c r="B90" s="65"/>
      <c r="C90" s="66"/>
      <c r="D90" s="66"/>
      <c r="E90" s="67"/>
      <c r="F90" s="66"/>
      <c r="G90" s="68"/>
      <c r="H90" s="66"/>
      <c r="I90" s="66"/>
      <c r="J90" s="66"/>
      <c r="K90" s="66"/>
      <c r="L90" s="84"/>
      <c r="M90" s="84"/>
      <c r="N90" s="41"/>
      <c r="O90" s="41"/>
      <c r="P90" s="84"/>
      <c r="Q90" s="84"/>
      <c r="R90" s="84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  <c r="AV90" s="65"/>
      <c r="AW90" s="66"/>
      <c r="AX90" s="66"/>
      <c r="AY90" s="106"/>
    </row>
    <row r="91" s="31" customFormat="1" spans="2:51">
      <c r="B91" s="65"/>
      <c r="C91" s="66"/>
      <c r="D91" s="66"/>
      <c r="E91" s="67"/>
      <c r="F91" s="66"/>
      <c r="G91" s="68"/>
      <c r="H91" s="66"/>
      <c r="I91" s="66"/>
      <c r="J91" s="66"/>
      <c r="K91" s="66"/>
      <c r="L91" s="84"/>
      <c r="M91" s="84"/>
      <c r="N91" s="41"/>
      <c r="O91" s="41"/>
      <c r="P91" s="84"/>
      <c r="Q91" s="84"/>
      <c r="R91" s="84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  <c r="AV91" s="65"/>
      <c r="AW91" s="66"/>
      <c r="AX91" s="66"/>
      <c r="AY91" s="106"/>
    </row>
    <row r="92" s="31" customFormat="1" spans="2:51">
      <c r="B92" s="65"/>
      <c r="C92" s="66"/>
      <c r="D92" s="66"/>
      <c r="E92" s="67"/>
      <c r="F92" s="66"/>
      <c r="G92" s="68"/>
      <c r="H92" s="66"/>
      <c r="I92" s="66"/>
      <c r="J92" s="66"/>
      <c r="K92" s="66"/>
      <c r="L92" s="84"/>
      <c r="M92" s="84"/>
      <c r="N92" s="41"/>
      <c r="O92" s="41"/>
      <c r="P92" s="84"/>
      <c r="Q92" s="84"/>
      <c r="R92" s="84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6"/>
      <c r="AV92" s="65"/>
      <c r="AW92" s="66"/>
      <c r="AX92" s="66"/>
      <c r="AY92" s="106"/>
    </row>
    <row r="93" s="31" customFormat="1" spans="2:51">
      <c r="B93" s="65"/>
      <c r="C93" s="66"/>
      <c r="D93" s="66"/>
      <c r="E93" s="67"/>
      <c r="F93" s="66"/>
      <c r="G93" s="68"/>
      <c r="H93" s="66"/>
      <c r="I93" s="66"/>
      <c r="J93" s="66"/>
      <c r="K93" s="66"/>
      <c r="L93" s="84"/>
      <c r="M93" s="84"/>
      <c r="N93" s="41"/>
      <c r="O93" s="41"/>
      <c r="P93" s="84"/>
      <c r="Q93" s="84"/>
      <c r="R93" s="84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6"/>
      <c r="AV93" s="65"/>
      <c r="AW93" s="66"/>
      <c r="AX93" s="66"/>
      <c r="AY93" s="106"/>
    </row>
    <row r="94" s="31" customFormat="1" spans="2:51">
      <c r="B94" s="65"/>
      <c r="C94" s="66"/>
      <c r="D94" s="66"/>
      <c r="E94" s="67"/>
      <c r="F94" s="66"/>
      <c r="G94" s="68"/>
      <c r="H94" s="66"/>
      <c r="I94" s="66"/>
      <c r="J94" s="66"/>
      <c r="K94" s="66"/>
      <c r="L94" s="84"/>
      <c r="M94" s="84"/>
      <c r="N94" s="41"/>
      <c r="O94" s="41"/>
      <c r="P94" s="84"/>
      <c r="Q94" s="84"/>
      <c r="R94" s="84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6"/>
      <c r="AV94" s="65"/>
      <c r="AW94" s="66"/>
      <c r="AX94" s="66"/>
      <c r="AY94" s="106"/>
    </row>
    <row r="95" s="31" customFormat="1" spans="2:51">
      <c r="B95" s="65"/>
      <c r="C95" s="66"/>
      <c r="D95" s="66"/>
      <c r="E95" s="67"/>
      <c r="F95" s="66"/>
      <c r="G95" s="68"/>
      <c r="H95" s="66"/>
      <c r="I95" s="66"/>
      <c r="J95" s="66"/>
      <c r="K95" s="66"/>
      <c r="L95" s="84"/>
      <c r="M95" s="84"/>
      <c r="N95" s="41"/>
      <c r="O95" s="41"/>
      <c r="P95" s="84"/>
      <c r="Q95" s="84"/>
      <c r="R95" s="84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6"/>
      <c r="AV95" s="65"/>
      <c r="AW95" s="66"/>
      <c r="AX95" s="66"/>
      <c r="AY95" s="106"/>
    </row>
    <row r="96" s="31" customFormat="1" spans="2:51">
      <c r="B96" s="65"/>
      <c r="C96" s="66"/>
      <c r="D96" s="66"/>
      <c r="E96" s="67"/>
      <c r="F96" s="66"/>
      <c r="G96" s="68"/>
      <c r="H96" s="66"/>
      <c r="I96" s="66"/>
      <c r="J96" s="66"/>
      <c r="K96" s="66"/>
      <c r="L96" s="84"/>
      <c r="M96" s="84"/>
      <c r="N96" s="41"/>
      <c r="O96" s="41"/>
      <c r="P96" s="84"/>
      <c r="Q96" s="84"/>
      <c r="R96" s="84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  <c r="AV96" s="65"/>
      <c r="AW96" s="66"/>
      <c r="AX96" s="66"/>
      <c r="AY96" s="106"/>
    </row>
    <row r="97" s="31" customFormat="1" spans="2:51">
      <c r="B97" s="65"/>
      <c r="C97" s="66"/>
      <c r="D97" s="66"/>
      <c r="E97" s="67"/>
      <c r="F97" s="66"/>
      <c r="G97" s="68"/>
      <c r="H97" s="66"/>
      <c r="I97" s="66"/>
      <c r="J97" s="66"/>
      <c r="K97" s="66"/>
      <c r="L97" s="84"/>
      <c r="M97" s="84"/>
      <c r="N97" s="41"/>
      <c r="O97" s="41"/>
      <c r="P97" s="84"/>
      <c r="Q97" s="84"/>
      <c r="R97" s="84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6"/>
      <c r="AV97" s="65"/>
      <c r="AW97" s="66"/>
      <c r="AX97" s="66"/>
      <c r="AY97" s="106"/>
    </row>
    <row r="98" s="31" customFormat="1" spans="2:51">
      <c r="B98" s="65"/>
      <c r="C98" s="66"/>
      <c r="D98" s="66"/>
      <c r="E98" s="67"/>
      <c r="F98" s="66"/>
      <c r="G98" s="68"/>
      <c r="H98" s="66"/>
      <c r="I98" s="66"/>
      <c r="J98" s="66"/>
      <c r="K98" s="66"/>
      <c r="L98" s="84"/>
      <c r="M98" s="84"/>
      <c r="N98" s="41"/>
      <c r="O98" s="41"/>
      <c r="P98" s="84"/>
      <c r="Q98" s="84"/>
      <c r="R98" s="84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6"/>
      <c r="AV98" s="65"/>
      <c r="AW98" s="66"/>
      <c r="AX98" s="66"/>
      <c r="AY98" s="106"/>
    </row>
    <row r="99" s="31" customFormat="1" spans="2:51">
      <c r="B99" s="65"/>
      <c r="C99" s="66"/>
      <c r="D99" s="66"/>
      <c r="E99" s="67"/>
      <c r="F99" s="66"/>
      <c r="G99" s="68"/>
      <c r="H99" s="66"/>
      <c r="I99" s="66"/>
      <c r="J99" s="66"/>
      <c r="K99" s="66"/>
      <c r="L99" s="84"/>
      <c r="M99" s="84"/>
      <c r="N99" s="41"/>
      <c r="O99" s="41"/>
      <c r="P99" s="84"/>
      <c r="Q99" s="84"/>
      <c r="R99" s="84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5"/>
      <c r="AW99" s="66"/>
      <c r="AX99" s="66"/>
      <c r="AY99" s="106"/>
    </row>
    <row r="100" s="31" customFormat="1" spans="2:51">
      <c r="B100" s="65"/>
      <c r="C100" s="66"/>
      <c r="D100" s="66"/>
      <c r="E100" s="67"/>
      <c r="F100" s="66"/>
      <c r="G100" s="68"/>
      <c r="H100" s="66"/>
      <c r="I100" s="66"/>
      <c r="J100" s="66"/>
      <c r="K100" s="66"/>
      <c r="L100" s="84"/>
      <c r="M100" s="84"/>
      <c r="N100" s="41"/>
      <c r="O100" s="41"/>
      <c r="P100" s="84"/>
      <c r="Q100" s="84"/>
      <c r="R100" s="84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5"/>
      <c r="AW100" s="66"/>
      <c r="AX100" s="66"/>
      <c r="AY100" s="106"/>
    </row>
    <row r="101" s="31" customFormat="1" spans="2:51">
      <c r="B101" s="65"/>
      <c r="C101" s="66"/>
      <c r="D101" s="66"/>
      <c r="E101" s="67"/>
      <c r="F101" s="66"/>
      <c r="G101" s="68"/>
      <c r="H101" s="66"/>
      <c r="I101" s="66"/>
      <c r="J101" s="66"/>
      <c r="K101" s="66"/>
      <c r="L101" s="84"/>
      <c r="M101" s="84"/>
      <c r="N101" s="41"/>
      <c r="O101" s="41"/>
      <c r="P101" s="84"/>
      <c r="Q101" s="84"/>
      <c r="R101" s="84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5"/>
      <c r="AW101" s="66"/>
      <c r="AX101" s="66"/>
      <c r="AY101" s="106"/>
    </row>
    <row r="102" s="31" customFormat="1" spans="2:51">
      <c r="B102" s="65"/>
      <c r="C102" s="66"/>
      <c r="D102" s="66"/>
      <c r="E102" s="67"/>
      <c r="F102" s="66"/>
      <c r="G102" s="68"/>
      <c r="H102" s="66"/>
      <c r="I102" s="66"/>
      <c r="J102" s="66"/>
      <c r="K102" s="66"/>
      <c r="L102" s="84"/>
      <c r="M102" s="84"/>
      <c r="N102" s="41"/>
      <c r="O102" s="41"/>
      <c r="P102" s="84"/>
      <c r="Q102" s="84"/>
      <c r="R102" s="84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5"/>
      <c r="AW102" s="66"/>
      <c r="AX102" s="66"/>
      <c r="AY102" s="106"/>
    </row>
    <row r="103" s="31" customFormat="1" spans="2:51">
      <c r="B103" s="65"/>
      <c r="C103" s="66"/>
      <c r="D103" s="66"/>
      <c r="E103" s="67"/>
      <c r="F103" s="66"/>
      <c r="G103" s="68"/>
      <c r="H103" s="66"/>
      <c r="I103" s="66"/>
      <c r="J103" s="66"/>
      <c r="K103" s="66"/>
      <c r="L103" s="84"/>
      <c r="M103" s="84"/>
      <c r="N103" s="41"/>
      <c r="O103" s="41"/>
      <c r="P103" s="84"/>
      <c r="Q103" s="84"/>
      <c r="R103" s="84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5"/>
      <c r="AW103" s="66"/>
      <c r="AX103" s="66"/>
      <c r="AY103" s="106"/>
    </row>
    <row r="104" s="31" customFormat="1" spans="2:51">
      <c r="B104" s="65"/>
      <c r="C104" s="66"/>
      <c r="D104" s="66"/>
      <c r="E104" s="67"/>
      <c r="F104" s="66"/>
      <c r="G104" s="68"/>
      <c r="H104" s="66"/>
      <c r="I104" s="66"/>
      <c r="J104" s="66"/>
      <c r="K104" s="66"/>
      <c r="L104" s="84"/>
      <c r="M104" s="84"/>
      <c r="N104" s="41"/>
      <c r="O104" s="41"/>
      <c r="P104" s="84"/>
      <c r="Q104" s="84"/>
      <c r="R104" s="84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5"/>
      <c r="AW104" s="66"/>
      <c r="AX104" s="66"/>
      <c r="AY104" s="106"/>
    </row>
    <row r="105" s="31" customFormat="1" spans="2:51">
      <c r="B105" s="65"/>
      <c r="C105" s="66"/>
      <c r="D105" s="66"/>
      <c r="E105" s="67"/>
      <c r="F105" s="66"/>
      <c r="G105" s="68"/>
      <c r="H105" s="66"/>
      <c r="I105" s="66"/>
      <c r="J105" s="66"/>
      <c r="K105" s="66"/>
      <c r="L105" s="84"/>
      <c r="M105" s="84"/>
      <c r="N105" s="41"/>
      <c r="O105" s="41"/>
      <c r="P105" s="84"/>
      <c r="Q105" s="84"/>
      <c r="R105" s="84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5"/>
      <c r="AW105" s="66"/>
      <c r="AX105" s="66"/>
      <c r="AY105" s="106"/>
    </row>
    <row r="106" s="31" customFormat="1" spans="2:51">
      <c r="B106" s="65"/>
      <c r="C106" s="66"/>
      <c r="D106" s="66"/>
      <c r="E106" s="67"/>
      <c r="F106" s="66"/>
      <c r="G106" s="68"/>
      <c r="H106" s="66"/>
      <c r="I106" s="66"/>
      <c r="J106" s="66"/>
      <c r="K106" s="66"/>
      <c r="L106" s="84"/>
      <c r="M106" s="84"/>
      <c r="N106" s="41"/>
      <c r="O106" s="41"/>
      <c r="P106" s="84"/>
      <c r="Q106" s="84"/>
      <c r="R106" s="84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5"/>
      <c r="AW106" s="66"/>
      <c r="AX106" s="66"/>
      <c r="AY106" s="106"/>
    </row>
    <row r="107" s="31" customFormat="1" spans="2:51">
      <c r="B107" s="65"/>
      <c r="C107" s="66"/>
      <c r="D107" s="66"/>
      <c r="E107" s="67"/>
      <c r="F107" s="66"/>
      <c r="G107" s="68"/>
      <c r="H107" s="66"/>
      <c r="I107" s="66"/>
      <c r="J107" s="66"/>
      <c r="K107" s="66"/>
      <c r="L107" s="84"/>
      <c r="M107" s="84"/>
      <c r="N107" s="41"/>
      <c r="O107" s="41"/>
      <c r="P107" s="84"/>
      <c r="Q107" s="84"/>
      <c r="R107" s="84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5"/>
      <c r="AW107" s="66"/>
      <c r="AX107" s="66"/>
      <c r="AY107" s="106"/>
    </row>
    <row r="108" s="31" customFormat="1" spans="2:51">
      <c r="B108" s="65"/>
      <c r="C108" s="66"/>
      <c r="D108" s="66"/>
      <c r="E108" s="67"/>
      <c r="F108" s="66"/>
      <c r="G108" s="68"/>
      <c r="H108" s="66"/>
      <c r="I108" s="66"/>
      <c r="J108" s="66"/>
      <c r="K108" s="66"/>
      <c r="L108" s="84"/>
      <c r="M108" s="84"/>
      <c r="N108" s="41"/>
      <c r="O108" s="41"/>
      <c r="P108" s="84"/>
      <c r="Q108" s="84"/>
      <c r="R108" s="84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6"/>
      <c r="AV108" s="65"/>
      <c r="AW108" s="66"/>
      <c r="AX108" s="66"/>
      <c r="AY108" s="106"/>
    </row>
    <row r="109" s="31" customFormat="1" spans="2:51">
      <c r="B109" s="65"/>
      <c r="C109" s="66"/>
      <c r="D109" s="66"/>
      <c r="E109" s="67"/>
      <c r="F109" s="66"/>
      <c r="G109" s="68"/>
      <c r="H109" s="66"/>
      <c r="I109" s="66"/>
      <c r="J109" s="66"/>
      <c r="K109" s="66"/>
      <c r="L109" s="84"/>
      <c r="M109" s="84"/>
      <c r="N109" s="41"/>
      <c r="O109" s="41"/>
      <c r="P109" s="84"/>
      <c r="Q109" s="84"/>
      <c r="R109" s="84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5"/>
      <c r="AW109" s="66"/>
      <c r="AX109" s="66"/>
      <c r="AY109" s="106"/>
    </row>
    <row r="110" s="31" customFormat="1" spans="2:51">
      <c r="B110" s="65"/>
      <c r="C110" s="66"/>
      <c r="D110" s="66"/>
      <c r="E110" s="67"/>
      <c r="F110" s="66"/>
      <c r="G110" s="68"/>
      <c r="H110" s="66"/>
      <c r="I110" s="66"/>
      <c r="J110" s="66"/>
      <c r="K110" s="66"/>
      <c r="L110" s="84"/>
      <c r="M110" s="84"/>
      <c r="N110" s="41"/>
      <c r="O110" s="41"/>
      <c r="P110" s="84"/>
      <c r="Q110" s="84"/>
      <c r="R110" s="84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5"/>
      <c r="AW110" s="66"/>
      <c r="AX110" s="66"/>
      <c r="AY110" s="106"/>
    </row>
    <row r="111" s="31" customFormat="1" spans="2:51">
      <c r="B111" s="65"/>
      <c r="C111" s="66"/>
      <c r="D111" s="66"/>
      <c r="E111" s="67"/>
      <c r="F111" s="66"/>
      <c r="G111" s="68"/>
      <c r="H111" s="66"/>
      <c r="I111" s="66"/>
      <c r="J111" s="66"/>
      <c r="K111" s="66"/>
      <c r="L111" s="84"/>
      <c r="M111" s="84"/>
      <c r="N111" s="41"/>
      <c r="O111" s="41"/>
      <c r="P111" s="84"/>
      <c r="Q111" s="84"/>
      <c r="R111" s="84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5"/>
      <c r="AW111" s="66"/>
      <c r="AX111" s="66"/>
      <c r="AY111" s="106"/>
    </row>
    <row r="112" s="31" customFormat="1" spans="2:51">
      <c r="B112" s="65"/>
      <c r="C112" s="66"/>
      <c r="D112" s="66"/>
      <c r="E112" s="67"/>
      <c r="F112" s="66"/>
      <c r="G112" s="68"/>
      <c r="H112" s="66"/>
      <c r="I112" s="66"/>
      <c r="J112" s="66"/>
      <c r="K112" s="66"/>
      <c r="L112" s="84"/>
      <c r="M112" s="84"/>
      <c r="N112" s="41"/>
      <c r="O112" s="41"/>
      <c r="P112" s="84"/>
      <c r="Q112" s="84"/>
      <c r="R112" s="84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5"/>
      <c r="AW112" s="66"/>
      <c r="AX112" s="66"/>
      <c r="AY112" s="106"/>
    </row>
    <row r="113" s="31" customFormat="1" spans="2:51">
      <c r="B113" s="65"/>
      <c r="C113" s="66"/>
      <c r="D113" s="66"/>
      <c r="E113" s="67"/>
      <c r="F113" s="66"/>
      <c r="G113" s="68"/>
      <c r="H113" s="66"/>
      <c r="I113" s="66"/>
      <c r="J113" s="66"/>
      <c r="K113" s="66"/>
      <c r="L113" s="84"/>
      <c r="M113" s="84"/>
      <c r="N113" s="41"/>
      <c r="O113" s="41"/>
      <c r="P113" s="84"/>
      <c r="Q113" s="84"/>
      <c r="R113" s="84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5"/>
      <c r="AW113" s="66"/>
      <c r="AX113" s="66"/>
      <c r="AY113" s="106"/>
    </row>
    <row r="114" s="31" customFormat="1" spans="2:51">
      <c r="B114" s="65"/>
      <c r="C114" s="66"/>
      <c r="D114" s="66"/>
      <c r="E114" s="67"/>
      <c r="F114" s="66"/>
      <c r="G114" s="68"/>
      <c r="H114" s="66"/>
      <c r="I114" s="66"/>
      <c r="J114" s="66"/>
      <c r="K114" s="66"/>
      <c r="L114" s="84"/>
      <c r="M114" s="84"/>
      <c r="N114" s="41"/>
      <c r="O114" s="41"/>
      <c r="P114" s="84"/>
      <c r="Q114" s="84"/>
      <c r="R114" s="84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5"/>
      <c r="AW114" s="66"/>
      <c r="AX114" s="66"/>
      <c r="AY114" s="106"/>
    </row>
    <row r="115" s="31" customFormat="1" spans="2:51">
      <c r="B115" s="65"/>
      <c r="C115" s="66"/>
      <c r="D115" s="66"/>
      <c r="E115" s="67"/>
      <c r="F115" s="66"/>
      <c r="G115" s="68"/>
      <c r="H115" s="66"/>
      <c r="I115" s="66"/>
      <c r="J115" s="66"/>
      <c r="K115" s="66"/>
      <c r="L115" s="84"/>
      <c r="M115" s="84"/>
      <c r="N115" s="41"/>
      <c r="O115" s="41"/>
      <c r="P115" s="84"/>
      <c r="Q115" s="84"/>
      <c r="R115" s="84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5"/>
      <c r="AW115" s="66"/>
      <c r="AX115" s="66"/>
      <c r="AY115" s="106"/>
    </row>
    <row r="116" s="31" customFormat="1" spans="2:51">
      <c r="B116" s="65"/>
      <c r="C116" s="66"/>
      <c r="D116" s="66"/>
      <c r="E116" s="67"/>
      <c r="F116" s="66"/>
      <c r="G116" s="68"/>
      <c r="H116" s="66"/>
      <c r="I116" s="66"/>
      <c r="J116" s="66"/>
      <c r="K116" s="66"/>
      <c r="L116" s="84"/>
      <c r="M116" s="84"/>
      <c r="N116" s="41"/>
      <c r="O116" s="41"/>
      <c r="P116" s="84"/>
      <c r="Q116" s="84"/>
      <c r="R116" s="84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5"/>
      <c r="AW116" s="66"/>
      <c r="AX116" s="66"/>
      <c r="AY116" s="106"/>
    </row>
    <row r="117" s="31" customFormat="1" spans="2:51">
      <c r="B117" s="65"/>
      <c r="C117" s="66"/>
      <c r="D117" s="66"/>
      <c r="E117" s="67"/>
      <c r="F117" s="66"/>
      <c r="G117" s="68"/>
      <c r="H117" s="66"/>
      <c r="I117" s="66"/>
      <c r="J117" s="66"/>
      <c r="K117" s="66"/>
      <c r="L117" s="84"/>
      <c r="M117" s="84"/>
      <c r="N117" s="41"/>
      <c r="O117" s="41"/>
      <c r="P117" s="84"/>
      <c r="Q117" s="84"/>
      <c r="R117" s="84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6"/>
      <c r="AV117" s="65"/>
      <c r="AW117" s="66"/>
      <c r="AX117" s="66"/>
      <c r="AY117" s="106"/>
    </row>
    <row r="118" s="31" customFormat="1" spans="2:51">
      <c r="B118" s="65"/>
      <c r="C118" s="66"/>
      <c r="D118" s="66"/>
      <c r="E118" s="67"/>
      <c r="F118" s="66"/>
      <c r="G118" s="68"/>
      <c r="H118" s="66"/>
      <c r="I118" s="66"/>
      <c r="J118" s="66"/>
      <c r="K118" s="66"/>
      <c r="L118" s="84"/>
      <c r="M118" s="84"/>
      <c r="N118" s="41"/>
      <c r="O118" s="41"/>
      <c r="P118" s="84"/>
      <c r="Q118" s="84"/>
      <c r="R118" s="84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6"/>
      <c r="AV118" s="65"/>
      <c r="AW118" s="66"/>
      <c r="AX118" s="66"/>
      <c r="AY118" s="106"/>
    </row>
    <row r="119" s="31" customFormat="1" spans="2:51">
      <c r="B119" s="65"/>
      <c r="C119" s="66"/>
      <c r="D119" s="66"/>
      <c r="E119" s="67"/>
      <c r="F119" s="66"/>
      <c r="G119" s="68"/>
      <c r="H119" s="66"/>
      <c r="I119" s="66"/>
      <c r="J119" s="66"/>
      <c r="K119" s="66"/>
      <c r="L119" s="84"/>
      <c r="M119" s="84"/>
      <c r="N119" s="41"/>
      <c r="O119" s="41"/>
      <c r="P119" s="84"/>
      <c r="Q119" s="84"/>
      <c r="R119" s="84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6"/>
      <c r="AV119" s="65"/>
      <c r="AW119" s="66"/>
      <c r="AX119" s="66"/>
      <c r="AY119" s="106"/>
    </row>
    <row r="120" s="31" customFormat="1" spans="2:51">
      <c r="B120" s="65"/>
      <c r="C120" s="66"/>
      <c r="D120" s="66"/>
      <c r="E120" s="67"/>
      <c r="F120" s="66"/>
      <c r="G120" s="68"/>
      <c r="H120" s="66"/>
      <c r="I120" s="66"/>
      <c r="J120" s="66"/>
      <c r="K120" s="66"/>
      <c r="L120" s="84"/>
      <c r="M120" s="84"/>
      <c r="N120" s="41"/>
      <c r="O120" s="41"/>
      <c r="P120" s="84"/>
      <c r="Q120" s="84"/>
      <c r="R120" s="84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6"/>
      <c r="AV120" s="65"/>
      <c r="AW120" s="66"/>
      <c r="AX120" s="66"/>
      <c r="AY120" s="106"/>
    </row>
    <row r="121" s="31" customFormat="1" spans="2:51">
      <c r="B121" s="65"/>
      <c r="C121" s="66"/>
      <c r="D121" s="66"/>
      <c r="E121" s="67"/>
      <c r="F121" s="66"/>
      <c r="G121" s="68"/>
      <c r="H121" s="66"/>
      <c r="I121" s="66"/>
      <c r="J121" s="66"/>
      <c r="K121" s="66"/>
      <c r="L121" s="84"/>
      <c r="M121" s="84"/>
      <c r="N121" s="41"/>
      <c r="O121" s="41"/>
      <c r="P121" s="84"/>
      <c r="Q121" s="84"/>
      <c r="R121" s="84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66"/>
      <c r="AU121" s="66"/>
      <c r="AV121" s="65"/>
      <c r="AW121" s="66"/>
      <c r="AX121" s="66"/>
      <c r="AY121" s="106"/>
    </row>
    <row r="122" s="31" customFormat="1" spans="2:51">
      <c r="B122" s="65"/>
      <c r="C122" s="66"/>
      <c r="D122" s="66"/>
      <c r="E122" s="67"/>
      <c r="F122" s="66"/>
      <c r="G122" s="68"/>
      <c r="H122" s="66"/>
      <c r="I122" s="66"/>
      <c r="J122" s="66"/>
      <c r="K122" s="66"/>
      <c r="L122" s="84"/>
      <c r="M122" s="84"/>
      <c r="N122" s="41"/>
      <c r="O122" s="41"/>
      <c r="P122" s="84"/>
      <c r="Q122" s="84"/>
      <c r="R122" s="84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66"/>
      <c r="AU122" s="66"/>
      <c r="AV122" s="65"/>
      <c r="AW122" s="66"/>
      <c r="AX122" s="66"/>
      <c r="AY122" s="106"/>
    </row>
    <row r="123" s="31" customFormat="1" spans="2:51">
      <c r="B123" s="65"/>
      <c r="C123" s="66"/>
      <c r="D123" s="66"/>
      <c r="E123" s="67"/>
      <c r="F123" s="66"/>
      <c r="G123" s="68"/>
      <c r="H123" s="66"/>
      <c r="I123" s="66"/>
      <c r="J123" s="66"/>
      <c r="K123" s="66"/>
      <c r="L123" s="84"/>
      <c r="M123" s="84"/>
      <c r="N123" s="41"/>
      <c r="O123" s="41"/>
      <c r="P123" s="84"/>
      <c r="Q123" s="84"/>
      <c r="R123" s="84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66"/>
      <c r="AU123" s="66"/>
      <c r="AV123" s="65"/>
      <c r="AW123" s="66"/>
      <c r="AX123" s="66"/>
      <c r="AY123" s="106"/>
    </row>
    <row r="124" s="31" customFormat="1" spans="2:51">
      <c r="B124" s="65"/>
      <c r="C124" s="66"/>
      <c r="D124" s="66"/>
      <c r="E124" s="67"/>
      <c r="F124" s="66"/>
      <c r="G124" s="68"/>
      <c r="H124" s="66"/>
      <c r="I124" s="66"/>
      <c r="J124" s="66"/>
      <c r="K124" s="66"/>
      <c r="L124" s="84"/>
      <c r="M124" s="84"/>
      <c r="N124" s="41"/>
      <c r="O124" s="41"/>
      <c r="P124" s="84"/>
      <c r="Q124" s="84"/>
      <c r="R124" s="84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66"/>
      <c r="AU124" s="66"/>
      <c r="AV124" s="65"/>
      <c r="AW124" s="66"/>
      <c r="AX124" s="66"/>
      <c r="AY124" s="106"/>
    </row>
    <row r="125" s="31" customFormat="1" spans="2:51">
      <c r="B125" s="65"/>
      <c r="C125" s="66"/>
      <c r="D125" s="66"/>
      <c r="E125" s="67"/>
      <c r="F125" s="66"/>
      <c r="G125" s="68"/>
      <c r="H125" s="66"/>
      <c r="I125" s="66"/>
      <c r="J125" s="66"/>
      <c r="K125" s="66"/>
      <c r="L125" s="84"/>
      <c r="M125" s="84"/>
      <c r="N125" s="41"/>
      <c r="O125" s="41"/>
      <c r="P125" s="84"/>
      <c r="Q125" s="84"/>
      <c r="R125" s="84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6"/>
      <c r="AV125" s="65"/>
      <c r="AW125" s="66"/>
      <c r="AX125" s="66"/>
      <c r="AY125" s="106"/>
    </row>
    <row r="126" s="31" customFormat="1" spans="2:51">
      <c r="B126" s="65"/>
      <c r="C126" s="66"/>
      <c r="D126" s="66"/>
      <c r="E126" s="67"/>
      <c r="F126" s="66"/>
      <c r="G126" s="68"/>
      <c r="H126" s="66"/>
      <c r="I126" s="66"/>
      <c r="J126" s="66"/>
      <c r="K126" s="66"/>
      <c r="L126" s="84"/>
      <c r="M126" s="84"/>
      <c r="N126" s="41"/>
      <c r="O126" s="41"/>
      <c r="P126" s="84"/>
      <c r="Q126" s="84"/>
      <c r="R126" s="84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5"/>
      <c r="AW126" s="66"/>
      <c r="AX126" s="66"/>
      <c r="AY126" s="106"/>
    </row>
    <row r="127" s="31" customFormat="1" spans="2:51">
      <c r="B127" s="65"/>
      <c r="C127" s="66"/>
      <c r="D127" s="66"/>
      <c r="E127" s="67"/>
      <c r="F127" s="66"/>
      <c r="G127" s="68"/>
      <c r="H127" s="66"/>
      <c r="I127" s="66"/>
      <c r="J127" s="66"/>
      <c r="K127" s="66"/>
      <c r="L127" s="84"/>
      <c r="M127" s="84"/>
      <c r="N127" s="41"/>
      <c r="O127" s="41"/>
      <c r="P127" s="84"/>
      <c r="Q127" s="84"/>
      <c r="R127" s="84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6"/>
      <c r="AV127" s="65"/>
      <c r="AW127" s="66"/>
      <c r="AX127" s="66"/>
      <c r="AY127" s="106"/>
    </row>
    <row r="128" s="31" customFormat="1" spans="2:51">
      <c r="B128" s="65"/>
      <c r="C128" s="66"/>
      <c r="D128" s="66"/>
      <c r="E128" s="67"/>
      <c r="F128" s="66"/>
      <c r="G128" s="68"/>
      <c r="H128" s="66"/>
      <c r="I128" s="66"/>
      <c r="J128" s="66"/>
      <c r="K128" s="66"/>
      <c r="L128" s="84"/>
      <c r="M128" s="84"/>
      <c r="N128" s="41"/>
      <c r="O128" s="41"/>
      <c r="P128" s="84"/>
      <c r="Q128" s="84"/>
      <c r="R128" s="84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  <c r="AV128" s="65"/>
      <c r="AW128" s="66"/>
      <c r="AX128" s="66"/>
      <c r="AY128" s="106"/>
    </row>
    <row r="129" s="31" customFormat="1" spans="2:51">
      <c r="B129" s="65"/>
      <c r="C129" s="66"/>
      <c r="D129" s="66"/>
      <c r="E129" s="67"/>
      <c r="F129" s="66"/>
      <c r="G129" s="68"/>
      <c r="H129" s="66"/>
      <c r="I129" s="66"/>
      <c r="J129" s="66"/>
      <c r="K129" s="66"/>
      <c r="L129" s="84"/>
      <c r="M129" s="84"/>
      <c r="N129" s="41"/>
      <c r="O129" s="41"/>
      <c r="P129" s="84"/>
      <c r="Q129" s="84"/>
      <c r="R129" s="84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6"/>
      <c r="AV129" s="65"/>
      <c r="AW129" s="66"/>
      <c r="AX129" s="66"/>
      <c r="AY129" s="106"/>
    </row>
    <row r="130" s="31" customFormat="1" spans="2:51">
      <c r="B130" s="65"/>
      <c r="C130" s="66"/>
      <c r="D130" s="66"/>
      <c r="E130" s="67"/>
      <c r="F130" s="66"/>
      <c r="G130" s="68"/>
      <c r="H130" s="66"/>
      <c r="I130" s="66"/>
      <c r="J130" s="66"/>
      <c r="K130" s="66"/>
      <c r="L130" s="84"/>
      <c r="M130" s="84"/>
      <c r="N130" s="41"/>
      <c r="O130" s="41"/>
      <c r="P130" s="84"/>
      <c r="Q130" s="84"/>
      <c r="R130" s="84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66"/>
      <c r="AU130" s="66"/>
      <c r="AV130" s="65"/>
      <c r="AW130" s="66"/>
      <c r="AX130" s="66"/>
      <c r="AY130" s="106"/>
    </row>
    <row r="131" s="31" customFormat="1" spans="2:51">
      <c r="B131" s="65"/>
      <c r="C131" s="66"/>
      <c r="D131" s="66"/>
      <c r="E131" s="67"/>
      <c r="F131" s="66"/>
      <c r="G131" s="68"/>
      <c r="H131" s="66"/>
      <c r="I131" s="66"/>
      <c r="J131" s="66"/>
      <c r="K131" s="66"/>
      <c r="L131" s="84"/>
      <c r="M131" s="84"/>
      <c r="N131" s="41"/>
      <c r="O131" s="41"/>
      <c r="P131" s="84"/>
      <c r="Q131" s="84"/>
      <c r="R131" s="84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66"/>
      <c r="AU131" s="66"/>
      <c r="AV131" s="65"/>
      <c r="AW131" s="66"/>
      <c r="AX131" s="66"/>
      <c r="AY131" s="106"/>
    </row>
    <row r="132" s="31" customFormat="1" spans="2:51">
      <c r="B132" s="65"/>
      <c r="C132" s="66"/>
      <c r="D132" s="66"/>
      <c r="E132" s="67"/>
      <c r="F132" s="66"/>
      <c r="G132" s="68"/>
      <c r="H132" s="66"/>
      <c r="I132" s="66"/>
      <c r="J132" s="66"/>
      <c r="K132" s="66"/>
      <c r="L132" s="84"/>
      <c r="M132" s="84"/>
      <c r="N132" s="41"/>
      <c r="O132" s="41"/>
      <c r="P132" s="84"/>
      <c r="Q132" s="84"/>
      <c r="R132" s="84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5"/>
      <c r="AW132" s="66"/>
      <c r="AX132" s="66"/>
      <c r="AY132" s="106"/>
    </row>
    <row r="133" s="31" customFormat="1" spans="2:51">
      <c r="B133" s="65"/>
      <c r="C133" s="66"/>
      <c r="D133" s="66"/>
      <c r="E133" s="67"/>
      <c r="F133" s="66"/>
      <c r="G133" s="68"/>
      <c r="H133" s="66"/>
      <c r="I133" s="66"/>
      <c r="J133" s="66"/>
      <c r="K133" s="66"/>
      <c r="L133" s="84"/>
      <c r="M133" s="84"/>
      <c r="N133" s="41"/>
      <c r="O133" s="41"/>
      <c r="P133" s="84"/>
      <c r="Q133" s="84"/>
      <c r="R133" s="84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66"/>
      <c r="AU133" s="66"/>
      <c r="AV133" s="65"/>
      <c r="AW133" s="66"/>
      <c r="AX133" s="66"/>
      <c r="AY133" s="106"/>
    </row>
    <row r="134" s="31" customFormat="1" spans="2:51">
      <c r="B134" s="65"/>
      <c r="C134" s="66"/>
      <c r="D134" s="66"/>
      <c r="E134" s="67"/>
      <c r="F134" s="66"/>
      <c r="G134" s="68"/>
      <c r="H134" s="66"/>
      <c r="I134" s="66"/>
      <c r="J134" s="66"/>
      <c r="K134" s="66"/>
      <c r="L134" s="84"/>
      <c r="M134" s="84"/>
      <c r="N134" s="41"/>
      <c r="O134" s="41"/>
      <c r="P134" s="84"/>
      <c r="Q134" s="84"/>
      <c r="R134" s="84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66"/>
      <c r="AU134" s="66"/>
      <c r="AV134" s="65"/>
      <c r="AW134" s="66"/>
      <c r="AX134" s="66"/>
      <c r="AY134" s="106"/>
    </row>
    <row r="135" s="31" customFormat="1" spans="2:51">
      <c r="B135" s="65"/>
      <c r="C135" s="66"/>
      <c r="D135" s="66"/>
      <c r="E135" s="67"/>
      <c r="F135" s="66"/>
      <c r="G135" s="68"/>
      <c r="H135" s="66"/>
      <c r="I135" s="66"/>
      <c r="J135" s="66"/>
      <c r="K135" s="66"/>
      <c r="L135" s="84"/>
      <c r="M135" s="84"/>
      <c r="N135" s="41"/>
      <c r="O135" s="41"/>
      <c r="P135" s="84"/>
      <c r="Q135" s="84"/>
      <c r="R135" s="84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66"/>
      <c r="AU135" s="66"/>
      <c r="AV135" s="65"/>
      <c r="AW135" s="66"/>
      <c r="AX135" s="66"/>
      <c r="AY135" s="106"/>
    </row>
    <row r="136" s="31" customFormat="1" spans="2:51">
      <c r="B136" s="65"/>
      <c r="C136" s="66"/>
      <c r="D136" s="66"/>
      <c r="E136" s="67"/>
      <c r="F136" s="66"/>
      <c r="G136" s="68"/>
      <c r="H136" s="66"/>
      <c r="I136" s="66"/>
      <c r="J136" s="66"/>
      <c r="K136" s="66"/>
      <c r="L136" s="84"/>
      <c r="M136" s="84"/>
      <c r="N136" s="41"/>
      <c r="O136" s="41"/>
      <c r="P136" s="84"/>
      <c r="Q136" s="84"/>
      <c r="R136" s="84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  <c r="AV136" s="65"/>
      <c r="AW136" s="66"/>
      <c r="AX136" s="66"/>
      <c r="AY136" s="106"/>
    </row>
    <row r="137" s="31" customFormat="1" spans="2:51">
      <c r="B137" s="65"/>
      <c r="C137" s="66"/>
      <c r="D137" s="66"/>
      <c r="E137" s="67"/>
      <c r="F137" s="66"/>
      <c r="G137" s="68"/>
      <c r="H137" s="66"/>
      <c r="I137" s="66"/>
      <c r="J137" s="66"/>
      <c r="K137" s="66"/>
      <c r="L137" s="84"/>
      <c r="M137" s="84"/>
      <c r="N137" s="41"/>
      <c r="O137" s="41"/>
      <c r="P137" s="84"/>
      <c r="Q137" s="84"/>
      <c r="R137" s="84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  <c r="AV137" s="65"/>
      <c r="AW137" s="66"/>
      <c r="AX137" s="66"/>
      <c r="AY137" s="106"/>
    </row>
    <row r="138" s="31" customFormat="1" spans="2:51">
      <c r="B138" s="65"/>
      <c r="C138" s="66"/>
      <c r="D138" s="66"/>
      <c r="E138" s="67"/>
      <c r="F138" s="66"/>
      <c r="G138" s="68"/>
      <c r="H138" s="66"/>
      <c r="I138" s="66"/>
      <c r="J138" s="66"/>
      <c r="K138" s="66"/>
      <c r="L138" s="84"/>
      <c r="M138" s="84"/>
      <c r="N138" s="41"/>
      <c r="O138" s="41"/>
      <c r="P138" s="84"/>
      <c r="Q138" s="84"/>
      <c r="R138" s="84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  <c r="AV138" s="65"/>
      <c r="AW138" s="66"/>
      <c r="AX138" s="66"/>
      <c r="AY138" s="106"/>
    </row>
    <row r="139" s="31" customFormat="1" spans="2:51">
      <c r="B139" s="65"/>
      <c r="C139" s="66"/>
      <c r="D139" s="66"/>
      <c r="E139" s="67"/>
      <c r="F139" s="66"/>
      <c r="G139" s="68"/>
      <c r="H139" s="66"/>
      <c r="I139" s="66"/>
      <c r="J139" s="66"/>
      <c r="K139" s="66"/>
      <c r="L139" s="84"/>
      <c r="M139" s="84"/>
      <c r="N139" s="41"/>
      <c r="O139" s="41"/>
      <c r="P139" s="84"/>
      <c r="Q139" s="84"/>
      <c r="R139" s="84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66"/>
      <c r="AU139" s="66"/>
      <c r="AV139" s="65"/>
      <c r="AW139" s="66"/>
      <c r="AX139" s="66"/>
      <c r="AY139" s="106"/>
    </row>
    <row r="140" s="31" customFormat="1" spans="2:51">
      <c r="B140" s="65"/>
      <c r="C140" s="66"/>
      <c r="D140" s="66"/>
      <c r="E140" s="67"/>
      <c r="F140" s="66"/>
      <c r="G140" s="68"/>
      <c r="H140" s="66"/>
      <c r="I140" s="66"/>
      <c r="J140" s="66"/>
      <c r="K140" s="66"/>
      <c r="L140" s="84"/>
      <c r="M140" s="84"/>
      <c r="N140" s="41"/>
      <c r="O140" s="41"/>
      <c r="P140" s="84"/>
      <c r="Q140" s="84"/>
      <c r="R140" s="84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  <c r="AV140" s="65"/>
      <c r="AW140" s="66"/>
      <c r="AX140" s="66"/>
      <c r="AY140" s="106"/>
    </row>
    <row r="141" s="31" customFormat="1" spans="2:51">
      <c r="B141" s="65"/>
      <c r="C141" s="66"/>
      <c r="D141" s="66"/>
      <c r="E141" s="67"/>
      <c r="F141" s="66"/>
      <c r="G141" s="68"/>
      <c r="H141" s="66"/>
      <c r="I141" s="66"/>
      <c r="J141" s="66"/>
      <c r="K141" s="66"/>
      <c r="L141" s="84"/>
      <c r="M141" s="84"/>
      <c r="N141" s="41"/>
      <c r="O141" s="41"/>
      <c r="P141" s="84"/>
      <c r="Q141" s="84"/>
      <c r="R141" s="84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5"/>
      <c r="AW141" s="66"/>
      <c r="AX141" s="66"/>
      <c r="AY141" s="106"/>
    </row>
    <row r="142" s="31" customFormat="1" spans="2:51">
      <c r="B142" s="65"/>
      <c r="C142" s="66"/>
      <c r="D142" s="66"/>
      <c r="E142" s="67"/>
      <c r="F142" s="66"/>
      <c r="G142" s="68"/>
      <c r="H142" s="66"/>
      <c r="I142" s="66"/>
      <c r="J142" s="66"/>
      <c r="K142" s="66"/>
      <c r="L142" s="84"/>
      <c r="M142" s="84"/>
      <c r="N142" s="41"/>
      <c r="O142" s="41"/>
      <c r="P142" s="84"/>
      <c r="Q142" s="84"/>
      <c r="R142" s="84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  <c r="AV142" s="65"/>
      <c r="AW142" s="66"/>
      <c r="AX142" s="66"/>
      <c r="AY142" s="106"/>
    </row>
    <row r="143" s="31" customFormat="1" spans="2:51">
      <c r="B143" s="65"/>
      <c r="C143" s="66"/>
      <c r="D143" s="66"/>
      <c r="E143" s="67"/>
      <c r="F143" s="66"/>
      <c r="G143" s="68"/>
      <c r="H143" s="66"/>
      <c r="I143" s="66"/>
      <c r="J143" s="66"/>
      <c r="K143" s="66"/>
      <c r="L143" s="84"/>
      <c r="M143" s="84"/>
      <c r="N143" s="41"/>
      <c r="O143" s="41"/>
      <c r="P143" s="84"/>
      <c r="Q143" s="84"/>
      <c r="R143" s="84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  <c r="AV143" s="65"/>
      <c r="AW143" s="66"/>
      <c r="AX143" s="66"/>
      <c r="AY143" s="106"/>
    </row>
    <row r="144" s="31" customFormat="1" spans="2:51">
      <c r="B144" s="65"/>
      <c r="C144" s="66"/>
      <c r="D144" s="66"/>
      <c r="E144" s="67"/>
      <c r="F144" s="66"/>
      <c r="G144" s="68"/>
      <c r="H144" s="66"/>
      <c r="I144" s="66"/>
      <c r="J144" s="66"/>
      <c r="K144" s="66"/>
      <c r="L144" s="84"/>
      <c r="M144" s="84"/>
      <c r="N144" s="41"/>
      <c r="O144" s="41"/>
      <c r="P144" s="84"/>
      <c r="Q144" s="84"/>
      <c r="R144" s="84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  <c r="AV144" s="65"/>
      <c r="AW144" s="66"/>
      <c r="AX144" s="66"/>
      <c r="AY144" s="106"/>
    </row>
    <row r="145" s="31" customFormat="1" spans="2:51">
      <c r="B145" s="65"/>
      <c r="C145" s="66"/>
      <c r="D145" s="66"/>
      <c r="E145" s="67"/>
      <c r="F145" s="66"/>
      <c r="G145" s="68"/>
      <c r="H145" s="66"/>
      <c r="I145" s="66"/>
      <c r="J145" s="66"/>
      <c r="K145" s="66"/>
      <c r="L145" s="84"/>
      <c r="M145" s="84"/>
      <c r="N145" s="41"/>
      <c r="O145" s="41"/>
      <c r="P145" s="84"/>
      <c r="Q145" s="84"/>
      <c r="R145" s="84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  <c r="AV145" s="65"/>
      <c r="AW145" s="66"/>
      <c r="AX145" s="66"/>
      <c r="AY145" s="106"/>
    </row>
    <row r="146" s="31" customFormat="1" spans="2:51">
      <c r="B146" s="65"/>
      <c r="C146" s="66"/>
      <c r="D146" s="66"/>
      <c r="E146" s="67"/>
      <c r="F146" s="66"/>
      <c r="G146" s="68"/>
      <c r="H146" s="66"/>
      <c r="I146" s="66"/>
      <c r="J146" s="66"/>
      <c r="K146" s="66"/>
      <c r="L146" s="84"/>
      <c r="M146" s="84"/>
      <c r="N146" s="41"/>
      <c r="O146" s="41"/>
      <c r="P146" s="84"/>
      <c r="Q146" s="84"/>
      <c r="R146" s="84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  <c r="AV146" s="65"/>
      <c r="AW146" s="66"/>
      <c r="AX146" s="66"/>
      <c r="AY146" s="106"/>
    </row>
    <row r="147" s="31" customFormat="1" spans="2:51">
      <c r="B147" s="65"/>
      <c r="C147" s="66"/>
      <c r="D147" s="66"/>
      <c r="E147" s="67"/>
      <c r="F147" s="66"/>
      <c r="G147" s="68"/>
      <c r="H147" s="66"/>
      <c r="I147" s="66"/>
      <c r="J147" s="66"/>
      <c r="K147" s="66"/>
      <c r="L147" s="84"/>
      <c r="M147" s="84"/>
      <c r="N147" s="41"/>
      <c r="O147" s="41"/>
      <c r="P147" s="84"/>
      <c r="Q147" s="84"/>
      <c r="R147" s="84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  <c r="AV147" s="65"/>
      <c r="AW147" s="66"/>
      <c r="AX147" s="66"/>
      <c r="AY147" s="106"/>
    </row>
    <row r="148" s="31" customFormat="1" spans="2:51">
      <c r="B148" s="65"/>
      <c r="C148" s="66"/>
      <c r="D148" s="66"/>
      <c r="E148" s="67"/>
      <c r="F148" s="66"/>
      <c r="G148" s="68"/>
      <c r="H148" s="66"/>
      <c r="I148" s="66"/>
      <c r="J148" s="66"/>
      <c r="K148" s="66"/>
      <c r="L148" s="84"/>
      <c r="M148" s="84"/>
      <c r="N148" s="41"/>
      <c r="O148" s="41"/>
      <c r="P148" s="84"/>
      <c r="Q148" s="84"/>
      <c r="R148" s="84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  <c r="AV148" s="65"/>
      <c r="AW148" s="66"/>
      <c r="AX148" s="66"/>
      <c r="AY148" s="106"/>
    </row>
    <row r="149" s="31" customFormat="1" spans="2:51">
      <c r="B149" s="65"/>
      <c r="C149" s="66"/>
      <c r="D149" s="66"/>
      <c r="E149" s="67"/>
      <c r="F149" s="66"/>
      <c r="G149" s="68"/>
      <c r="H149" s="66"/>
      <c r="I149" s="66"/>
      <c r="J149" s="66"/>
      <c r="K149" s="66"/>
      <c r="L149" s="84"/>
      <c r="M149" s="84"/>
      <c r="N149" s="41"/>
      <c r="O149" s="41"/>
      <c r="P149" s="84"/>
      <c r="Q149" s="84"/>
      <c r="R149" s="84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  <c r="AV149" s="65"/>
      <c r="AW149" s="66"/>
      <c r="AX149" s="66"/>
      <c r="AY149" s="106"/>
    </row>
    <row r="150" s="31" customFormat="1" spans="2:51">
      <c r="B150" s="65"/>
      <c r="C150" s="66"/>
      <c r="D150" s="66"/>
      <c r="E150" s="67"/>
      <c r="F150" s="66"/>
      <c r="G150" s="68"/>
      <c r="H150" s="66"/>
      <c r="I150" s="66"/>
      <c r="J150" s="66"/>
      <c r="K150" s="66"/>
      <c r="L150" s="84"/>
      <c r="M150" s="84"/>
      <c r="N150" s="41"/>
      <c r="O150" s="41"/>
      <c r="P150" s="84"/>
      <c r="Q150" s="84"/>
      <c r="R150" s="84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  <c r="AV150" s="65"/>
      <c r="AW150" s="66"/>
      <c r="AX150" s="66"/>
      <c r="AY150" s="106"/>
    </row>
    <row r="151" s="31" customFormat="1" spans="2:51">
      <c r="B151" s="65"/>
      <c r="C151" s="66"/>
      <c r="D151" s="66"/>
      <c r="E151" s="67"/>
      <c r="F151" s="66"/>
      <c r="G151" s="68"/>
      <c r="H151" s="66"/>
      <c r="I151" s="66"/>
      <c r="J151" s="66"/>
      <c r="K151" s="66"/>
      <c r="L151" s="84"/>
      <c r="M151" s="84"/>
      <c r="N151" s="41"/>
      <c r="O151" s="41"/>
      <c r="P151" s="84"/>
      <c r="Q151" s="84"/>
      <c r="R151" s="84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66"/>
      <c r="AU151" s="66"/>
      <c r="AV151" s="65"/>
      <c r="AW151" s="66"/>
      <c r="AX151" s="66"/>
      <c r="AY151" s="106"/>
    </row>
    <row r="152" s="31" customFormat="1" spans="2:51">
      <c r="B152" s="65"/>
      <c r="C152" s="66"/>
      <c r="D152" s="66"/>
      <c r="E152" s="67"/>
      <c r="F152" s="66"/>
      <c r="G152" s="68"/>
      <c r="H152" s="66"/>
      <c r="I152" s="66"/>
      <c r="J152" s="66"/>
      <c r="K152" s="66"/>
      <c r="L152" s="84"/>
      <c r="M152" s="84"/>
      <c r="N152" s="41"/>
      <c r="O152" s="41"/>
      <c r="P152" s="84"/>
      <c r="Q152" s="84"/>
      <c r="R152" s="84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6"/>
      <c r="AT152" s="66"/>
      <c r="AU152" s="66"/>
      <c r="AV152" s="65"/>
      <c r="AW152" s="66"/>
      <c r="AX152" s="66"/>
      <c r="AY152" s="106"/>
    </row>
    <row r="153" s="31" customFormat="1" spans="2:51">
      <c r="B153" s="65"/>
      <c r="C153" s="66"/>
      <c r="D153" s="66"/>
      <c r="E153" s="67"/>
      <c r="F153" s="66"/>
      <c r="G153" s="68"/>
      <c r="H153" s="66"/>
      <c r="I153" s="66"/>
      <c r="J153" s="66"/>
      <c r="K153" s="66"/>
      <c r="L153" s="84"/>
      <c r="M153" s="84"/>
      <c r="N153" s="41"/>
      <c r="O153" s="41"/>
      <c r="P153" s="84"/>
      <c r="Q153" s="84"/>
      <c r="R153" s="84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66"/>
      <c r="AU153" s="66"/>
      <c r="AV153" s="65"/>
      <c r="AW153" s="66"/>
      <c r="AX153" s="66"/>
      <c r="AY153" s="106"/>
    </row>
    <row r="154" s="31" customFormat="1" spans="2:51">
      <c r="B154" s="65"/>
      <c r="C154" s="66"/>
      <c r="D154" s="66"/>
      <c r="E154" s="67"/>
      <c r="F154" s="66"/>
      <c r="G154" s="68"/>
      <c r="H154" s="66"/>
      <c r="I154" s="66"/>
      <c r="J154" s="66"/>
      <c r="K154" s="66"/>
      <c r="L154" s="84"/>
      <c r="M154" s="84"/>
      <c r="N154" s="41"/>
      <c r="O154" s="41"/>
      <c r="P154" s="84"/>
      <c r="Q154" s="84"/>
      <c r="R154" s="84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66"/>
      <c r="AU154" s="66"/>
      <c r="AV154" s="65"/>
      <c r="AW154" s="66"/>
      <c r="AX154" s="66"/>
      <c r="AY154" s="106"/>
    </row>
    <row r="155" s="31" customFormat="1" spans="2:51">
      <c r="B155" s="65"/>
      <c r="C155" s="66"/>
      <c r="D155" s="66"/>
      <c r="E155" s="67"/>
      <c r="F155" s="66"/>
      <c r="G155" s="68"/>
      <c r="H155" s="66"/>
      <c r="I155" s="66"/>
      <c r="J155" s="66"/>
      <c r="K155" s="66"/>
      <c r="L155" s="84"/>
      <c r="M155" s="84"/>
      <c r="N155" s="41"/>
      <c r="O155" s="41"/>
      <c r="P155" s="84"/>
      <c r="Q155" s="84"/>
      <c r="R155" s="84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  <c r="AV155" s="65"/>
      <c r="AW155" s="66"/>
      <c r="AX155" s="66"/>
      <c r="AY155" s="106"/>
    </row>
    <row r="156" s="31" customFormat="1" spans="2:51">
      <c r="B156" s="65"/>
      <c r="C156" s="66"/>
      <c r="D156" s="66"/>
      <c r="E156" s="67"/>
      <c r="F156" s="66"/>
      <c r="G156" s="68"/>
      <c r="H156" s="66"/>
      <c r="I156" s="66"/>
      <c r="J156" s="66"/>
      <c r="K156" s="66"/>
      <c r="L156" s="84"/>
      <c r="M156" s="84"/>
      <c r="N156" s="41"/>
      <c r="O156" s="41"/>
      <c r="P156" s="84"/>
      <c r="Q156" s="84"/>
      <c r="R156" s="84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5"/>
      <c r="AW156" s="66"/>
      <c r="AX156" s="66"/>
      <c r="AY156" s="106"/>
    </row>
    <row r="157" s="31" customFormat="1" spans="2:51">
      <c r="B157" s="65"/>
      <c r="C157" s="66"/>
      <c r="D157" s="66"/>
      <c r="E157" s="67"/>
      <c r="F157" s="66"/>
      <c r="G157" s="68"/>
      <c r="H157" s="66"/>
      <c r="I157" s="66"/>
      <c r="J157" s="66"/>
      <c r="K157" s="66"/>
      <c r="L157" s="84"/>
      <c r="M157" s="84"/>
      <c r="N157" s="41"/>
      <c r="O157" s="41"/>
      <c r="P157" s="84"/>
      <c r="Q157" s="84"/>
      <c r="R157" s="84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  <c r="AV157" s="65"/>
      <c r="AW157" s="66"/>
      <c r="AX157" s="66"/>
      <c r="AY157" s="106"/>
    </row>
    <row r="158" s="31" customFormat="1" spans="2:51">
      <c r="B158" s="65"/>
      <c r="C158" s="66"/>
      <c r="D158" s="66"/>
      <c r="E158" s="67"/>
      <c r="F158" s="66"/>
      <c r="G158" s="68"/>
      <c r="H158" s="66"/>
      <c r="I158" s="66"/>
      <c r="J158" s="66"/>
      <c r="K158" s="66"/>
      <c r="L158" s="84"/>
      <c r="M158" s="84"/>
      <c r="N158" s="41"/>
      <c r="O158" s="41"/>
      <c r="P158" s="84"/>
      <c r="Q158" s="84"/>
      <c r="R158" s="84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  <c r="AV158" s="65"/>
      <c r="AW158" s="66"/>
      <c r="AX158" s="66"/>
      <c r="AY158" s="106"/>
    </row>
    <row r="159" s="31" customFormat="1" spans="2:51">
      <c r="B159" s="65"/>
      <c r="C159" s="66"/>
      <c r="D159" s="66"/>
      <c r="E159" s="67"/>
      <c r="F159" s="66"/>
      <c r="G159" s="68"/>
      <c r="H159" s="66"/>
      <c r="I159" s="66"/>
      <c r="J159" s="66"/>
      <c r="K159" s="66"/>
      <c r="L159" s="84"/>
      <c r="M159" s="84"/>
      <c r="N159" s="41"/>
      <c r="O159" s="41"/>
      <c r="P159" s="84"/>
      <c r="Q159" s="84"/>
      <c r="R159" s="84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  <c r="AV159" s="65"/>
      <c r="AW159" s="66"/>
      <c r="AX159" s="66"/>
      <c r="AY159" s="106"/>
    </row>
    <row r="160" s="31" customFormat="1" spans="2:51">
      <c r="B160" s="65"/>
      <c r="C160" s="66"/>
      <c r="D160" s="66"/>
      <c r="E160" s="67"/>
      <c r="F160" s="66"/>
      <c r="G160" s="68"/>
      <c r="H160" s="66"/>
      <c r="I160" s="66"/>
      <c r="J160" s="66"/>
      <c r="K160" s="66"/>
      <c r="L160" s="84"/>
      <c r="M160" s="84"/>
      <c r="N160" s="41"/>
      <c r="O160" s="41"/>
      <c r="P160" s="84"/>
      <c r="Q160" s="84"/>
      <c r="R160" s="84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  <c r="AV160" s="65"/>
      <c r="AW160" s="66"/>
      <c r="AX160" s="66"/>
      <c r="AY160" s="106"/>
    </row>
    <row r="161" s="31" customFormat="1" spans="2:51">
      <c r="B161" s="65"/>
      <c r="C161" s="66"/>
      <c r="D161" s="66"/>
      <c r="E161" s="67"/>
      <c r="F161" s="66"/>
      <c r="G161" s="68"/>
      <c r="H161" s="66"/>
      <c r="I161" s="66"/>
      <c r="J161" s="66"/>
      <c r="K161" s="66"/>
      <c r="L161" s="84"/>
      <c r="M161" s="84"/>
      <c r="N161" s="41"/>
      <c r="O161" s="41"/>
      <c r="P161" s="84"/>
      <c r="Q161" s="84"/>
      <c r="R161" s="84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66"/>
      <c r="AU161" s="66"/>
      <c r="AV161" s="65"/>
      <c r="AW161" s="66"/>
      <c r="AX161" s="66"/>
      <c r="AY161" s="106"/>
    </row>
    <row r="162" s="31" customFormat="1" spans="2:51">
      <c r="B162" s="65"/>
      <c r="C162" s="66"/>
      <c r="D162" s="66"/>
      <c r="E162" s="67"/>
      <c r="F162" s="66"/>
      <c r="G162" s="68"/>
      <c r="H162" s="66"/>
      <c r="I162" s="66"/>
      <c r="J162" s="66"/>
      <c r="K162" s="66"/>
      <c r="L162" s="84"/>
      <c r="M162" s="84"/>
      <c r="N162" s="41"/>
      <c r="O162" s="41"/>
      <c r="P162" s="84"/>
      <c r="Q162" s="84"/>
      <c r="R162" s="84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  <c r="AV162" s="65"/>
      <c r="AW162" s="66"/>
      <c r="AX162" s="66"/>
      <c r="AY162" s="106"/>
    </row>
    <row r="163" s="31" customFormat="1" spans="2:51">
      <c r="B163" s="65"/>
      <c r="C163" s="66"/>
      <c r="D163" s="66"/>
      <c r="E163" s="67"/>
      <c r="F163" s="66"/>
      <c r="G163" s="68"/>
      <c r="H163" s="66"/>
      <c r="I163" s="66"/>
      <c r="J163" s="66"/>
      <c r="K163" s="66"/>
      <c r="L163" s="84"/>
      <c r="M163" s="84"/>
      <c r="N163" s="41"/>
      <c r="O163" s="41"/>
      <c r="P163" s="84"/>
      <c r="Q163" s="84"/>
      <c r="R163" s="84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66"/>
      <c r="AU163" s="66"/>
      <c r="AV163" s="65"/>
      <c r="AW163" s="66"/>
      <c r="AX163" s="66"/>
      <c r="AY163" s="106"/>
    </row>
    <row r="164" s="31" customFormat="1" spans="2:51">
      <c r="B164" s="65"/>
      <c r="C164" s="66"/>
      <c r="D164" s="66"/>
      <c r="E164" s="67"/>
      <c r="F164" s="66"/>
      <c r="G164" s="68"/>
      <c r="H164" s="66"/>
      <c r="I164" s="66"/>
      <c r="J164" s="66"/>
      <c r="K164" s="66"/>
      <c r="L164" s="84"/>
      <c r="M164" s="84"/>
      <c r="N164" s="41"/>
      <c r="O164" s="41"/>
      <c r="P164" s="84"/>
      <c r="Q164" s="84"/>
      <c r="R164" s="84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66"/>
      <c r="AU164" s="66"/>
      <c r="AV164" s="65"/>
      <c r="AW164" s="66"/>
      <c r="AX164" s="66"/>
      <c r="AY164" s="106"/>
    </row>
    <row r="165" s="31" customFormat="1" spans="2:51">
      <c r="B165" s="65"/>
      <c r="C165" s="66"/>
      <c r="D165" s="66"/>
      <c r="E165" s="67"/>
      <c r="F165" s="66"/>
      <c r="G165" s="68"/>
      <c r="H165" s="66"/>
      <c r="I165" s="66"/>
      <c r="J165" s="66"/>
      <c r="K165" s="66"/>
      <c r="L165" s="84"/>
      <c r="M165" s="84"/>
      <c r="N165" s="41"/>
      <c r="O165" s="41"/>
      <c r="P165" s="84"/>
      <c r="Q165" s="84"/>
      <c r="R165" s="84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66"/>
      <c r="AU165" s="66"/>
      <c r="AV165" s="65"/>
      <c r="AW165" s="66"/>
      <c r="AX165" s="66"/>
      <c r="AY165" s="106"/>
    </row>
    <row r="166" s="31" customFormat="1" spans="2:51">
      <c r="B166" s="65"/>
      <c r="C166" s="66"/>
      <c r="D166" s="66"/>
      <c r="E166" s="67"/>
      <c r="F166" s="66"/>
      <c r="G166" s="68"/>
      <c r="H166" s="66"/>
      <c r="I166" s="66"/>
      <c r="J166" s="66"/>
      <c r="K166" s="66"/>
      <c r="L166" s="84"/>
      <c r="M166" s="84"/>
      <c r="N166" s="41"/>
      <c r="O166" s="41"/>
      <c r="P166" s="84"/>
      <c r="Q166" s="84"/>
      <c r="R166" s="84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66"/>
      <c r="AU166" s="66"/>
      <c r="AV166" s="65"/>
      <c r="AW166" s="66"/>
      <c r="AX166" s="66"/>
      <c r="AY166" s="106"/>
    </row>
    <row r="167" s="31" customFormat="1" spans="2:51">
      <c r="B167" s="65"/>
      <c r="C167" s="66"/>
      <c r="D167" s="66"/>
      <c r="E167" s="67"/>
      <c r="F167" s="66"/>
      <c r="G167" s="68"/>
      <c r="H167" s="66"/>
      <c r="I167" s="66"/>
      <c r="J167" s="66"/>
      <c r="K167" s="66"/>
      <c r="L167" s="84"/>
      <c r="M167" s="84"/>
      <c r="N167" s="41"/>
      <c r="O167" s="41"/>
      <c r="P167" s="84"/>
      <c r="Q167" s="84"/>
      <c r="R167" s="84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66"/>
      <c r="AU167" s="66"/>
      <c r="AV167" s="65"/>
      <c r="AW167" s="66"/>
      <c r="AX167" s="66"/>
      <c r="AY167" s="106"/>
    </row>
    <row r="168" s="31" customFormat="1" spans="2:51">
      <c r="B168" s="65"/>
      <c r="C168" s="66"/>
      <c r="D168" s="66"/>
      <c r="E168" s="67"/>
      <c r="F168" s="66"/>
      <c r="G168" s="68"/>
      <c r="H168" s="66"/>
      <c r="I168" s="66"/>
      <c r="J168" s="66"/>
      <c r="K168" s="66"/>
      <c r="L168" s="84"/>
      <c r="M168" s="84"/>
      <c r="N168" s="41"/>
      <c r="O168" s="41"/>
      <c r="P168" s="84"/>
      <c r="Q168" s="84"/>
      <c r="R168" s="84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66"/>
      <c r="AU168" s="66"/>
      <c r="AV168" s="65"/>
      <c r="AW168" s="66"/>
      <c r="AX168" s="66"/>
      <c r="AY168" s="106"/>
    </row>
    <row r="169" s="31" customFormat="1" spans="2:51">
      <c r="B169" s="65"/>
      <c r="C169" s="66"/>
      <c r="D169" s="66"/>
      <c r="E169" s="67"/>
      <c r="F169" s="66"/>
      <c r="G169" s="68"/>
      <c r="H169" s="66"/>
      <c r="I169" s="66"/>
      <c r="J169" s="66"/>
      <c r="K169" s="66"/>
      <c r="L169" s="84"/>
      <c r="M169" s="84"/>
      <c r="N169" s="41"/>
      <c r="O169" s="41"/>
      <c r="P169" s="84"/>
      <c r="Q169" s="84"/>
      <c r="R169" s="84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66"/>
      <c r="AU169" s="66"/>
      <c r="AV169" s="65"/>
      <c r="AW169" s="66"/>
      <c r="AX169" s="66"/>
      <c r="AY169" s="106"/>
    </row>
    <row r="170" s="31" customFormat="1" spans="2:51">
      <c r="B170" s="65"/>
      <c r="C170" s="66"/>
      <c r="D170" s="66"/>
      <c r="E170" s="67"/>
      <c r="F170" s="66"/>
      <c r="G170" s="68"/>
      <c r="H170" s="66"/>
      <c r="I170" s="66"/>
      <c r="J170" s="66"/>
      <c r="K170" s="66"/>
      <c r="L170" s="84"/>
      <c r="M170" s="84"/>
      <c r="N170" s="41"/>
      <c r="O170" s="41"/>
      <c r="P170" s="84"/>
      <c r="Q170" s="84"/>
      <c r="R170" s="84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6"/>
      <c r="AQ170" s="66"/>
      <c r="AR170" s="66"/>
      <c r="AS170" s="66"/>
      <c r="AT170" s="66"/>
      <c r="AU170" s="66"/>
      <c r="AV170" s="65"/>
      <c r="AW170" s="66"/>
      <c r="AX170" s="66"/>
      <c r="AY170" s="106"/>
    </row>
    <row r="171" s="31" customFormat="1" spans="2:51">
      <c r="B171" s="65"/>
      <c r="C171" s="66"/>
      <c r="D171" s="66"/>
      <c r="E171" s="67"/>
      <c r="F171" s="66"/>
      <c r="G171" s="68"/>
      <c r="H171" s="66"/>
      <c r="I171" s="66"/>
      <c r="J171" s="66"/>
      <c r="K171" s="66"/>
      <c r="L171" s="84"/>
      <c r="M171" s="84"/>
      <c r="N171" s="41"/>
      <c r="O171" s="41"/>
      <c r="P171" s="84"/>
      <c r="Q171" s="84"/>
      <c r="R171" s="84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6"/>
      <c r="AQ171" s="66"/>
      <c r="AR171" s="66"/>
      <c r="AS171" s="66"/>
      <c r="AT171" s="66"/>
      <c r="AU171" s="66"/>
      <c r="AV171" s="65"/>
      <c r="AW171" s="66"/>
      <c r="AX171" s="66"/>
      <c r="AY171" s="106"/>
    </row>
    <row r="172" s="31" customFormat="1" spans="2:51">
      <c r="B172" s="65"/>
      <c r="C172" s="66"/>
      <c r="D172" s="66"/>
      <c r="E172" s="67"/>
      <c r="F172" s="66"/>
      <c r="G172" s="68"/>
      <c r="H172" s="66"/>
      <c r="I172" s="66"/>
      <c r="J172" s="66"/>
      <c r="K172" s="66"/>
      <c r="L172" s="84"/>
      <c r="M172" s="84"/>
      <c r="N172" s="41"/>
      <c r="O172" s="41"/>
      <c r="P172" s="84"/>
      <c r="Q172" s="84"/>
      <c r="R172" s="84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66"/>
      <c r="AU172" s="66"/>
      <c r="AV172" s="65"/>
      <c r="AW172" s="66"/>
      <c r="AX172" s="66"/>
      <c r="AY172" s="106"/>
    </row>
    <row r="173" s="31" customFormat="1" spans="2:51">
      <c r="B173" s="65"/>
      <c r="C173" s="66"/>
      <c r="D173" s="66"/>
      <c r="E173" s="67"/>
      <c r="F173" s="66"/>
      <c r="G173" s="68"/>
      <c r="H173" s="66"/>
      <c r="I173" s="66"/>
      <c r="J173" s="66"/>
      <c r="K173" s="66"/>
      <c r="L173" s="84"/>
      <c r="M173" s="84"/>
      <c r="N173" s="41"/>
      <c r="O173" s="41"/>
      <c r="P173" s="84"/>
      <c r="Q173" s="84"/>
      <c r="R173" s="84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66"/>
      <c r="AU173" s="66"/>
      <c r="AV173" s="65"/>
      <c r="AW173" s="66"/>
      <c r="AX173" s="66"/>
      <c r="AY173" s="106"/>
    </row>
    <row r="174" s="31" customFormat="1" spans="2:51">
      <c r="B174" s="65"/>
      <c r="C174" s="66"/>
      <c r="D174" s="66"/>
      <c r="E174" s="67"/>
      <c r="F174" s="66"/>
      <c r="G174" s="68"/>
      <c r="H174" s="66"/>
      <c r="I174" s="66"/>
      <c r="J174" s="66"/>
      <c r="K174" s="66"/>
      <c r="L174" s="84"/>
      <c r="M174" s="84"/>
      <c r="N174" s="41"/>
      <c r="O174" s="41"/>
      <c r="P174" s="84"/>
      <c r="Q174" s="84"/>
      <c r="R174" s="84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66"/>
      <c r="AU174" s="66"/>
      <c r="AV174" s="65"/>
      <c r="AW174" s="66"/>
      <c r="AX174" s="66"/>
      <c r="AY174" s="106"/>
    </row>
    <row r="175" s="31" customFormat="1" spans="2:51">
      <c r="B175" s="65"/>
      <c r="C175" s="66"/>
      <c r="D175" s="66"/>
      <c r="E175" s="67"/>
      <c r="F175" s="66"/>
      <c r="G175" s="68"/>
      <c r="H175" s="66"/>
      <c r="I175" s="66"/>
      <c r="J175" s="66"/>
      <c r="K175" s="66"/>
      <c r="L175" s="84"/>
      <c r="M175" s="84"/>
      <c r="N175" s="41"/>
      <c r="O175" s="41"/>
      <c r="P175" s="84"/>
      <c r="Q175" s="84"/>
      <c r="R175" s="84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5"/>
      <c r="AW175" s="66"/>
      <c r="AX175" s="66"/>
      <c r="AY175" s="106"/>
    </row>
    <row r="176" s="31" customFormat="1" spans="2:51">
      <c r="B176" s="65"/>
      <c r="C176" s="66"/>
      <c r="D176" s="66"/>
      <c r="E176" s="67"/>
      <c r="F176" s="66"/>
      <c r="G176" s="68"/>
      <c r="H176" s="66"/>
      <c r="I176" s="66"/>
      <c r="J176" s="66"/>
      <c r="K176" s="66"/>
      <c r="L176" s="84"/>
      <c r="M176" s="84"/>
      <c r="N176" s="41"/>
      <c r="O176" s="41"/>
      <c r="P176" s="84"/>
      <c r="Q176" s="84"/>
      <c r="R176" s="84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6"/>
      <c r="AQ176" s="66"/>
      <c r="AR176" s="66"/>
      <c r="AS176" s="66"/>
      <c r="AT176" s="66"/>
      <c r="AU176" s="66"/>
      <c r="AV176" s="65"/>
      <c r="AW176" s="66"/>
      <c r="AX176" s="66"/>
      <c r="AY176" s="106"/>
    </row>
    <row r="177" s="31" customFormat="1" spans="2:51">
      <c r="B177" s="65"/>
      <c r="C177" s="66"/>
      <c r="D177" s="66"/>
      <c r="E177" s="67"/>
      <c r="F177" s="66"/>
      <c r="G177" s="68"/>
      <c r="H177" s="66"/>
      <c r="I177" s="66"/>
      <c r="J177" s="66"/>
      <c r="K177" s="66"/>
      <c r="L177" s="84"/>
      <c r="M177" s="84"/>
      <c r="N177" s="41"/>
      <c r="O177" s="41"/>
      <c r="P177" s="84"/>
      <c r="Q177" s="84"/>
      <c r="R177" s="84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66"/>
      <c r="AU177" s="66"/>
      <c r="AV177" s="65"/>
      <c r="AW177" s="66"/>
      <c r="AX177" s="66"/>
      <c r="AY177" s="106"/>
    </row>
    <row r="178" s="31" customFormat="1" spans="2:51">
      <c r="B178" s="65"/>
      <c r="C178" s="66"/>
      <c r="D178" s="66"/>
      <c r="E178" s="67"/>
      <c r="F178" s="66"/>
      <c r="G178" s="68"/>
      <c r="H178" s="66"/>
      <c r="I178" s="66"/>
      <c r="J178" s="66"/>
      <c r="K178" s="66"/>
      <c r="L178" s="84"/>
      <c r="M178" s="84"/>
      <c r="N178" s="41"/>
      <c r="O178" s="41"/>
      <c r="P178" s="84"/>
      <c r="Q178" s="84"/>
      <c r="R178" s="84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66"/>
      <c r="AU178" s="66"/>
      <c r="AV178" s="65"/>
      <c r="AW178" s="66"/>
      <c r="AX178" s="66"/>
      <c r="AY178" s="106"/>
    </row>
    <row r="179" s="31" customFormat="1" spans="2:51">
      <c r="B179" s="65"/>
      <c r="C179" s="66"/>
      <c r="D179" s="66"/>
      <c r="E179" s="67"/>
      <c r="F179" s="66"/>
      <c r="G179" s="68"/>
      <c r="H179" s="66"/>
      <c r="I179" s="66"/>
      <c r="J179" s="66"/>
      <c r="K179" s="66"/>
      <c r="L179" s="84"/>
      <c r="M179" s="84"/>
      <c r="N179" s="41"/>
      <c r="O179" s="41"/>
      <c r="P179" s="84"/>
      <c r="Q179" s="84"/>
      <c r="R179" s="84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66"/>
      <c r="AU179" s="66"/>
      <c r="AV179" s="65"/>
      <c r="AW179" s="66"/>
      <c r="AX179" s="66"/>
      <c r="AY179" s="106"/>
    </row>
    <row r="180" s="31" customFormat="1" spans="2:51">
      <c r="B180" s="65"/>
      <c r="C180" s="66"/>
      <c r="D180" s="66"/>
      <c r="E180" s="67"/>
      <c r="F180" s="66"/>
      <c r="G180" s="68"/>
      <c r="H180" s="66"/>
      <c r="I180" s="66"/>
      <c r="J180" s="66"/>
      <c r="K180" s="66"/>
      <c r="L180" s="84"/>
      <c r="M180" s="84"/>
      <c r="N180" s="41"/>
      <c r="O180" s="41"/>
      <c r="P180" s="84"/>
      <c r="Q180" s="84"/>
      <c r="R180" s="84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66"/>
      <c r="AU180" s="66"/>
      <c r="AV180" s="65"/>
      <c r="AW180" s="66"/>
      <c r="AX180" s="66"/>
      <c r="AY180" s="106"/>
    </row>
    <row r="181" s="31" customFormat="1" spans="2:51">
      <c r="B181" s="65"/>
      <c r="C181" s="66"/>
      <c r="D181" s="66"/>
      <c r="E181" s="67"/>
      <c r="F181" s="66"/>
      <c r="G181" s="68"/>
      <c r="H181" s="66"/>
      <c r="I181" s="66"/>
      <c r="J181" s="66"/>
      <c r="K181" s="66"/>
      <c r="L181" s="84"/>
      <c r="M181" s="84"/>
      <c r="N181" s="41"/>
      <c r="O181" s="41"/>
      <c r="P181" s="84"/>
      <c r="Q181" s="84"/>
      <c r="R181" s="84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5"/>
      <c r="AW181" s="66"/>
      <c r="AX181" s="66"/>
      <c r="AY181" s="106"/>
    </row>
    <row r="182" s="31" customFormat="1" spans="2:51">
      <c r="B182" s="65"/>
      <c r="C182" s="66"/>
      <c r="D182" s="66"/>
      <c r="E182" s="67"/>
      <c r="F182" s="66"/>
      <c r="G182" s="68"/>
      <c r="H182" s="66"/>
      <c r="I182" s="66"/>
      <c r="J182" s="66"/>
      <c r="K182" s="66"/>
      <c r="L182" s="84"/>
      <c r="M182" s="84"/>
      <c r="N182" s="41"/>
      <c r="O182" s="41"/>
      <c r="P182" s="84"/>
      <c r="Q182" s="84"/>
      <c r="R182" s="84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66"/>
      <c r="AU182" s="66"/>
      <c r="AV182" s="65"/>
      <c r="AW182" s="66"/>
      <c r="AX182" s="66"/>
      <c r="AY182" s="106"/>
    </row>
    <row r="183" s="31" customFormat="1" spans="2:51">
      <c r="B183" s="65"/>
      <c r="C183" s="66"/>
      <c r="D183" s="66"/>
      <c r="E183" s="67"/>
      <c r="F183" s="66"/>
      <c r="G183" s="68"/>
      <c r="H183" s="66"/>
      <c r="I183" s="66"/>
      <c r="J183" s="66"/>
      <c r="K183" s="66"/>
      <c r="L183" s="84"/>
      <c r="M183" s="84"/>
      <c r="N183" s="41"/>
      <c r="O183" s="41"/>
      <c r="P183" s="84"/>
      <c r="Q183" s="84"/>
      <c r="R183" s="84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/>
      <c r="AT183" s="66"/>
      <c r="AU183" s="66"/>
      <c r="AV183" s="65"/>
      <c r="AW183" s="66"/>
      <c r="AX183" s="66"/>
      <c r="AY183" s="106"/>
    </row>
    <row r="184" s="31" customFormat="1" spans="2:51">
      <c r="B184" s="65"/>
      <c r="C184" s="66"/>
      <c r="D184" s="66"/>
      <c r="E184" s="67"/>
      <c r="F184" s="66"/>
      <c r="G184" s="68"/>
      <c r="H184" s="66"/>
      <c r="I184" s="66"/>
      <c r="J184" s="66"/>
      <c r="K184" s="66"/>
      <c r="L184" s="84"/>
      <c r="M184" s="84"/>
      <c r="N184" s="41"/>
      <c r="O184" s="41"/>
      <c r="P184" s="84"/>
      <c r="Q184" s="84"/>
      <c r="R184" s="84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66"/>
      <c r="AU184" s="66"/>
      <c r="AV184" s="65"/>
      <c r="AW184" s="66"/>
      <c r="AX184" s="66"/>
      <c r="AY184" s="106"/>
    </row>
    <row r="185" s="31" customFormat="1" spans="2:51">
      <c r="B185" s="65"/>
      <c r="C185" s="66"/>
      <c r="D185" s="66"/>
      <c r="E185" s="67"/>
      <c r="F185" s="66"/>
      <c r="G185" s="68"/>
      <c r="H185" s="66"/>
      <c r="I185" s="66"/>
      <c r="J185" s="66"/>
      <c r="K185" s="66"/>
      <c r="L185" s="84"/>
      <c r="M185" s="84"/>
      <c r="N185" s="41"/>
      <c r="O185" s="41"/>
      <c r="P185" s="84"/>
      <c r="Q185" s="84"/>
      <c r="R185" s="84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6"/>
      <c r="AQ185" s="66"/>
      <c r="AR185" s="66"/>
      <c r="AS185" s="66"/>
      <c r="AT185" s="66"/>
      <c r="AU185" s="66"/>
      <c r="AV185" s="65"/>
      <c r="AW185" s="66"/>
      <c r="AX185" s="66"/>
      <c r="AY185" s="106"/>
    </row>
    <row r="186" s="31" customFormat="1" spans="2:51">
      <c r="B186" s="65"/>
      <c r="C186" s="66"/>
      <c r="D186" s="66"/>
      <c r="E186" s="67"/>
      <c r="F186" s="66"/>
      <c r="G186" s="68"/>
      <c r="H186" s="66"/>
      <c r="I186" s="66"/>
      <c r="J186" s="66"/>
      <c r="K186" s="66"/>
      <c r="L186" s="84"/>
      <c r="M186" s="84"/>
      <c r="N186" s="41"/>
      <c r="O186" s="41"/>
      <c r="P186" s="84"/>
      <c r="Q186" s="84"/>
      <c r="R186" s="84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/>
      <c r="AT186" s="66"/>
      <c r="AU186" s="66"/>
      <c r="AV186" s="65"/>
      <c r="AW186" s="66"/>
      <c r="AX186" s="66"/>
      <c r="AY186" s="106"/>
    </row>
    <row r="187" s="31" customFormat="1" spans="2:51">
      <c r="B187" s="65"/>
      <c r="C187" s="66"/>
      <c r="D187" s="66"/>
      <c r="E187" s="67"/>
      <c r="F187" s="66"/>
      <c r="G187" s="68"/>
      <c r="H187" s="66"/>
      <c r="I187" s="66"/>
      <c r="J187" s="66"/>
      <c r="K187" s="66"/>
      <c r="L187" s="84"/>
      <c r="M187" s="84"/>
      <c r="N187" s="41"/>
      <c r="O187" s="41"/>
      <c r="P187" s="84"/>
      <c r="Q187" s="84"/>
      <c r="R187" s="84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66"/>
      <c r="AU187" s="66"/>
      <c r="AV187" s="65"/>
      <c r="AW187" s="66"/>
      <c r="AX187" s="66"/>
      <c r="AY187" s="106"/>
    </row>
    <row r="188" s="31" customFormat="1" spans="2:51">
      <c r="B188" s="65"/>
      <c r="C188" s="66"/>
      <c r="D188" s="66"/>
      <c r="E188" s="67"/>
      <c r="F188" s="66"/>
      <c r="G188" s="68"/>
      <c r="H188" s="66"/>
      <c r="I188" s="66"/>
      <c r="J188" s="66"/>
      <c r="K188" s="66"/>
      <c r="L188" s="84"/>
      <c r="M188" s="84"/>
      <c r="N188" s="41"/>
      <c r="O188" s="41"/>
      <c r="P188" s="84"/>
      <c r="Q188" s="84"/>
      <c r="R188" s="84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5"/>
      <c r="AW188" s="66"/>
      <c r="AX188" s="66"/>
      <c r="AY188" s="106"/>
    </row>
    <row r="189" s="31" customFormat="1" spans="2:51">
      <c r="B189" s="65"/>
      <c r="C189" s="66"/>
      <c r="D189" s="66"/>
      <c r="E189" s="67"/>
      <c r="F189" s="66"/>
      <c r="G189" s="68"/>
      <c r="H189" s="66"/>
      <c r="I189" s="66"/>
      <c r="J189" s="66"/>
      <c r="K189" s="66"/>
      <c r="L189" s="84"/>
      <c r="M189" s="84"/>
      <c r="N189" s="41"/>
      <c r="O189" s="41"/>
      <c r="P189" s="84"/>
      <c r="Q189" s="84"/>
      <c r="R189" s="84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5"/>
      <c r="AW189" s="66"/>
      <c r="AX189" s="66"/>
      <c r="AY189" s="106"/>
    </row>
    <row r="190" s="31" customFormat="1" spans="2:51">
      <c r="B190" s="65"/>
      <c r="C190" s="66"/>
      <c r="D190" s="66"/>
      <c r="E190" s="67"/>
      <c r="F190" s="66"/>
      <c r="G190" s="68"/>
      <c r="H190" s="66"/>
      <c r="I190" s="66"/>
      <c r="J190" s="66"/>
      <c r="K190" s="66"/>
      <c r="L190" s="84"/>
      <c r="M190" s="84"/>
      <c r="N190" s="41"/>
      <c r="O190" s="41"/>
      <c r="P190" s="84"/>
      <c r="Q190" s="84"/>
      <c r="R190" s="84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66"/>
      <c r="AU190" s="66"/>
      <c r="AV190" s="65"/>
      <c r="AW190" s="66"/>
      <c r="AX190" s="66"/>
      <c r="AY190" s="106"/>
    </row>
    <row r="191" s="31" customFormat="1" spans="2:51">
      <c r="B191" s="65"/>
      <c r="C191" s="66"/>
      <c r="D191" s="66"/>
      <c r="E191" s="67"/>
      <c r="F191" s="66"/>
      <c r="G191" s="68"/>
      <c r="H191" s="66"/>
      <c r="I191" s="66"/>
      <c r="J191" s="66"/>
      <c r="K191" s="66"/>
      <c r="L191" s="84"/>
      <c r="M191" s="84"/>
      <c r="N191" s="41"/>
      <c r="O191" s="41"/>
      <c r="P191" s="84"/>
      <c r="Q191" s="84"/>
      <c r="R191" s="84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66"/>
      <c r="AU191" s="66"/>
      <c r="AV191" s="65"/>
      <c r="AW191" s="66"/>
      <c r="AX191" s="66"/>
      <c r="AY191" s="106"/>
    </row>
    <row r="192" s="31" customFormat="1" spans="2:51">
      <c r="B192" s="65"/>
      <c r="C192" s="66"/>
      <c r="D192" s="66"/>
      <c r="E192" s="67"/>
      <c r="F192" s="66"/>
      <c r="G192" s="68"/>
      <c r="H192" s="66"/>
      <c r="I192" s="66"/>
      <c r="J192" s="66"/>
      <c r="K192" s="66"/>
      <c r="L192" s="84"/>
      <c r="M192" s="84"/>
      <c r="N192" s="41"/>
      <c r="O192" s="41"/>
      <c r="P192" s="84"/>
      <c r="Q192" s="84"/>
      <c r="R192" s="84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6"/>
      <c r="AQ192" s="66"/>
      <c r="AR192" s="66"/>
      <c r="AS192" s="66"/>
      <c r="AT192" s="66"/>
      <c r="AU192" s="66"/>
      <c r="AV192" s="65"/>
      <c r="AW192" s="66"/>
      <c r="AX192" s="66"/>
      <c r="AY192" s="106"/>
    </row>
    <row r="193" s="31" customFormat="1" spans="2:51">
      <c r="B193" s="65"/>
      <c r="C193" s="66"/>
      <c r="D193" s="66"/>
      <c r="E193" s="67"/>
      <c r="F193" s="66"/>
      <c r="G193" s="68"/>
      <c r="H193" s="66"/>
      <c r="I193" s="66"/>
      <c r="J193" s="66"/>
      <c r="K193" s="66"/>
      <c r="L193" s="84"/>
      <c r="M193" s="84"/>
      <c r="N193" s="41"/>
      <c r="O193" s="41"/>
      <c r="P193" s="84"/>
      <c r="Q193" s="84"/>
      <c r="R193" s="84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6"/>
      <c r="AV193" s="65"/>
      <c r="AW193" s="66"/>
      <c r="AX193" s="66"/>
      <c r="AY193" s="106"/>
    </row>
    <row r="194" s="31" customFormat="1" spans="2:51">
      <c r="B194" s="65"/>
      <c r="C194" s="66"/>
      <c r="D194" s="66"/>
      <c r="E194" s="67"/>
      <c r="F194" s="66"/>
      <c r="G194" s="68"/>
      <c r="H194" s="66"/>
      <c r="I194" s="66"/>
      <c r="J194" s="66"/>
      <c r="K194" s="66"/>
      <c r="L194" s="84"/>
      <c r="M194" s="84"/>
      <c r="N194" s="41"/>
      <c r="O194" s="41"/>
      <c r="P194" s="84"/>
      <c r="Q194" s="84"/>
      <c r="R194" s="84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6"/>
      <c r="AQ194" s="66"/>
      <c r="AR194" s="66"/>
      <c r="AS194" s="66"/>
      <c r="AT194" s="66"/>
      <c r="AU194" s="66"/>
      <c r="AV194" s="65"/>
      <c r="AW194" s="66"/>
      <c r="AX194" s="66"/>
      <c r="AY194" s="106"/>
    </row>
    <row r="195" s="31" customFormat="1" spans="2:51">
      <c r="B195" s="65"/>
      <c r="C195" s="66"/>
      <c r="D195" s="66"/>
      <c r="E195" s="67"/>
      <c r="F195" s="66"/>
      <c r="G195" s="68"/>
      <c r="H195" s="66"/>
      <c r="I195" s="66"/>
      <c r="J195" s="66"/>
      <c r="K195" s="66"/>
      <c r="L195" s="84"/>
      <c r="M195" s="84"/>
      <c r="N195" s="41"/>
      <c r="O195" s="41"/>
      <c r="P195" s="84"/>
      <c r="Q195" s="84"/>
      <c r="R195" s="84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6"/>
      <c r="AV195" s="65"/>
      <c r="AW195" s="66"/>
      <c r="AX195" s="66"/>
      <c r="AY195" s="106"/>
    </row>
    <row r="196" s="31" customFormat="1" spans="2:51">
      <c r="B196" s="65"/>
      <c r="C196" s="66"/>
      <c r="D196" s="66"/>
      <c r="E196" s="67"/>
      <c r="F196" s="66"/>
      <c r="G196" s="68"/>
      <c r="H196" s="66"/>
      <c r="I196" s="66"/>
      <c r="J196" s="66"/>
      <c r="K196" s="66"/>
      <c r="L196" s="84"/>
      <c r="M196" s="84"/>
      <c r="N196" s="41"/>
      <c r="O196" s="41"/>
      <c r="P196" s="84"/>
      <c r="Q196" s="84"/>
      <c r="R196" s="84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5"/>
      <c r="AW196" s="66"/>
      <c r="AX196" s="66"/>
      <c r="AY196" s="106"/>
    </row>
    <row r="197" s="31" customFormat="1" spans="2:51">
      <c r="B197" s="65"/>
      <c r="C197" s="66"/>
      <c r="D197" s="66"/>
      <c r="E197" s="67"/>
      <c r="F197" s="66"/>
      <c r="G197" s="68"/>
      <c r="H197" s="66"/>
      <c r="I197" s="66"/>
      <c r="J197" s="66"/>
      <c r="K197" s="66"/>
      <c r="L197" s="84"/>
      <c r="M197" s="84"/>
      <c r="N197" s="41"/>
      <c r="O197" s="41"/>
      <c r="P197" s="84"/>
      <c r="Q197" s="84"/>
      <c r="R197" s="84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5"/>
      <c r="AW197" s="66"/>
      <c r="AX197" s="66"/>
      <c r="AY197" s="106"/>
    </row>
    <row r="198" s="31" customFormat="1" spans="2:51">
      <c r="B198" s="65"/>
      <c r="C198" s="66"/>
      <c r="D198" s="66"/>
      <c r="E198" s="67"/>
      <c r="F198" s="66"/>
      <c r="G198" s="68"/>
      <c r="H198" s="66"/>
      <c r="I198" s="66"/>
      <c r="J198" s="66"/>
      <c r="K198" s="66"/>
      <c r="L198" s="84"/>
      <c r="M198" s="84"/>
      <c r="N198" s="41"/>
      <c r="O198" s="41"/>
      <c r="P198" s="84"/>
      <c r="Q198" s="84"/>
      <c r="R198" s="84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66"/>
      <c r="AU198" s="66"/>
      <c r="AV198" s="65"/>
      <c r="AW198" s="66"/>
      <c r="AX198" s="66"/>
      <c r="AY198" s="106"/>
    </row>
    <row r="199" s="31" customFormat="1" spans="2:51">
      <c r="B199" s="65"/>
      <c r="C199" s="66"/>
      <c r="D199" s="66"/>
      <c r="E199" s="67"/>
      <c r="F199" s="66"/>
      <c r="G199" s="68"/>
      <c r="H199" s="66"/>
      <c r="I199" s="66"/>
      <c r="J199" s="66"/>
      <c r="K199" s="66"/>
      <c r="L199" s="84"/>
      <c r="M199" s="84"/>
      <c r="N199" s="41"/>
      <c r="O199" s="41"/>
      <c r="P199" s="84"/>
      <c r="Q199" s="84"/>
      <c r="R199" s="84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66"/>
      <c r="AU199" s="66"/>
      <c r="AV199" s="65"/>
      <c r="AW199" s="66"/>
      <c r="AX199" s="66"/>
      <c r="AY199" s="106"/>
    </row>
    <row r="200" s="31" customFormat="1" spans="2:51">
      <c r="B200" s="65"/>
      <c r="C200" s="66"/>
      <c r="D200" s="66"/>
      <c r="E200" s="67"/>
      <c r="F200" s="66"/>
      <c r="G200" s="68"/>
      <c r="H200" s="66"/>
      <c r="I200" s="66"/>
      <c r="J200" s="66"/>
      <c r="K200" s="66"/>
      <c r="L200" s="84"/>
      <c r="M200" s="84"/>
      <c r="N200" s="41"/>
      <c r="O200" s="41"/>
      <c r="P200" s="84"/>
      <c r="Q200" s="84"/>
      <c r="R200" s="84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66"/>
      <c r="AU200" s="66"/>
      <c r="AV200" s="65"/>
      <c r="AW200" s="66"/>
      <c r="AX200" s="66"/>
      <c r="AY200" s="106"/>
    </row>
    <row r="201" s="31" customFormat="1" spans="2:51">
      <c r="B201" s="65"/>
      <c r="C201" s="66"/>
      <c r="D201" s="66"/>
      <c r="E201" s="67"/>
      <c r="F201" s="66"/>
      <c r="G201" s="68"/>
      <c r="H201" s="66"/>
      <c r="I201" s="66"/>
      <c r="J201" s="66"/>
      <c r="K201" s="66"/>
      <c r="L201" s="84"/>
      <c r="M201" s="84"/>
      <c r="N201" s="41"/>
      <c r="O201" s="41"/>
      <c r="P201" s="84"/>
      <c r="Q201" s="84"/>
      <c r="R201" s="84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66"/>
      <c r="AU201" s="66"/>
      <c r="AV201" s="65"/>
      <c r="AW201" s="66"/>
      <c r="AX201" s="66"/>
      <c r="AY201" s="106"/>
    </row>
    <row r="202" s="31" customFormat="1" spans="2:51">
      <c r="B202" s="65"/>
      <c r="C202" s="66"/>
      <c r="D202" s="66"/>
      <c r="E202" s="67"/>
      <c r="F202" s="66"/>
      <c r="G202" s="68"/>
      <c r="H202" s="66"/>
      <c r="I202" s="66"/>
      <c r="J202" s="66"/>
      <c r="K202" s="66"/>
      <c r="L202" s="84"/>
      <c r="M202" s="84"/>
      <c r="N202" s="41"/>
      <c r="O202" s="41"/>
      <c r="P202" s="84"/>
      <c r="Q202" s="84"/>
      <c r="R202" s="84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66"/>
      <c r="AU202" s="66"/>
      <c r="AV202" s="65"/>
      <c r="AW202" s="66"/>
      <c r="AX202" s="66"/>
      <c r="AY202" s="106"/>
    </row>
    <row r="203" s="31" customFormat="1" spans="2:51">
      <c r="B203" s="65"/>
      <c r="C203" s="66"/>
      <c r="D203" s="66"/>
      <c r="E203" s="67"/>
      <c r="F203" s="66"/>
      <c r="G203" s="68"/>
      <c r="H203" s="66"/>
      <c r="I203" s="66"/>
      <c r="J203" s="66"/>
      <c r="K203" s="66"/>
      <c r="L203" s="84"/>
      <c r="M203" s="84"/>
      <c r="N203" s="41"/>
      <c r="O203" s="41"/>
      <c r="P203" s="84"/>
      <c r="Q203" s="84"/>
      <c r="R203" s="84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  <c r="AV203" s="65"/>
      <c r="AW203" s="66"/>
      <c r="AX203" s="66"/>
      <c r="AY203" s="106"/>
    </row>
    <row r="204" s="31" customFormat="1" spans="2:51">
      <c r="B204" s="65"/>
      <c r="C204" s="66"/>
      <c r="D204" s="66"/>
      <c r="E204" s="67"/>
      <c r="F204" s="66"/>
      <c r="G204" s="68"/>
      <c r="H204" s="66"/>
      <c r="I204" s="66"/>
      <c r="J204" s="66"/>
      <c r="K204" s="66"/>
      <c r="L204" s="84"/>
      <c r="M204" s="84"/>
      <c r="N204" s="41"/>
      <c r="O204" s="41"/>
      <c r="P204" s="84"/>
      <c r="Q204" s="84"/>
      <c r="R204" s="84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66"/>
      <c r="AU204" s="66"/>
      <c r="AV204" s="65"/>
      <c r="AW204" s="66"/>
      <c r="AX204" s="66"/>
      <c r="AY204" s="106"/>
    </row>
    <row r="205" s="31" customFormat="1" spans="2:51">
      <c r="B205" s="65"/>
      <c r="C205" s="66"/>
      <c r="D205" s="66"/>
      <c r="E205" s="67"/>
      <c r="F205" s="66"/>
      <c r="G205" s="68"/>
      <c r="H205" s="66"/>
      <c r="I205" s="66"/>
      <c r="J205" s="66"/>
      <c r="K205" s="66"/>
      <c r="L205" s="84"/>
      <c r="M205" s="84"/>
      <c r="N205" s="41"/>
      <c r="O205" s="41"/>
      <c r="P205" s="84"/>
      <c r="Q205" s="84"/>
      <c r="R205" s="84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66"/>
      <c r="AU205" s="66"/>
      <c r="AV205" s="65"/>
      <c r="AW205" s="66"/>
      <c r="AX205" s="66"/>
      <c r="AY205" s="106"/>
    </row>
    <row r="206" s="31" customFormat="1" spans="2:51">
      <c r="B206" s="65"/>
      <c r="C206" s="66"/>
      <c r="D206" s="66"/>
      <c r="E206" s="67"/>
      <c r="F206" s="66"/>
      <c r="G206" s="68"/>
      <c r="H206" s="66"/>
      <c r="I206" s="66"/>
      <c r="J206" s="66"/>
      <c r="K206" s="66"/>
      <c r="L206" s="84"/>
      <c r="M206" s="84"/>
      <c r="N206" s="41"/>
      <c r="O206" s="41"/>
      <c r="P206" s="84"/>
      <c r="Q206" s="84"/>
      <c r="R206" s="84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  <c r="AV206" s="65"/>
      <c r="AW206" s="66"/>
      <c r="AX206" s="66"/>
      <c r="AY206" s="106"/>
    </row>
    <row r="207" s="31" customFormat="1" spans="2:51">
      <c r="B207" s="65"/>
      <c r="C207" s="66"/>
      <c r="D207" s="66"/>
      <c r="E207" s="67"/>
      <c r="F207" s="66"/>
      <c r="G207" s="68"/>
      <c r="H207" s="66"/>
      <c r="I207" s="66"/>
      <c r="J207" s="66"/>
      <c r="K207" s="66"/>
      <c r="L207" s="84"/>
      <c r="M207" s="84"/>
      <c r="N207" s="41"/>
      <c r="O207" s="41"/>
      <c r="P207" s="84"/>
      <c r="Q207" s="84"/>
      <c r="R207" s="84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  <c r="AV207" s="65"/>
      <c r="AW207" s="66"/>
      <c r="AX207" s="66"/>
      <c r="AY207" s="106"/>
    </row>
    <row r="208" s="31" customFormat="1" spans="2:51">
      <c r="B208" s="65"/>
      <c r="C208" s="66"/>
      <c r="D208" s="66"/>
      <c r="E208" s="67"/>
      <c r="F208" s="66"/>
      <c r="G208" s="68"/>
      <c r="H208" s="66"/>
      <c r="I208" s="66"/>
      <c r="J208" s="66"/>
      <c r="K208" s="66"/>
      <c r="L208" s="84"/>
      <c r="M208" s="84"/>
      <c r="N208" s="41"/>
      <c r="O208" s="41"/>
      <c r="P208" s="84"/>
      <c r="Q208" s="84"/>
      <c r="R208" s="84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  <c r="AV208" s="65"/>
      <c r="AW208" s="66"/>
      <c r="AX208" s="66"/>
      <c r="AY208" s="106"/>
    </row>
    <row r="209" s="31" customFormat="1" spans="2:51">
      <c r="B209" s="65"/>
      <c r="C209" s="66"/>
      <c r="D209" s="66"/>
      <c r="E209" s="67"/>
      <c r="F209" s="66"/>
      <c r="G209" s="68"/>
      <c r="H209" s="66"/>
      <c r="I209" s="66"/>
      <c r="J209" s="66"/>
      <c r="K209" s="66"/>
      <c r="L209" s="84"/>
      <c r="M209" s="84"/>
      <c r="N209" s="41"/>
      <c r="O209" s="41"/>
      <c r="P209" s="84"/>
      <c r="Q209" s="84"/>
      <c r="R209" s="84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  <c r="AV209" s="65"/>
      <c r="AW209" s="66"/>
      <c r="AX209" s="66"/>
      <c r="AY209" s="106"/>
    </row>
    <row r="210" s="31" customFormat="1" spans="2:51">
      <c r="B210" s="65"/>
      <c r="C210" s="66"/>
      <c r="D210" s="66"/>
      <c r="E210" s="67"/>
      <c r="F210" s="66"/>
      <c r="G210" s="68"/>
      <c r="H210" s="66"/>
      <c r="I210" s="66"/>
      <c r="J210" s="66"/>
      <c r="K210" s="66"/>
      <c r="L210" s="84"/>
      <c r="M210" s="84"/>
      <c r="N210" s="41"/>
      <c r="O210" s="41"/>
      <c r="P210" s="84"/>
      <c r="Q210" s="84"/>
      <c r="R210" s="84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  <c r="AV210" s="65"/>
      <c r="AW210" s="66"/>
      <c r="AX210" s="66"/>
      <c r="AY210" s="106"/>
    </row>
    <row r="211" s="31" customFormat="1" spans="2:51">
      <c r="B211" s="65"/>
      <c r="C211" s="66"/>
      <c r="D211" s="66"/>
      <c r="E211" s="67"/>
      <c r="F211" s="66"/>
      <c r="G211" s="68"/>
      <c r="H211" s="66"/>
      <c r="I211" s="66"/>
      <c r="J211" s="66"/>
      <c r="K211" s="66"/>
      <c r="L211" s="84"/>
      <c r="M211" s="84"/>
      <c r="N211" s="41"/>
      <c r="O211" s="41"/>
      <c r="P211" s="84"/>
      <c r="Q211" s="84"/>
      <c r="R211" s="84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5"/>
      <c r="AW211" s="66"/>
      <c r="AX211" s="66"/>
      <c r="AY211" s="106"/>
    </row>
    <row r="212" s="31" customFormat="1" spans="2:51">
      <c r="B212" s="65"/>
      <c r="C212" s="66"/>
      <c r="D212" s="66"/>
      <c r="E212" s="67"/>
      <c r="F212" s="66"/>
      <c r="G212" s="68"/>
      <c r="H212" s="66"/>
      <c r="I212" s="66"/>
      <c r="J212" s="66"/>
      <c r="K212" s="66"/>
      <c r="L212" s="84"/>
      <c r="M212" s="84"/>
      <c r="N212" s="41"/>
      <c r="O212" s="41"/>
      <c r="P212" s="84"/>
      <c r="Q212" s="84"/>
      <c r="R212" s="84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66"/>
      <c r="AU212" s="66"/>
      <c r="AV212" s="65"/>
      <c r="AW212" s="66"/>
      <c r="AX212" s="66"/>
      <c r="AY212" s="106"/>
    </row>
    <row r="213" s="31" customFormat="1" spans="2:51">
      <c r="B213" s="65"/>
      <c r="C213" s="66"/>
      <c r="D213" s="66"/>
      <c r="E213" s="67"/>
      <c r="F213" s="66"/>
      <c r="G213" s="68"/>
      <c r="H213" s="66"/>
      <c r="I213" s="66"/>
      <c r="J213" s="66"/>
      <c r="K213" s="66"/>
      <c r="L213" s="84"/>
      <c r="M213" s="84"/>
      <c r="N213" s="41"/>
      <c r="O213" s="41"/>
      <c r="P213" s="84"/>
      <c r="Q213" s="84"/>
      <c r="R213" s="84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5"/>
      <c r="AW213" s="66"/>
      <c r="AX213" s="66"/>
      <c r="AY213" s="106"/>
    </row>
    <row r="214" s="31" customFormat="1" spans="2:51">
      <c r="B214" s="65"/>
      <c r="C214" s="66"/>
      <c r="D214" s="66"/>
      <c r="E214" s="67"/>
      <c r="F214" s="66"/>
      <c r="G214" s="68"/>
      <c r="H214" s="66"/>
      <c r="I214" s="66"/>
      <c r="J214" s="66"/>
      <c r="K214" s="66"/>
      <c r="L214" s="84"/>
      <c r="M214" s="84"/>
      <c r="N214" s="41"/>
      <c r="O214" s="41"/>
      <c r="P214" s="84"/>
      <c r="Q214" s="84"/>
      <c r="R214" s="84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/>
      <c r="AS214" s="66"/>
      <c r="AT214" s="66"/>
      <c r="AU214" s="66"/>
      <c r="AV214" s="65"/>
      <c r="AW214" s="66"/>
      <c r="AX214" s="66"/>
      <c r="AY214" s="106"/>
    </row>
    <row r="215" s="31" customFormat="1" spans="2:51">
      <c r="B215" s="65"/>
      <c r="C215" s="66"/>
      <c r="D215" s="66"/>
      <c r="E215" s="67"/>
      <c r="F215" s="66"/>
      <c r="G215" s="68"/>
      <c r="H215" s="66"/>
      <c r="I215" s="66"/>
      <c r="J215" s="66"/>
      <c r="K215" s="66"/>
      <c r="L215" s="84"/>
      <c r="M215" s="84"/>
      <c r="N215" s="41"/>
      <c r="O215" s="41"/>
      <c r="P215" s="84"/>
      <c r="Q215" s="84"/>
      <c r="R215" s="84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  <c r="AV215" s="65"/>
      <c r="AW215" s="66"/>
      <c r="AX215" s="66"/>
      <c r="AY215" s="106"/>
    </row>
    <row r="216" s="31" customFormat="1" spans="2:51">
      <c r="B216" s="65"/>
      <c r="C216" s="66"/>
      <c r="D216" s="66"/>
      <c r="E216" s="67"/>
      <c r="F216" s="66"/>
      <c r="G216" s="68"/>
      <c r="H216" s="66"/>
      <c r="I216" s="66"/>
      <c r="J216" s="66"/>
      <c r="K216" s="66"/>
      <c r="L216" s="84"/>
      <c r="M216" s="84"/>
      <c r="N216" s="41"/>
      <c r="O216" s="41"/>
      <c r="P216" s="84"/>
      <c r="Q216" s="84"/>
      <c r="R216" s="84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66"/>
      <c r="AU216" s="66"/>
      <c r="AV216" s="65"/>
      <c r="AW216" s="66"/>
      <c r="AX216" s="66"/>
      <c r="AY216" s="106"/>
    </row>
    <row r="217" s="31" customFormat="1" spans="2:51">
      <c r="B217" s="65"/>
      <c r="C217" s="66"/>
      <c r="D217" s="66"/>
      <c r="E217" s="67"/>
      <c r="F217" s="66"/>
      <c r="G217" s="68"/>
      <c r="H217" s="66"/>
      <c r="I217" s="66"/>
      <c r="J217" s="66"/>
      <c r="K217" s="66"/>
      <c r="L217" s="84"/>
      <c r="M217" s="84"/>
      <c r="N217" s="41"/>
      <c r="O217" s="41"/>
      <c r="P217" s="84"/>
      <c r="Q217" s="84"/>
      <c r="R217" s="84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  <c r="AV217" s="65"/>
      <c r="AW217" s="66"/>
      <c r="AX217" s="66"/>
      <c r="AY217" s="106"/>
    </row>
    <row r="218" s="31" customFormat="1" spans="2:51">
      <c r="B218" s="65"/>
      <c r="C218" s="66"/>
      <c r="D218" s="66"/>
      <c r="E218" s="67"/>
      <c r="F218" s="66"/>
      <c r="G218" s="68"/>
      <c r="H218" s="66"/>
      <c r="I218" s="66"/>
      <c r="J218" s="66"/>
      <c r="K218" s="66"/>
      <c r="L218" s="84"/>
      <c r="M218" s="84"/>
      <c r="N218" s="41"/>
      <c r="O218" s="41"/>
      <c r="P218" s="84"/>
      <c r="Q218" s="84"/>
      <c r="R218" s="84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  <c r="AV218" s="65"/>
      <c r="AW218" s="66"/>
      <c r="AX218" s="66"/>
      <c r="AY218" s="106"/>
    </row>
    <row r="219" s="31" customFormat="1" spans="2:51">
      <c r="B219" s="65"/>
      <c r="C219" s="66"/>
      <c r="D219" s="66"/>
      <c r="E219" s="67"/>
      <c r="F219" s="66"/>
      <c r="G219" s="68"/>
      <c r="H219" s="66"/>
      <c r="I219" s="66"/>
      <c r="J219" s="66"/>
      <c r="K219" s="66"/>
      <c r="L219" s="84"/>
      <c r="M219" s="84"/>
      <c r="N219" s="41"/>
      <c r="O219" s="41"/>
      <c r="P219" s="84"/>
      <c r="Q219" s="84"/>
      <c r="R219" s="84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5"/>
      <c r="AW219" s="66"/>
      <c r="AX219" s="66"/>
      <c r="AY219" s="106"/>
    </row>
    <row r="220" s="31" customFormat="1" spans="2:51">
      <c r="B220" s="65"/>
      <c r="C220" s="66"/>
      <c r="D220" s="66"/>
      <c r="E220" s="67"/>
      <c r="F220" s="66"/>
      <c r="G220" s="68"/>
      <c r="H220" s="66"/>
      <c r="I220" s="66"/>
      <c r="J220" s="66"/>
      <c r="K220" s="66"/>
      <c r="L220" s="84"/>
      <c r="M220" s="84"/>
      <c r="N220" s="41"/>
      <c r="O220" s="41"/>
      <c r="P220" s="84"/>
      <c r="Q220" s="84"/>
      <c r="R220" s="84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66"/>
      <c r="AU220" s="66"/>
      <c r="AV220" s="65"/>
      <c r="AW220" s="66"/>
      <c r="AX220" s="66"/>
      <c r="AY220" s="106"/>
    </row>
    <row r="221" s="31" customFormat="1" spans="2:51">
      <c r="B221" s="65"/>
      <c r="C221" s="66"/>
      <c r="D221" s="66"/>
      <c r="E221" s="67"/>
      <c r="F221" s="66"/>
      <c r="G221" s="68"/>
      <c r="H221" s="66"/>
      <c r="I221" s="66"/>
      <c r="J221" s="66"/>
      <c r="K221" s="66"/>
      <c r="L221" s="84"/>
      <c r="M221" s="84"/>
      <c r="N221" s="41"/>
      <c r="O221" s="41"/>
      <c r="P221" s="84"/>
      <c r="Q221" s="84"/>
      <c r="R221" s="84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66"/>
      <c r="AU221" s="66"/>
      <c r="AV221" s="65"/>
      <c r="AW221" s="66"/>
      <c r="AX221" s="66"/>
      <c r="AY221" s="106"/>
    </row>
    <row r="222" s="31" customFormat="1" spans="2:51">
      <c r="B222" s="65"/>
      <c r="C222" s="66"/>
      <c r="D222" s="66"/>
      <c r="E222" s="67"/>
      <c r="F222" s="66"/>
      <c r="G222" s="68"/>
      <c r="H222" s="66"/>
      <c r="I222" s="66"/>
      <c r="J222" s="66"/>
      <c r="K222" s="66"/>
      <c r="L222" s="84"/>
      <c r="M222" s="84"/>
      <c r="N222" s="41"/>
      <c r="O222" s="41"/>
      <c r="P222" s="84"/>
      <c r="Q222" s="84"/>
      <c r="R222" s="84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66"/>
      <c r="AU222" s="66"/>
      <c r="AV222" s="65"/>
      <c r="AW222" s="66"/>
      <c r="AX222" s="66"/>
      <c r="AY222" s="106"/>
    </row>
    <row r="223" s="31" customFormat="1" spans="2:51">
      <c r="B223" s="65"/>
      <c r="C223" s="66"/>
      <c r="D223" s="66"/>
      <c r="E223" s="67"/>
      <c r="F223" s="66"/>
      <c r="G223" s="68"/>
      <c r="H223" s="66"/>
      <c r="I223" s="66"/>
      <c r="J223" s="66"/>
      <c r="K223" s="66"/>
      <c r="L223" s="84"/>
      <c r="M223" s="84"/>
      <c r="N223" s="41"/>
      <c r="O223" s="41"/>
      <c r="P223" s="84"/>
      <c r="Q223" s="84"/>
      <c r="R223" s="84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66"/>
      <c r="AU223" s="66"/>
      <c r="AV223" s="65"/>
      <c r="AW223" s="66"/>
      <c r="AX223" s="66"/>
      <c r="AY223" s="106"/>
    </row>
    <row r="224" s="31" customFormat="1" spans="2:51">
      <c r="B224" s="65"/>
      <c r="C224" s="66"/>
      <c r="D224" s="66"/>
      <c r="E224" s="67"/>
      <c r="F224" s="66"/>
      <c r="G224" s="68"/>
      <c r="H224" s="66"/>
      <c r="I224" s="66"/>
      <c r="J224" s="66"/>
      <c r="K224" s="66"/>
      <c r="L224" s="84"/>
      <c r="M224" s="84"/>
      <c r="N224" s="41"/>
      <c r="O224" s="41"/>
      <c r="P224" s="84"/>
      <c r="Q224" s="84"/>
      <c r="R224" s="84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6"/>
      <c r="AQ224" s="66"/>
      <c r="AR224" s="66"/>
      <c r="AS224" s="66"/>
      <c r="AT224" s="66"/>
      <c r="AU224" s="66"/>
      <c r="AV224" s="65"/>
      <c r="AW224" s="66"/>
      <c r="AX224" s="66"/>
      <c r="AY224" s="106"/>
    </row>
    <row r="225" s="31" customFormat="1" spans="2:51">
      <c r="B225" s="65"/>
      <c r="C225" s="66"/>
      <c r="D225" s="66"/>
      <c r="E225" s="67"/>
      <c r="F225" s="66"/>
      <c r="G225" s="68"/>
      <c r="H225" s="66"/>
      <c r="I225" s="66"/>
      <c r="J225" s="66"/>
      <c r="K225" s="66"/>
      <c r="L225" s="84"/>
      <c r="M225" s="84"/>
      <c r="N225" s="41"/>
      <c r="O225" s="41"/>
      <c r="P225" s="84"/>
      <c r="Q225" s="84"/>
      <c r="R225" s="84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  <c r="AV225" s="65"/>
      <c r="AW225" s="66"/>
      <c r="AX225" s="66"/>
      <c r="AY225" s="106"/>
    </row>
    <row r="226" s="31" customFormat="1" spans="2:51">
      <c r="B226" s="65"/>
      <c r="C226" s="66"/>
      <c r="D226" s="66"/>
      <c r="E226" s="67"/>
      <c r="F226" s="66"/>
      <c r="G226" s="68"/>
      <c r="H226" s="66"/>
      <c r="I226" s="66"/>
      <c r="J226" s="66"/>
      <c r="K226" s="66"/>
      <c r="L226" s="84"/>
      <c r="M226" s="84"/>
      <c r="N226" s="41"/>
      <c r="O226" s="41"/>
      <c r="P226" s="84"/>
      <c r="Q226" s="84"/>
      <c r="R226" s="84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  <c r="AV226" s="65"/>
      <c r="AW226" s="66"/>
      <c r="AX226" s="66"/>
      <c r="AY226" s="106"/>
    </row>
    <row r="227" s="31" customFormat="1" spans="2:51">
      <c r="B227" s="65"/>
      <c r="C227" s="66"/>
      <c r="D227" s="66"/>
      <c r="E227" s="67"/>
      <c r="F227" s="66"/>
      <c r="G227" s="68"/>
      <c r="H227" s="66"/>
      <c r="I227" s="66"/>
      <c r="J227" s="66"/>
      <c r="K227" s="66"/>
      <c r="L227" s="84"/>
      <c r="M227" s="84"/>
      <c r="N227" s="41"/>
      <c r="O227" s="41"/>
      <c r="P227" s="84"/>
      <c r="Q227" s="84"/>
      <c r="R227" s="84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  <c r="AV227" s="65"/>
      <c r="AW227" s="66"/>
      <c r="AX227" s="66"/>
      <c r="AY227" s="106"/>
    </row>
    <row r="228" s="31" customFormat="1" spans="2:51">
      <c r="B228" s="65"/>
      <c r="C228" s="66"/>
      <c r="D228" s="66"/>
      <c r="E228" s="67"/>
      <c r="F228" s="66"/>
      <c r="G228" s="68"/>
      <c r="H228" s="66"/>
      <c r="I228" s="66"/>
      <c r="J228" s="66"/>
      <c r="K228" s="66"/>
      <c r="L228" s="84"/>
      <c r="M228" s="84"/>
      <c r="N228" s="41"/>
      <c r="O228" s="41"/>
      <c r="P228" s="84"/>
      <c r="Q228" s="84"/>
      <c r="R228" s="84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  <c r="AV228" s="65"/>
      <c r="AW228" s="66"/>
      <c r="AX228" s="66"/>
      <c r="AY228" s="106"/>
    </row>
    <row r="229" s="31" customFormat="1" spans="2:51">
      <c r="B229" s="65"/>
      <c r="C229" s="66"/>
      <c r="D229" s="66"/>
      <c r="E229" s="67"/>
      <c r="F229" s="66"/>
      <c r="G229" s="68"/>
      <c r="H229" s="66"/>
      <c r="I229" s="66"/>
      <c r="J229" s="66"/>
      <c r="K229" s="66"/>
      <c r="L229" s="84"/>
      <c r="M229" s="84"/>
      <c r="N229" s="41"/>
      <c r="O229" s="41"/>
      <c r="P229" s="84"/>
      <c r="Q229" s="84"/>
      <c r="R229" s="84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  <c r="AV229" s="65"/>
      <c r="AW229" s="66"/>
      <c r="AX229" s="66"/>
      <c r="AY229" s="106"/>
    </row>
    <row r="230" s="31" customFormat="1" spans="2:51">
      <c r="B230" s="65"/>
      <c r="C230" s="66"/>
      <c r="D230" s="66"/>
      <c r="E230" s="67"/>
      <c r="F230" s="66"/>
      <c r="G230" s="68"/>
      <c r="H230" s="66"/>
      <c r="I230" s="66"/>
      <c r="J230" s="66"/>
      <c r="K230" s="66"/>
      <c r="L230" s="84"/>
      <c r="M230" s="84"/>
      <c r="N230" s="41"/>
      <c r="O230" s="41"/>
      <c r="P230" s="84"/>
      <c r="Q230" s="84"/>
      <c r="R230" s="84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  <c r="AV230" s="65"/>
      <c r="AW230" s="66"/>
      <c r="AX230" s="66"/>
      <c r="AY230" s="106"/>
    </row>
    <row r="231" s="31" customFormat="1" spans="2:51">
      <c r="B231" s="65"/>
      <c r="C231" s="66"/>
      <c r="D231" s="66"/>
      <c r="E231" s="67"/>
      <c r="F231" s="66"/>
      <c r="G231" s="68"/>
      <c r="H231" s="66"/>
      <c r="I231" s="66"/>
      <c r="J231" s="66"/>
      <c r="K231" s="66"/>
      <c r="L231" s="84"/>
      <c r="M231" s="84"/>
      <c r="N231" s="41"/>
      <c r="O231" s="41"/>
      <c r="P231" s="84"/>
      <c r="Q231" s="84"/>
      <c r="R231" s="84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  <c r="AV231" s="65"/>
      <c r="AW231" s="66"/>
      <c r="AX231" s="66"/>
      <c r="AY231" s="106"/>
    </row>
    <row r="232" s="31" customFormat="1" spans="2:51">
      <c r="B232" s="65"/>
      <c r="C232" s="66"/>
      <c r="D232" s="66"/>
      <c r="E232" s="67"/>
      <c r="F232" s="66"/>
      <c r="G232" s="68"/>
      <c r="H232" s="66"/>
      <c r="I232" s="66"/>
      <c r="J232" s="66"/>
      <c r="K232" s="66"/>
      <c r="L232" s="84"/>
      <c r="M232" s="84"/>
      <c r="N232" s="41"/>
      <c r="O232" s="41"/>
      <c r="P232" s="84"/>
      <c r="Q232" s="84"/>
      <c r="R232" s="84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  <c r="AV232" s="65"/>
      <c r="AW232" s="66"/>
      <c r="AX232" s="66"/>
      <c r="AY232" s="106"/>
    </row>
    <row r="233" s="31" customFormat="1" spans="2:51">
      <c r="B233" s="65"/>
      <c r="C233" s="66"/>
      <c r="D233" s="66"/>
      <c r="E233" s="67"/>
      <c r="F233" s="66"/>
      <c r="G233" s="68"/>
      <c r="H233" s="66"/>
      <c r="I233" s="66"/>
      <c r="J233" s="66"/>
      <c r="K233" s="66"/>
      <c r="L233" s="84"/>
      <c r="M233" s="84"/>
      <c r="N233" s="41"/>
      <c r="O233" s="41"/>
      <c r="P233" s="84"/>
      <c r="Q233" s="84"/>
      <c r="R233" s="84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  <c r="AV233" s="65"/>
      <c r="AW233" s="66"/>
      <c r="AX233" s="66"/>
      <c r="AY233" s="106"/>
    </row>
    <row r="234" s="31" customFormat="1" spans="2:51">
      <c r="B234" s="65"/>
      <c r="C234" s="66"/>
      <c r="D234" s="66"/>
      <c r="E234" s="67"/>
      <c r="F234" s="66"/>
      <c r="G234" s="68"/>
      <c r="H234" s="66"/>
      <c r="I234" s="66"/>
      <c r="J234" s="66"/>
      <c r="K234" s="66"/>
      <c r="L234" s="84"/>
      <c r="M234" s="84"/>
      <c r="N234" s="41"/>
      <c r="O234" s="41"/>
      <c r="P234" s="84"/>
      <c r="Q234" s="84"/>
      <c r="R234" s="84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5"/>
      <c r="AW234" s="66"/>
      <c r="AX234" s="66"/>
      <c r="AY234" s="106"/>
    </row>
    <row r="235" s="31" customFormat="1" spans="2:51">
      <c r="B235" s="65"/>
      <c r="C235" s="66"/>
      <c r="D235" s="66"/>
      <c r="E235" s="67"/>
      <c r="F235" s="66"/>
      <c r="G235" s="68"/>
      <c r="H235" s="66"/>
      <c r="I235" s="66"/>
      <c r="J235" s="66"/>
      <c r="K235" s="66"/>
      <c r="L235" s="84"/>
      <c r="M235" s="84"/>
      <c r="N235" s="41"/>
      <c r="O235" s="41"/>
      <c r="P235" s="84"/>
      <c r="Q235" s="84"/>
      <c r="R235" s="84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  <c r="AV235" s="65"/>
      <c r="AW235" s="66"/>
      <c r="AX235" s="66"/>
      <c r="AY235" s="106"/>
    </row>
    <row r="236" s="31" customFormat="1" spans="2:51">
      <c r="B236" s="65"/>
      <c r="C236" s="66"/>
      <c r="D236" s="66"/>
      <c r="E236" s="67"/>
      <c r="F236" s="66"/>
      <c r="G236" s="68"/>
      <c r="H236" s="66"/>
      <c r="I236" s="66"/>
      <c r="J236" s="66"/>
      <c r="K236" s="66"/>
      <c r="L236" s="84"/>
      <c r="M236" s="84"/>
      <c r="N236" s="41"/>
      <c r="O236" s="41"/>
      <c r="P236" s="84"/>
      <c r="Q236" s="84"/>
      <c r="R236" s="84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  <c r="AV236" s="65"/>
      <c r="AW236" s="66"/>
      <c r="AX236" s="66"/>
      <c r="AY236" s="106"/>
    </row>
    <row r="237" s="31" customFormat="1" spans="2:51">
      <c r="B237" s="65"/>
      <c r="C237" s="66"/>
      <c r="D237" s="66"/>
      <c r="E237" s="67"/>
      <c r="F237" s="66"/>
      <c r="G237" s="68"/>
      <c r="H237" s="66"/>
      <c r="I237" s="66"/>
      <c r="J237" s="66"/>
      <c r="K237" s="66"/>
      <c r="L237" s="84"/>
      <c r="M237" s="84"/>
      <c r="N237" s="41"/>
      <c r="O237" s="41"/>
      <c r="P237" s="84"/>
      <c r="Q237" s="84"/>
      <c r="R237" s="84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  <c r="AV237" s="65"/>
      <c r="AW237" s="66"/>
      <c r="AX237" s="66"/>
      <c r="AY237" s="106"/>
    </row>
    <row r="238" s="31" customFormat="1" spans="2:51">
      <c r="B238" s="65"/>
      <c r="C238" s="66"/>
      <c r="D238" s="66"/>
      <c r="E238" s="67"/>
      <c r="F238" s="66"/>
      <c r="G238" s="68"/>
      <c r="H238" s="66"/>
      <c r="I238" s="66"/>
      <c r="J238" s="66"/>
      <c r="K238" s="66"/>
      <c r="L238" s="84"/>
      <c r="M238" s="84"/>
      <c r="N238" s="41"/>
      <c r="O238" s="41"/>
      <c r="P238" s="84"/>
      <c r="Q238" s="84"/>
      <c r="R238" s="84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66"/>
      <c r="AU238" s="66"/>
      <c r="AV238" s="65"/>
      <c r="AW238" s="66"/>
      <c r="AX238" s="66"/>
      <c r="AY238" s="106"/>
    </row>
    <row r="239" s="31" customFormat="1" spans="2:51">
      <c r="B239" s="65"/>
      <c r="C239" s="66"/>
      <c r="D239" s="66"/>
      <c r="E239" s="67"/>
      <c r="F239" s="66"/>
      <c r="G239" s="68"/>
      <c r="H239" s="66"/>
      <c r="I239" s="66"/>
      <c r="J239" s="66"/>
      <c r="K239" s="66"/>
      <c r="L239" s="84"/>
      <c r="M239" s="84"/>
      <c r="N239" s="41"/>
      <c r="O239" s="41"/>
      <c r="P239" s="84"/>
      <c r="Q239" s="84"/>
      <c r="R239" s="84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66"/>
      <c r="AU239" s="66"/>
      <c r="AV239" s="65"/>
      <c r="AW239" s="66"/>
      <c r="AX239" s="66"/>
      <c r="AY239" s="106"/>
    </row>
    <row r="240" s="31" customFormat="1" spans="2:51">
      <c r="B240" s="65"/>
      <c r="C240" s="66"/>
      <c r="D240" s="66"/>
      <c r="E240" s="67"/>
      <c r="F240" s="66"/>
      <c r="G240" s="68"/>
      <c r="H240" s="66"/>
      <c r="I240" s="66"/>
      <c r="J240" s="66"/>
      <c r="K240" s="66"/>
      <c r="L240" s="84"/>
      <c r="M240" s="84"/>
      <c r="N240" s="41"/>
      <c r="O240" s="41"/>
      <c r="P240" s="84"/>
      <c r="Q240" s="84"/>
      <c r="R240" s="84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66"/>
      <c r="AU240" s="66"/>
      <c r="AV240" s="65"/>
      <c r="AW240" s="66"/>
      <c r="AX240" s="66"/>
      <c r="AY240" s="106"/>
    </row>
    <row r="241" s="31" customFormat="1" spans="2:51">
      <c r="B241" s="65"/>
      <c r="C241" s="66"/>
      <c r="D241" s="66"/>
      <c r="E241" s="67"/>
      <c r="F241" s="66"/>
      <c r="G241" s="68"/>
      <c r="H241" s="66"/>
      <c r="I241" s="66"/>
      <c r="J241" s="66"/>
      <c r="K241" s="66"/>
      <c r="L241" s="84"/>
      <c r="M241" s="84"/>
      <c r="N241" s="41"/>
      <c r="O241" s="41"/>
      <c r="P241" s="84"/>
      <c r="Q241" s="84"/>
      <c r="R241" s="84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66"/>
      <c r="AU241" s="66"/>
      <c r="AV241" s="65"/>
      <c r="AW241" s="66"/>
      <c r="AX241" s="66"/>
      <c r="AY241" s="106"/>
    </row>
    <row r="242" s="31" customFormat="1" spans="2:51">
      <c r="B242" s="65"/>
      <c r="C242" s="66"/>
      <c r="D242" s="66"/>
      <c r="E242" s="67"/>
      <c r="F242" s="66"/>
      <c r="G242" s="68"/>
      <c r="H242" s="66"/>
      <c r="I242" s="66"/>
      <c r="J242" s="66"/>
      <c r="K242" s="66"/>
      <c r="L242" s="84"/>
      <c r="M242" s="84"/>
      <c r="N242" s="41"/>
      <c r="O242" s="41"/>
      <c r="P242" s="84"/>
      <c r="Q242" s="84"/>
      <c r="R242" s="84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66"/>
      <c r="AU242" s="66"/>
      <c r="AV242" s="65"/>
      <c r="AW242" s="66"/>
      <c r="AX242" s="66"/>
      <c r="AY242" s="106"/>
    </row>
    <row r="243" s="31" customFormat="1" spans="2:51">
      <c r="B243" s="65"/>
      <c r="C243" s="66"/>
      <c r="D243" s="66"/>
      <c r="E243" s="67"/>
      <c r="F243" s="66"/>
      <c r="G243" s="68"/>
      <c r="H243" s="66"/>
      <c r="I243" s="66"/>
      <c r="J243" s="66"/>
      <c r="K243" s="66"/>
      <c r="L243" s="84"/>
      <c r="M243" s="84"/>
      <c r="N243" s="41"/>
      <c r="O243" s="41"/>
      <c r="P243" s="84"/>
      <c r="Q243" s="84"/>
      <c r="R243" s="84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66"/>
      <c r="AU243" s="66"/>
      <c r="AV243" s="65"/>
      <c r="AW243" s="66"/>
      <c r="AX243" s="66"/>
      <c r="AY243" s="106"/>
    </row>
    <row r="244" s="31" customFormat="1" spans="2:51">
      <c r="B244" s="65"/>
      <c r="C244" s="66"/>
      <c r="D244" s="66"/>
      <c r="E244" s="67"/>
      <c r="F244" s="66"/>
      <c r="G244" s="68"/>
      <c r="H244" s="66"/>
      <c r="I244" s="66"/>
      <c r="J244" s="66"/>
      <c r="K244" s="66"/>
      <c r="L244" s="84"/>
      <c r="M244" s="84"/>
      <c r="N244" s="41"/>
      <c r="O244" s="41"/>
      <c r="P244" s="84"/>
      <c r="Q244" s="84"/>
      <c r="R244" s="84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66"/>
      <c r="AU244" s="66"/>
      <c r="AV244" s="65"/>
      <c r="AW244" s="66"/>
      <c r="AX244" s="66"/>
      <c r="AY244" s="106"/>
    </row>
    <row r="245" s="31" customFormat="1" spans="2:51">
      <c r="B245" s="65"/>
      <c r="C245" s="66"/>
      <c r="D245" s="66"/>
      <c r="E245" s="67"/>
      <c r="F245" s="66"/>
      <c r="G245" s="68"/>
      <c r="H245" s="66"/>
      <c r="I245" s="66"/>
      <c r="J245" s="66"/>
      <c r="K245" s="66"/>
      <c r="L245" s="84"/>
      <c r="M245" s="84"/>
      <c r="N245" s="41"/>
      <c r="O245" s="41"/>
      <c r="P245" s="84"/>
      <c r="Q245" s="84"/>
      <c r="R245" s="84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66"/>
      <c r="AU245" s="66"/>
      <c r="AV245" s="65"/>
      <c r="AW245" s="66"/>
      <c r="AX245" s="66"/>
      <c r="AY245" s="106"/>
    </row>
    <row r="246" s="31" customFormat="1" spans="2:51">
      <c r="B246" s="65"/>
      <c r="C246" s="66"/>
      <c r="D246" s="66"/>
      <c r="E246" s="67"/>
      <c r="F246" s="66"/>
      <c r="G246" s="68"/>
      <c r="H246" s="66"/>
      <c r="I246" s="66"/>
      <c r="J246" s="66"/>
      <c r="K246" s="66"/>
      <c r="L246" s="84"/>
      <c r="M246" s="84"/>
      <c r="N246" s="41"/>
      <c r="O246" s="41"/>
      <c r="P246" s="84"/>
      <c r="Q246" s="84"/>
      <c r="R246" s="84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66"/>
      <c r="AU246" s="66"/>
      <c r="AV246" s="65"/>
      <c r="AW246" s="66"/>
      <c r="AX246" s="66"/>
      <c r="AY246" s="106"/>
    </row>
    <row r="247" s="31" customFormat="1" spans="2:51">
      <c r="B247" s="65"/>
      <c r="C247" s="66"/>
      <c r="D247" s="66"/>
      <c r="E247" s="67"/>
      <c r="F247" s="66"/>
      <c r="G247" s="68"/>
      <c r="H247" s="66"/>
      <c r="I247" s="66"/>
      <c r="J247" s="66"/>
      <c r="K247" s="66"/>
      <c r="L247" s="84"/>
      <c r="M247" s="84"/>
      <c r="N247" s="41"/>
      <c r="O247" s="41"/>
      <c r="P247" s="84"/>
      <c r="Q247" s="84"/>
      <c r="R247" s="84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66"/>
      <c r="AU247" s="66"/>
      <c r="AV247" s="65"/>
      <c r="AW247" s="66"/>
      <c r="AX247" s="66"/>
      <c r="AY247" s="106"/>
    </row>
    <row r="248" s="31" customFormat="1" spans="2:51">
      <c r="B248" s="65"/>
      <c r="C248" s="66"/>
      <c r="D248" s="66"/>
      <c r="E248" s="67"/>
      <c r="F248" s="66"/>
      <c r="G248" s="68"/>
      <c r="H248" s="66"/>
      <c r="I248" s="66"/>
      <c r="J248" s="66"/>
      <c r="K248" s="66"/>
      <c r="L248" s="84"/>
      <c r="M248" s="84"/>
      <c r="N248" s="41"/>
      <c r="O248" s="41"/>
      <c r="P248" s="84"/>
      <c r="Q248" s="84"/>
      <c r="R248" s="84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66"/>
      <c r="AU248" s="66"/>
      <c r="AV248" s="65"/>
      <c r="AW248" s="66"/>
      <c r="AX248" s="66"/>
      <c r="AY248" s="106"/>
    </row>
    <row r="249" s="31" customFormat="1" spans="2:51">
      <c r="B249" s="65"/>
      <c r="C249" s="66"/>
      <c r="D249" s="66"/>
      <c r="E249" s="67"/>
      <c r="F249" s="66"/>
      <c r="G249" s="68"/>
      <c r="H249" s="66"/>
      <c r="I249" s="66"/>
      <c r="J249" s="66"/>
      <c r="K249" s="66"/>
      <c r="L249" s="84"/>
      <c r="M249" s="84"/>
      <c r="N249" s="41"/>
      <c r="O249" s="41"/>
      <c r="P249" s="84"/>
      <c r="Q249" s="84"/>
      <c r="R249" s="84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5"/>
      <c r="AW249" s="66"/>
      <c r="AX249" s="66"/>
      <c r="AY249" s="106"/>
    </row>
    <row r="250" s="31" customFormat="1" spans="2:51">
      <c r="B250" s="65"/>
      <c r="C250" s="66"/>
      <c r="D250" s="66"/>
      <c r="E250" s="67"/>
      <c r="F250" s="66"/>
      <c r="G250" s="68"/>
      <c r="H250" s="66"/>
      <c r="I250" s="66"/>
      <c r="J250" s="66"/>
      <c r="K250" s="66"/>
      <c r="L250" s="84"/>
      <c r="M250" s="84"/>
      <c r="N250" s="41"/>
      <c r="O250" s="41"/>
      <c r="P250" s="84"/>
      <c r="Q250" s="84"/>
      <c r="R250" s="84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66"/>
      <c r="AU250" s="66"/>
      <c r="AV250" s="65"/>
      <c r="AW250" s="66"/>
      <c r="AX250" s="66"/>
      <c r="AY250" s="106"/>
    </row>
    <row r="251" s="31" customFormat="1" spans="2:51">
      <c r="B251" s="65"/>
      <c r="C251" s="66"/>
      <c r="D251" s="66"/>
      <c r="E251" s="67"/>
      <c r="F251" s="66"/>
      <c r="G251" s="68"/>
      <c r="H251" s="66"/>
      <c r="I251" s="66"/>
      <c r="J251" s="66"/>
      <c r="K251" s="66"/>
      <c r="L251" s="84"/>
      <c r="M251" s="84"/>
      <c r="N251" s="41"/>
      <c r="O251" s="41"/>
      <c r="P251" s="84"/>
      <c r="Q251" s="84"/>
      <c r="R251" s="84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66"/>
      <c r="AU251" s="66"/>
      <c r="AV251" s="65"/>
      <c r="AW251" s="66"/>
      <c r="AX251" s="66"/>
      <c r="AY251" s="106"/>
    </row>
    <row r="252" s="31" customFormat="1" spans="2:51">
      <c r="B252" s="65"/>
      <c r="C252" s="66"/>
      <c r="D252" s="66"/>
      <c r="E252" s="67"/>
      <c r="F252" s="66"/>
      <c r="G252" s="68"/>
      <c r="H252" s="66"/>
      <c r="I252" s="66"/>
      <c r="J252" s="66"/>
      <c r="K252" s="66"/>
      <c r="L252" s="84"/>
      <c r="M252" s="84"/>
      <c r="N252" s="41"/>
      <c r="O252" s="41"/>
      <c r="P252" s="84"/>
      <c r="Q252" s="84"/>
      <c r="R252" s="84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66"/>
      <c r="AU252" s="66"/>
      <c r="AV252" s="65"/>
      <c r="AW252" s="66"/>
      <c r="AX252" s="66"/>
      <c r="AY252" s="106"/>
    </row>
    <row r="253" s="31" customFormat="1" spans="2:51">
      <c r="B253" s="65"/>
      <c r="C253" s="66"/>
      <c r="D253" s="66"/>
      <c r="E253" s="67"/>
      <c r="F253" s="66"/>
      <c r="G253" s="68"/>
      <c r="H253" s="66"/>
      <c r="I253" s="66"/>
      <c r="J253" s="66"/>
      <c r="K253" s="66"/>
      <c r="L253" s="84"/>
      <c r="M253" s="84"/>
      <c r="N253" s="41"/>
      <c r="O253" s="41"/>
      <c r="P253" s="84"/>
      <c r="Q253" s="84"/>
      <c r="R253" s="84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66"/>
      <c r="AU253" s="66"/>
      <c r="AV253" s="65"/>
      <c r="AW253" s="66"/>
      <c r="AX253" s="66"/>
      <c r="AY253" s="106"/>
    </row>
    <row r="254" s="31" customFormat="1" spans="2:51">
      <c r="B254" s="65"/>
      <c r="C254" s="66"/>
      <c r="D254" s="66"/>
      <c r="E254" s="67"/>
      <c r="F254" s="66"/>
      <c r="G254" s="68"/>
      <c r="H254" s="66"/>
      <c r="I254" s="66"/>
      <c r="J254" s="66"/>
      <c r="K254" s="66"/>
      <c r="L254" s="84"/>
      <c r="M254" s="84"/>
      <c r="N254" s="41"/>
      <c r="O254" s="41"/>
      <c r="P254" s="84"/>
      <c r="Q254" s="84"/>
      <c r="R254" s="84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66"/>
      <c r="AU254" s="66"/>
      <c r="AV254" s="65"/>
      <c r="AW254" s="66"/>
      <c r="AX254" s="66"/>
      <c r="AY254" s="106"/>
    </row>
    <row r="255" s="31" customFormat="1" spans="2:51">
      <c r="B255" s="65"/>
      <c r="C255" s="66"/>
      <c r="D255" s="66"/>
      <c r="E255" s="67"/>
      <c r="F255" s="66"/>
      <c r="G255" s="68"/>
      <c r="H255" s="66"/>
      <c r="I255" s="66"/>
      <c r="J255" s="66"/>
      <c r="K255" s="66"/>
      <c r="L255" s="84"/>
      <c r="M255" s="84"/>
      <c r="N255" s="41"/>
      <c r="O255" s="41"/>
      <c r="P255" s="84"/>
      <c r="Q255" s="84"/>
      <c r="R255" s="84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66"/>
      <c r="AU255" s="66"/>
      <c r="AV255" s="65"/>
      <c r="AW255" s="66"/>
      <c r="AX255" s="66"/>
      <c r="AY255" s="106"/>
    </row>
    <row r="256" s="31" customFormat="1" spans="2:51">
      <c r="B256" s="65"/>
      <c r="C256" s="66"/>
      <c r="D256" s="66"/>
      <c r="E256" s="67"/>
      <c r="F256" s="66"/>
      <c r="G256" s="68"/>
      <c r="H256" s="66"/>
      <c r="I256" s="66"/>
      <c r="J256" s="66"/>
      <c r="K256" s="66"/>
      <c r="L256" s="84"/>
      <c r="M256" s="84"/>
      <c r="N256" s="41"/>
      <c r="O256" s="41"/>
      <c r="P256" s="84"/>
      <c r="Q256" s="84"/>
      <c r="R256" s="84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66"/>
      <c r="AU256" s="66"/>
      <c r="AV256" s="65"/>
      <c r="AW256" s="66"/>
      <c r="AX256" s="66"/>
      <c r="AY256" s="106"/>
    </row>
    <row r="257" s="31" customFormat="1" spans="2:51">
      <c r="B257" s="65"/>
      <c r="C257" s="66"/>
      <c r="D257" s="66"/>
      <c r="E257" s="67"/>
      <c r="F257" s="66"/>
      <c r="G257" s="68"/>
      <c r="H257" s="66"/>
      <c r="I257" s="66"/>
      <c r="J257" s="66"/>
      <c r="K257" s="66"/>
      <c r="L257" s="84"/>
      <c r="M257" s="84"/>
      <c r="N257" s="41"/>
      <c r="O257" s="41"/>
      <c r="P257" s="84"/>
      <c r="Q257" s="84"/>
      <c r="R257" s="84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66"/>
      <c r="AU257" s="66"/>
      <c r="AV257" s="65"/>
      <c r="AW257" s="66"/>
      <c r="AX257" s="66"/>
      <c r="AY257" s="106"/>
    </row>
    <row r="258" s="31" customFormat="1" spans="2:51">
      <c r="B258" s="65"/>
      <c r="C258" s="66"/>
      <c r="D258" s="66"/>
      <c r="E258" s="67"/>
      <c r="F258" s="66"/>
      <c r="G258" s="68"/>
      <c r="H258" s="66"/>
      <c r="I258" s="66"/>
      <c r="J258" s="66"/>
      <c r="K258" s="66"/>
      <c r="L258" s="84"/>
      <c r="M258" s="84"/>
      <c r="N258" s="41"/>
      <c r="O258" s="41"/>
      <c r="P258" s="84"/>
      <c r="Q258" s="84"/>
      <c r="R258" s="84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66"/>
      <c r="AU258" s="66"/>
      <c r="AV258" s="65"/>
      <c r="AW258" s="66"/>
      <c r="AX258" s="66"/>
      <c r="AY258" s="106"/>
    </row>
    <row r="259" s="31" customFormat="1" spans="2:51">
      <c r="B259" s="65"/>
      <c r="C259" s="66"/>
      <c r="D259" s="66"/>
      <c r="E259" s="67"/>
      <c r="F259" s="66"/>
      <c r="G259" s="68"/>
      <c r="H259" s="66"/>
      <c r="I259" s="66"/>
      <c r="J259" s="66"/>
      <c r="K259" s="66"/>
      <c r="L259" s="84"/>
      <c r="M259" s="84"/>
      <c r="N259" s="41"/>
      <c r="O259" s="41"/>
      <c r="P259" s="84"/>
      <c r="Q259" s="84"/>
      <c r="R259" s="84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66"/>
      <c r="AU259" s="66"/>
      <c r="AV259" s="65"/>
      <c r="AW259" s="66"/>
      <c r="AX259" s="66"/>
      <c r="AY259" s="106"/>
    </row>
    <row r="260" s="31" customFormat="1" spans="2:51">
      <c r="B260" s="65"/>
      <c r="C260" s="66"/>
      <c r="D260" s="66"/>
      <c r="E260" s="67"/>
      <c r="F260" s="66"/>
      <c r="G260" s="68"/>
      <c r="H260" s="66"/>
      <c r="I260" s="66"/>
      <c r="J260" s="66"/>
      <c r="K260" s="66"/>
      <c r="L260" s="84"/>
      <c r="M260" s="84"/>
      <c r="N260" s="41"/>
      <c r="O260" s="41"/>
      <c r="P260" s="84"/>
      <c r="Q260" s="84"/>
      <c r="R260" s="84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66"/>
      <c r="AU260" s="66"/>
      <c r="AV260" s="65"/>
      <c r="AW260" s="66"/>
      <c r="AX260" s="66"/>
      <c r="AY260" s="106"/>
    </row>
    <row r="261" s="31" customFormat="1" spans="2:51">
      <c r="B261" s="65"/>
      <c r="C261" s="66"/>
      <c r="D261" s="66"/>
      <c r="E261" s="67"/>
      <c r="F261" s="66"/>
      <c r="G261" s="68"/>
      <c r="H261" s="66"/>
      <c r="I261" s="66"/>
      <c r="J261" s="66"/>
      <c r="K261" s="66"/>
      <c r="L261" s="84"/>
      <c r="M261" s="84"/>
      <c r="N261" s="41"/>
      <c r="O261" s="41"/>
      <c r="P261" s="84"/>
      <c r="Q261" s="84"/>
      <c r="R261" s="84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66"/>
      <c r="AU261" s="66"/>
      <c r="AV261" s="65"/>
      <c r="AW261" s="66"/>
      <c r="AX261" s="66"/>
      <c r="AY261" s="106"/>
    </row>
    <row r="262" s="31" customFormat="1" spans="2:51">
      <c r="B262" s="65"/>
      <c r="C262" s="66"/>
      <c r="D262" s="66"/>
      <c r="E262" s="67"/>
      <c r="F262" s="66"/>
      <c r="G262" s="68"/>
      <c r="H262" s="66"/>
      <c r="I262" s="66"/>
      <c r="J262" s="66"/>
      <c r="K262" s="66"/>
      <c r="L262" s="84"/>
      <c r="M262" s="84"/>
      <c r="N262" s="41"/>
      <c r="O262" s="41"/>
      <c r="P262" s="84"/>
      <c r="Q262" s="84"/>
      <c r="R262" s="84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66"/>
      <c r="AU262" s="66"/>
      <c r="AV262" s="65"/>
      <c r="AW262" s="66"/>
      <c r="AX262" s="66"/>
      <c r="AY262" s="106"/>
    </row>
    <row r="263" s="31" customFormat="1" spans="2:51">
      <c r="B263" s="65"/>
      <c r="C263" s="66"/>
      <c r="D263" s="66"/>
      <c r="E263" s="67"/>
      <c r="F263" s="66"/>
      <c r="G263" s="68"/>
      <c r="H263" s="66"/>
      <c r="I263" s="66"/>
      <c r="J263" s="66"/>
      <c r="K263" s="66"/>
      <c r="L263" s="84"/>
      <c r="M263" s="84"/>
      <c r="N263" s="41"/>
      <c r="O263" s="41"/>
      <c r="P263" s="84"/>
      <c r="Q263" s="84"/>
      <c r="R263" s="84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5"/>
      <c r="AW263" s="66"/>
      <c r="AX263" s="66"/>
      <c r="AY263" s="106"/>
    </row>
    <row r="264" s="31" customFormat="1" spans="2:51">
      <c r="B264" s="65"/>
      <c r="C264" s="66"/>
      <c r="D264" s="66"/>
      <c r="E264" s="67"/>
      <c r="F264" s="66"/>
      <c r="G264" s="68"/>
      <c r="H264" s="66"/>
      <c r="I264" s="66"/>
      <c r="J264" s="66"/>
      <c r="K264" s="66"/>
      <c r="L264" s="84"/>
      <c r="M264" s="84"/>
      <c r="N264" s="41"/>
      <c r="O264" s="41"/>
      <c r="P264" s="84"/>
      <c r="Q264" s="84"/>
      <c r="R264" s="84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5"/>
      <c r="AW264" s="66"/>
      <c r="AX264" s="66"/>
      <c r="AY264" s="106"/>
    </row>
    <row r="265" s="31" customFormat="1" spans="2:51">
      <c r="B265" s="65"/>
      <c r="C265" s="66"/>
      <c r="D265" s="66"/>
      <c r="E265" s="67"/>
      <c r="F265" s="66"/>
      <c r="G265" s="68"/>
      <c r="H265" s="66"/>
      <c r="I265" s="66"/>
      <c r="J265" s="66"/>
      <c r="K265" s="66"/>
      <c r="L265" s="84"/>
      <c r="M265" s="84"/>
      <c r="N265" s="41"/>
      <c r="O265" s="41"/>
      <c r="P265" s="84"/>
      <c r="Q265" s="84"/>
      <c r="R265" s="84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66"/>
      <c r="AU265" s="66"/>
      <c r="AV265" s="65"/>
      <c r="AW265" s="66"/>
      <c r="AX265" s="66"/>
      <c r="AY265" s="106"/>
    </row>
    <row r="266" s="31" customFormat="1" spans="2:51">
      <c r="B266" s="65"/>
      <c r="C266" s="66"/>
      <c r="D266" s="66"/>
      <c r="E266" s="67"/>
      <c r="F266" s="66"/>
      <c r="G266" s="68"/>
      <c r="H266" s="66"/>
      <c r="I266" s="66"/>
      <c r="J266" s="66"/>
      <c r="K266" s="66"/>
      <c r="L266" s="84"/>
      <c r="M266" s="84"/>
      <c r="N266" s="41"/>
      <c r="O266" s="41"/>
      <c r="P266" s="84"/>
      <c r="Q266" s="84"/>
      <c r="R266" s="84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66"/>
      <c r="AU266" s="66"/>
      <c r="AV266" s="65"/>
      <c r="AW266" s="66"/>
      <c r="AX266" s="66"/>
      <c r="AY266" s="106"/>
    </row>
    <row r="267" s="31" customFormat="1" spans="2:51">
      <c r="B267" s="65"/>
      <c r="C267" s="66"/>
      <c r="D267" s="66"/>
      <c r="E267" s="67"/>
      <c r="F267" s="66"/>
      <c r="G267" s="68"/>
      <c r="H267" s="66"/>
      <c r="I267" s="66"/>
      <c r="J267" s="66"/>
      <c r="K267" s="66"/>
      <c r="L267" s="84"/>
      <c r="M267" s="84"/>
      <c r="N267" s="41"/>
      <c r="O267" s="41"/>
      <c r="P267" s="84"/>
      <c r="Q267" s="84"/>
      <c r="R267" s="84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66"/>
      <c r="AU267" s="66"/>
      <c r="AV267" s="65"/>
      <c r="AW267" s="66"/>
      <c r="AX267" s="66"/>
      <c r="AY267" s="106"/>
    </row>
    <row r="268" s="31" customFormat="1" spans="2:51">
      <c r="B268" s="65"/>
      <c r="C268" s="66"/>
      <c r="D268" s="66"/>
      <c r="E268" s="67"/>
      <c r="F268" s="66"/>
      <c r="G268" s="68"/>
      <c r="H268" s="66"/>
      <c r="I268" s="66"/>
      <c r="J268" s="66"/>
      <c r="K268" s="66"/>
      <c r="L268" s="84"/>
      <c r="M268" s="84"/>
      <c r="N268" s="41"/>
      <c r="O268" s="41"/>
      <c r="P268" s="84"/>
      <c r="Q268" s="84"/>
      <c r="R268" s="84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66"/>
      <c r="AU268" s="66"/>
      <c r="AV268" s="65"/>
      <c r="AW268" s="66"/>
      <c r="AX268" s="66"/>
      <c r="AY268" s="106"/>
    </row>
    <row r="269" s="31" customFormat="1" spans="2:51">
      <c r="B269" s="65"/>
      <c r="C269" s="66"/>
      <c r="D269" s="66"/>
      <c r="E269" s="67"/>
      <c r="F269" s="66"/>
      <c r="G269" s="68"/>
      <c r="H269" s="66"/>
      <c r="I269" s="66"/>
      <c r="J269" s="66"/>
      <c r="K269" s="66"/>
      <c r="L269" s="84"/>
      <c r="M269" s="84"/>
      <c r="N269" s="41"/>
      <c r="O269" s="41"/>
      <c r="P269" s="84"/>
      <c r="Q269" s="84"/>
      <c r="R269" s="84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66"/>
      <c r="AU269" s="66"/>
      <c r="AV269" s="65"/>
      <c r="AW269" s="66"/>
      <c r="AX269" s="66"/>
      <c r="AY269" s="106"/>
    </row>
    <row r="270" s="31" customFormat="1" spans="2:51">
      <c r="B270" s="65"/>
      <c r="C270" s="66"/>
      <c r="D270" s="66"/>
      <c r="E270" s="67"/>
      <c r="F270" s="66"/>
      <c r="G270" s="68"/>
      <c r="H270" s="66"/>
      <c r="I270" s="66"/>
      <c r="J270" s="66"/>
      <c r="K270" s="66"/>
      <c r="L270" s="84"/>
      <c r="M270" s="84"/>
      <c r="N270" s="41"/>
      <c r="O270" s="41"/>
      <c r="P270" s="84"/>
      <c r="Q270" s="84"/>
      <c r="R270" s="84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66"/>
      <c r="AU270" s="66"/>
      <c r="AV270" s="65"/>
      <c r="AW270" s="66"/>
      <c r="AX270" s="66"/>
      <c r="AY270" s="106"/>
    </row>
    <row r="271" s="31" customFormat="1" spans="2:51">
      <c r="B271" s="65"/>
      <c r="C271" s="66"/>
      <c r="D271" s="66"/>
      <c r="E271" s="67"/>
      <c r="F271" s="66"/>
      <c r="G271" s="68"/>
      <c r="H271" s="66"/>
      <c r="I271" s="66"/>
      <c r="J271" s="66"/>
      <c r="K271" s="66"/>
      <c r="L271" s="84"/>
      <c r="M271" s="84"/>
      <c r="N271" s="41"/>
      <c r="O271" s="41"/>
      <c r="P271" s="84"/>
      <c r="Q271" s="84"/>
      <c r="R271" s="84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66"/>
      <c r="AU271" s="66"/>
      <c r="AV271" s="65"/>
      <c r="AW271" s="66"/>
      <c r="AX271" s="66"/>
      <c r="AY271" s="106"/>
    </row>
    <row r="272" s="31" customFormat="1" spans="2:51">
      <c r="B272" s="65"/>
      <c r="C272" s="66"/>
      <c r="D272" s="66"/>
      <c r="E272" s="67"/>
      <c r="F272" s="66"/>
      <c r="G272" s="68"/>
      <c r="H272" s="66"/>
      <c r="I272" s="66"/>
      <c r="J272" s="66"/>
      <c r="K272" s="66"/>
      <c r="L272" s="84"/>
      <c r="M272" s="84"/>
      <c r="N272" s="41"/>
      <c r="O272" s="41"/>
      <c r="P272" s="84"/>
      <c r="Q272" s="84"/>
      <c r="R272" s="84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66"/>
      <c r="AU272" s="66"/>
      <c r="AV272" s="65"/>
      <c r="AW272" s="66"/>
      <c r="AX272" s="66"/>
      <c r="AY272" s="106"/>
    </row>
    <row r="273" s="31" customFormat="1" spans="2:51">
      <c r="B273" s="65"/>
      <c r="C273" s="66"/>
      <c r="D273" s="66"/>
      <c r="E273" s="67"/>
      <c r="F273" s="66"/>
      <c r="G273" s="68"/>
      <c r="H273" s="66"/>
      <c r="I273" s="66"/>
      <c r="J273" s="66"/>
      <c r="K273" s="66"/>
      <c r="L273" s="84"/>
      <c r="M273" s="84"/>
      <c r="N273" s="41"/>
      <c r="O273" s="41"/>
      <c r="P273" s="84"/>
      <c r="Q273" s="84"/>
      <c r="R273" s="84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66"/>
      <c r="AU273" s="66"/>
      <c r="AV273" s="65"/>
      <c r="AW273" s="66"/>
      <c r="AX273" s="66"/>
      <c r="AY273" s="106"/>
    </row>
    <row r="274" s="31" customFormat="1" spans="2:51">
      <c r="B274" s="65"/>
      <c r="C274" s="66"/>
      <c r="D274" s="66"/>
      <c r="E274" s="67"/>
      <c r="F274" s="66"/>
      <c r="G274" s="68"/>
      <c r="H274" s="66"/>
      <c r="I274" s="66"/>
      <c r="J274" s="66"/>
      <c r="K274" s="66"/>
      <c r="L274" s="84"/>
      <c r="M274" s="84"/>
      <c r="N274" s="41"/>
      <c r="O274" s="41"/>
      <c r="P274" s="84"/>
      <c r="Q274" s="84"/>
      <c r="R274" s="84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66"/>
      <c r="AU274" s="66"/>
      <c r="AV274" s="65"/>
      <c r="AW274" s="66"/>
      <c r="AX274" s="66"/>
      <c r="AY274" s="106"/>
    </row>
    <row r="275" s="31" customFormat="1" spans="2:51">
      <c r="B275" s="65"/>
      <c r="C275" s="66"/>
      <c r="D275" s="66"/>
      <c r="E275" s="67"/>
      <c r="F275" s="66"/>
      <c r="G275" s="68"/>
      <c r="H275" s="66"/>
      <c r="I275" s="66"/>
      <c r="J275" s="66"/>
      <c r="K275" s="66"/>
      <c r="L275" s="84"/>
      <c r="M275" s="84"/>
      <c r="N275" s="41"/>
      <c r="O275" s="41"/>
      <c r="P275" s="84"/>
      <c r="Q275" s="84"/>
      <c r="R275" s="84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6"/>
      <c r="AQ275" s="66"/>
      <c r="AR275" s="66"/>
      <c r="AS275" s="66"/>
      <c r="AT275" s="66"/>
      <c r="AU275" s="66"/>
      <c r="AV275" s="65"/>
      <c r="AW275" s="66"/>
      <c r="AX275" s="66"/>
      <c r="AY275" s="106"/>
    </row>
    <row r="276" s="31" customFormat="1" spans="2:51">
      <c r="B276" s="65"/>
      <c r="C276" s="66"/>
      <c r="D276" s="66"/>
      <c r="E276" s="67"/>
      <c r="F276" s="66"/>
      <c r="G276" s="68"/>
      <c r="H276" s="66"/>
      <c r="I276" s="66"/>
      <c r="J276" s="66"/>
      <c r="K276" s="66"/>
      <c r="L276" s="84"/>
      <c r="M276" s="84"/>
      <c r="N276" s="41"/>
      <c r="O276" s="41"/>
      <c r="P276" s="84"/>
      <c r="Q276" s="84"/>
      <c r="R276" s="84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66"/>
      <c r="AU276" s="66"/>
      <c r="AV276" s="65"/>
      <c r="AW276" s="66"/>
      <c r="AX276" s="66"/>
      <c r="AY276" s="106"/>
    </row>
    <row r="277" s="31" customFormat="1" spans="2:51">
      <c r="B277" s="65"/>
      <c r="C277" s="66"/>
      <c r="D277" s="66"/>
      <c r="E277" s="67"/>
      <c r="F277" s="66"/>
      <c r="G277" s="68"/>
      <c r="H277" s="66"/>
      <c r="I277" s="66"/>
      <c r="J277" s="66"/>
      <c r="K277" s="66"/>
      <c r="L277" s="84"/>
      <c r="M277" s="84"/>
      <c r="N277" s="41"/>
      <c r="O277" s="41"/>
      <c r="P277" s="84"/>
      <c r="Q277" s="84"/>
      <c r="R277" s="84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66"/>
      <c r="AU277" s="66"/>
      <c r="AV277" s="65"/>
      <c r="AW277" s="66"/>
      <c r="AX277" s="66"/>
      <c r="AY277" s="106"/>
    </row>
    <row r="278" s="31" customFormat="1" spans="2:51">
      <c r="B278" s="65"/>
      <c r="C278" s="66"/>
      <c r="D278" s="66"/>
      <c r="E278" s="67"/>
      <c r="F278" s="66"/>
      <c r="G278" s="68"/>
      <c r="H278" s="66"/>
      <c r="I278" s="66"/>
      <c r="J278" s="66"/>
      <c r="K278" s="66"/>
      <c r="L278" s="84"/>
      <c r="M278" s="84"/>
      <c r="N278" s="41"/>
      <c r="O278" s="41"/>
      <c r="P278" s="84"/>
      <c r="Q278" s="84"/>
      <c r="R278" s="84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66"/>
      <c r="AU278" s="66"/>
      <c r="AV278" s="65"/>
      <c r="AW278" s="66"/>
      <c r="AX278" s="66"/>
      <c r="AY278" s="106"/>
    </row>
    <row r="279" s="31" customFormat="1" spans="2:51">
      <c r="B279" s="65"/>
      <c r="C279" s="66"/>
      <c r="D279" s="66"/>
      <c r="E279" s="67"/>
      <c r="F279" s="66"/>
      <c r="G279" s="68"/>
      <c r="H279" s="66"/>
      <c r="I279" s="66"/>
      <c r="J279" s="66"/>
      <c r="K279" s="66"/>
      <c r="L279" s="84"/>
      <c r="M279" s="84"/>
      <c r="N279" s="41"/>
      <c r="O279" s="41"/>
      <c r="P279" s="84"/>
      <c r="Q279" s="84"/>
      <c r="R279" s="84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66"/>
      <c r="AU279" s="66"/>
      <c r="AV279" s="65"/>
      <c r="AW279" s="66"/>
      <c r="AX279" s="66"/>
      <c r="AY279" s="106"/>
    </row>
    <row r="280" s="31" customFormat="1" spans="2:51">
      <c r="B280" s="65"/>
      <c r="C280" s="66"/>
      <c r="D280" s="66"/>
      <c r="E280" s="67"/>
      <c r="F280" s="66"/>
      <c r="G280" s="68"/>
      <c r="H280" s="66"/>
      <c r="I280" s="66"/>
      <c r="J280" s="66"/>
      <c r="K280" s="66"/>
      <c r="L280" s="84"/>
      <c r="M280" s="84"/>
      <c r="N280" s="41"/>
      <c r="O280" s="41"/>
      <c r="P280" s="84"/>
      <c r="Q280" s="84"/>
      <c r="R280" s="84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66"/>
      <c r="AU280" s="66"/>
      <c r="AV280" s="65"/>
      <c r="AW280" s="66"/>
      <c r="AX280" s="66"/>
      <c r="AY280" s="106"/>
    </row>
    <row r="281" s="31" customFormat="1" spans="2:51">
      <c r="B281" s="65"/>
      <c r="C281" s="66"/>
      <c r="D281" s="66"/>
      <c r="E281" s="67"/>
      <c r="F281" s="66"/>
      <c r="G281" s="68"/>
      <c r="H281" s="66"/>
      <c r="I281" s="66"/>
      <c r="J281" s="66"/>
      <c r="K281" s="66"/>
      <c r="L281" s="84"/>
      <c r="M281" s="84"/>
      <c r="N281" s="41"/>
      <c r="O281" s="41"/>
      <c r="P281" s="84"/>
      <c r="Q281" s="84"/>
      <c r="R281" s="84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66"/>
      <c r="AU281" s="66"/>
      <c r="AV281" s="65"/>
      <c r="AW281" s="66"/>
      <c r="AX281" s="66"/>
      <c r="AY281" s="106"/>
    </row>
    <row r="282" s="31" customFormat="1" spans="2:51">
      <c r="B282" s="65"/>
      <c r="C282" s="66"/>
      <c r="D282" s="66"/>
      <c r="E282" s="67"/>
      <c r="F282" s="66"/>
      <c r="G282" s="68"/>
      <c r="H282" s="66"/>
      <c r="I282" s="66"/>
      <c r="J282" s="66"/>
      <c r="K282" s="66"/>
      <c r="L282" s="84"/>
      <c r="M282" s="84"/>
      <c r="N282" s="41"/>
      <c r="O282" s="41"/>
      <c r="P282" s="84"/>
      <c r="Q282" s="84"/>
      <c r="R282" s="84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66"/>
      <c r="AU282" s="66"/>
      <c r="AV282" s="65"/>
      <c r="AW282" s="66"/>
      <c r="AX282" s="66"/>
      <c r="AY282" s="106"/>
    </row>
    <row r="283" s="31" customFormat="1" spans="2:51">
      <c r="B283" s="65"/>
      <c r="C283" s="66"/>
      <c r="D283" s="66"/>
      <c r="E283" s="67"/>
      <c r="F283" s="66"/>
      <c r="G283" s="68"/>
      <c r="H283" s="66"/>
      <c r="I283" s="66"/>
      <c r="J283" s="66"/>
      <c r="K283" s="66"/>
      <c r="L283" s="84"/>
      <c r="M283" s="84"/>
      <c r="N283" s="41"/>
      <c r="O283" s="41"/>
      <c r="P283" s="84"/>
      <c r="Q283" s="84"/>
      <c r="R283" s="84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66"/>
      <c r="AU283" s="66"/>
      <c r="AV283" s="65"/>
      <c r="AW283" s="66"/>
      <c r="AX283" s="66"/>
      <c r="AY283" s="106"/>
    </row>
    <row r="284" s="31" customFormat="1" spans="2:51">
      <c r="B284" s="65"/>
      <c r="C284" s="66"/>
      <c r="D284" s="66"/>
      <c r="E284" s="67"/>
      <c r="F284" s="66"/>
      <c r="G284" s="68"/>
      <c r="H284" s="66"/>
      <c r="I284" s="66"/>
      <c r="J284" s="66"/>
      <c r="K284" s="66"/>
      <c r="L284" s="84"/>
      <c r="M284" s="84"/>
      <c r="N284" s="41"/>
      <c r="O284" s="41"/>
      <c r="P284" s="84"/>
      <c r="Q284" s="84"/>
      <c r="R284" s="84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66"/>
      <c r="AU284" s="66"/>
      <c r="AV284" s="65"/>
      <c r="AW284" s="66"/>
      <c r="AX284" s="66"/>
      <c r="AY284" s="106"/>
    </row>
    <row r="285" s="31" customFormat="1" spans="2:51">
      <c r="B285" s="65"/>
      <c r="C285" s="66"/>
      <c r="D285" s="66"/>
      <c r="E285" s="67"/>
      <c r="F285" s="66"/>
      <c r="G285" s="68"/>
      <c r="H285" s="66"/>
      <c r="I285" s="66"/>
      <c r="J285" s="66"/>
      <c r="K285" s="66"/>
      <c r="L285" s="84"/>
      <c r="M285" s="84"/>
      <c r="N285" s="41"/>
      <c r="O285" s="41"/>
      <c r="P285" s="84"/>
      <c r="Q285" s="84"/>
      <c r="R285" s="84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66"/>
      <c r="AU285" s="66"/>
      <c r="AV285" s="65"/>
      <c r="AW285" s="66"/>
      <c r="AX285" s="66"/>
      <c r="AY285" s="106"/>
    </row>
    <row r="286" s="31" customFormat="1" spans="2:51">
      <c r="B286" s="65"/>
      <c r="C286" s="66"/>
      <c r="D286" s="66"/>
      <c r="E286" s="67"/>
      <c r="F286" s="66"/>
      <c r="G286" s="68"/>
      <c r="H286" s="66"/>
      <c r="I286" s="66"/>
      <c r="J286" s="66"/>
      <c r="K286" s="66"/>
      <c r="L286" s="84"/>
      <c r="M286" s="84"/>
      <c r="N286" s="41"/>
      <c r="O286" s="41"/>
      <c r="P286" s="84"/>
      <c r="Q286" s="84"/>
      <c r="R286" s="84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66"/>
      <c r="AU286" s="66"/>
      <c r="AV286" s="65"/>
      <c r="AW286" s="66"/>
      <c r="AX286" s="66"/>
      <c r="AY286" s="106"/>
    </row>
    <row r="287" s="31" customFormat="1" spans="2:51">
      <c r="B287" s="65"/>
      <c r="C287" s="66"/>
      <c r="D287" s="66"/>
      <c r="E287" s="67"/>
      <c r="F287" s="66"/>
      <c r="G287" s="68"/>
      <c r="H287" s="66"/>
      <c r="I287" s="66"/>
      <c r="J287" s="66"/>
      <c r="K287" s="66"/>
      <c r="L287" s="84"/>
      <c r="M287" s="84"/>
      <c r="N287" s="41"/>
      <c r="O287" s="41"/>
      <c r="P287" s="84"/>
      <c r="Q287" s="84"/>
      <c r="R287" s="84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66"/>
      <c r="AU287" s="66"/>
      <c r="AV287" s="65"/>
      <c r="AW287" s="66"/>
      <c r="AX287" s="66"/>
      <c r="AY287" s="106"/>
    </row>
    <row r="288" s="31" customFormat="1" spans="2:51">
      <c r="B288" s="65"/>
      <c r="C288" s="66"/>
      <c r="D288" s="66"/>
      <c r="E288" s="67"/>
      <c r="F288" s="66"/>
      <c r="G288" s="68"/>
      <c r="H288" s="66"/>
      <c r="I288" s="66"/>
      <c r="J288" s="66"/>
      <c r="K288" s="66"/>
      <c r="L288" s="84"/>
      <c r="M288" s="84"/>
      <c r="N288" s="41"/>
      <c r="O288" s="41"/>
      <c r="P288" s="84"/>
      <c r="Q288" s="84"/>
      <c r="R288" s="84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66"/>
      <c r="AU288" s="66"/>
      <c r="AV288" s="65"/>
      <c r="AW288" s="66"/>
      <c r="AX288" s="66"/>
      <c r="AY288" s="106"/>
    </row>
    <row r="289" s="31" customFormat="1" spans="2:51">
      <c r="B289" s="65"/>
      <c r="C289" s="66"/>
      <c r="D289" s="66"/>
      <c r="E289" s="67"/>
      <c r="F289" s="66"/>
      <c r="G289" s="68"/>
      <c r="H289" s="66"/>
      <c r="I289" s="66"/>
      <c r="J289" s="66"/>
      <c r="K289" s="66"/>
      <c r="L289" s="84"/>
      <c r="M289" s="84"/>
      <c r="N289" s="41"/>
      <c r="O289" s="41"/>
      <c r="P289" s="84"/>
      <c r="Q289" s="84"/>
      <c r="R289" s="84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66"/>
      <c r="AU289" s="66"/>
      <c r="AV289" s="65"/>
      <c r="AW289" s="66"/>
      <c r="AX289" s="66"/>
      <c r="AY289" s="106"/>
    </row>
    <row r="290" s="31" customFormat="1" spans="2:51">
      <c r="B290" s="65"/>
      <c r="C290" s="66"/>
      <c r="D290" s="66"/>
      <c r="E290" s="67"/>
      <c r="F290" s="66"/>
      <c r="G290" s="68"/>
      <c r="H290" s="66"/>
      <c r="I290" s="66"/>
      <c r="J290" s="66"/>
      <c r="K290" s="66"/>
      <c r="L290" s="84"/>
      <c r="M290" s="84"/>
      <c r="N290" s="41"/>
      <c r="O290" s="41"/>
      <c r="P290" s="84"/>
      <c r="Q290" s="84"/>
      <c r="R290" s="84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66"/>
      <c r="AU290" s="66"/>
      <c r="AV290" s="65"/>
      <c r="AW290" s="66"/>
      <c r="AX290" s="66"/>
      <c r="AY290" s="106"/>
    </row>
    <row r="291" s="31" customFormat="1" spans="2:51">
      <c r="B291" s="65"/>
      <c r="C291" s="66"/>
      <c r="D291" s="66"/>
      <c r="E291" s="67"/>
      <c r="F291" s="66"/>
      <c r="G291" s="68"/>
      <c r="H291" s="66"/>
      <c r="I291" s="66"/>
      <c r="J291" s="66"/>
      <c r="K291" s="66"/>
      <c r="L291" s="84"/>
      <c r="M291" s="84"/>
      <c r="N291" s="41"/>
      <c r="O291" s="41"/>
      <c r="P291" s="84"/>
      <c r="Q291" s="84"/>
      <c r="R291" s="84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66"/>
      <c r="AU291" s="66"/>
      <c r="AV291" s="65"/>
      <c r="AW291" s="66"/>
      <c r="AX291" s="66"/>
      <c r="AY291" s="106"/>
    </row>
    <row r="292" s="31" customFormat="1" spans="2:51">
      <c r="B292" s="65"/>
      <c r="C292" s="66"/>
      <c r="D292" s="66"/>
      <c r="E292" s="67"/>
      <c r="F292" s="66"/>
      <c r="G292" s="68"/>
      <c r="H292" s="66"/>
      <c r="I292" s="66"/>
      <c r="J292" s="66"/>
      <c r="K292" s="66"/>
      <c r="L292" s="84"/>
      <c r="M292" s="84"/>
      <c r="N292" s="41"/>
      <c r="O292" s="41"/>
      <c r="P292" s="84"/>
      <c r="Q292" s="84"/>
      <c r="R292" s="84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66"/>
      <c r="AU292" s="66"/>
      <c r="AV292" s="65"/>
      <c r="AW292" s="66"/>
      <c r="AX292" s="66"/>
      <c r="AY292" s="106"/>
    </row>
    <row r="293" s="31" customFormat="1" spans="2:51">
      <c r="B293" s="65"/>
      <c r="C293" s="66"/>
      <c r="D293" s="66"/>
      <c r="E293" s="67"/>
      <c r="F293" s="66"/>
      <c r="G293" s="68"/>
      <c r="H293" s="66"/>
      <c r="I293" s="66"/>
      <c r="J293" s="66"/>
      <c r="K293" s="66"/>
      <c r="L293" s="84"/>
      <c r="M293" s="84"/>
      <c r="N293" s="41"/>
      <c r="O293" s="41"/>
      <c r="P293" s="84"/>
      <c r="Q293" s="84"/>
      <c r="R293" s="84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66"/>
      <c r="AU293" s="66"/>
      <c r="AV293" s="65"/>
      <c r="AW293" s="66"/>
      <c r="AX293" s="66"/>
      <c r="AY293" s="106"/>
    </row>
    <row r="294" s="31" customFormat="1" spans="2:51">
      <c r="B294" s="65"/>
      <c r="C294" s="66"/>
      <c r="D294" s="66"/>
      <c r="E294" s="67"/>
      <c r="F294" s="66"/>
      <c r="G294" s="68"/>
      <c r="H294" s="66"/>
      <c r="I294" s="66"/>
      <c r="J294" s="66"/>
      <c r="K294" s="66"/>
      <c r="L294" s="84"/>
      <c r="M294" s="84"/>
      <c r="N294" s="41"/>
      <c r="O294" s="41"/>
      <c r="P294" s="84"/>
      <c r="Q294" s="84"/>
      <c r="R294" s="84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66"/>
      <c r="AU294" s="66"/>
      <c r="AV294" s="65"/>
      <c r="AW294" s="66"/>
      <c r="AX294" s="66"/>
      <c r="AY294" s="106"/>
    </row>
    <row r="295" s="31" customFormat="1" spans="2:51">
      <c r="B295" s="65"/>
      <c r="C295" s="66"/>
      <c r="D295" s="66"/>
      <c r="E295" s="67"/>
      <c r="F295" s="66"/>
      <c r="G295" s="68"/>
      <c r="H295" s="66"/>
      <c r="I295" s="66"/>
      <c r="J295" s="66"/>
      <c r="K295" s="66"/>
      <c r="L295" s="84"/>
      <c r="M295" s="84"/>
      <c r="N295" s="41"/>
      <c r="O295" s="41"/>
      <c r="P295" s="84"/>
      <c r="Q295" s="84"/>
      <c r="R295" s="84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66"/>
      <c r="AU295" s="66"/>
      <c r="AV295" s="65"/>
      <c r="AW295" s="66"/>
      <c r="AX295" s="66"/>
      <c r="AY295" s="106"/>
    </row>
    <row r="296" s="31" customFormat="1" spans="2:51">
      <c r="B296" s="65"/>
      <c r="C296" s="66"/>
      <c r="D296" s="66"/>
      <c r="E296" s="67"/>
      <c r="F296" s="66"/>
      <c r="G296" s="68"/>
      <c r="H296" s="66"/>
      <c r="I296" s="66"/>
      <c r="J296" s="66"/>
      <c r="K296" s="66"/>
      <c r="L296" s="84"/>
      <c r="M296" s="84"/>
      <c r="N296" s="41"/>
      <c r="O296" s="41"/>
      <c r="P296" s="84"/>
      <c r="Q296" s="84"/>
      <c r="R296" s="84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66"/>
      <c r="AU296" s="66"/>
      <c r="AV296" s="65"/>
      <c r="AW296" s="66"/>
      <c r="AX296" s="66"/>
      <c r="AY296" s="106"/>
    </row>
    <row r="297" s="31" customFormat="1" spans="2:51">
      <c r="B297" s="65"/>
      <c r="C297" s="66"/>
      <c r="D297" s="66"/>
      <c r="E297" s="67"/>
      <c r="F297" s="66"/>
      <c r="G297" s="68"/>
      <c r="H297" s="66"/>
      <c r="I297" s="66"/>
      <c r="J297" s="66"/>
      <c r="K297" s="66"/>
      <c r="L297" s="84"/>
      <c r="M297" s="84"/>
      <c r="N297" s="41"/>
      <c r="O297" s="41"/>
      <c r="P297" s="84"/>
      <c r="Q297" s="84"/>
      <c r="R297" s="84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66"/>
      <c r="AU297" s="66"/>
      <c r="AV297" s="65"/>
      <c r="AW297" s="66"/>
      <c r="AX297" s="66"/>
      <c r="AY297" s="106"/>
    </row>
    <row r="298" s="31" customFormat="1" spans="2:51">
      <c r="B298" s="65"/>
      <c r="C298" s="66"/>
      <c r="D298" s="66"/>
      <c r="E298" s="67"/>
      <c r="F298" s="66"/>
      <c r="G298" s="68"/>
      <c r="H298" s="66"/>
      <c r="I298" s="66"/>
      <c r="J298" s="66"/>
      <c r="K298" s="66"/>
      <c r="L298" s="84"/>
      <c r="M298" s="84"/>
      <c r="N298" s="41"/>
      <c r="O298" s="41"/>
      <c r="P298" s="84"/>
      <c r="Q298" s="84"/>
      <c r="R298" s="84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66"/>
      <c r="AU298" s="66"/>
      <c r="AV298" s="65"/>
      <c r="AW298" s="66"/>
      <c r="AX298" s="66"/>
      <c r="AY298" s="106"/>
    </row>
    <row r="299" s="31" customFormat="1" spans="2:51">
      <c r="B299" s="65"/>
      <c r="C299" s="66"/>
      <c r="D299" s="66"/>
      <c r="E299" s="67"/>
      <c r="F299" s="66"/>
      <c r="G299" s="68"/>
      <c r="H299" s="66"/>
      <c r="I299" s="66"/>
      <c r="J299" s="66"/>
      <c r="K299" s="66"/>
      <c r="L299" s="84"/>
      <c r="M299" s="84"/>
      <c r="N299" s="41"/>
      <c r="O299" s="41"/>
      <c r="P299" s="84"/>
      <c r="Q299" s="84"/>
      <c r="R299" s="84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66"/>
      <c r="AU299" s="66"/>
      <c r="AV299" s="65"/>
      <c r="AW299" s="66"/>
      <c r="AX299" s="66"/>
      <c r="AY299" s="106"/>
    </row>
    <row r="300" s="31" customFormat="1" spans="2:51">
      <c r="B300" s="65"/>
      <c r="C300" s="66"/>
      <c r="D300" s="66"/>
      <c r="E300" s="67"/>
      <c r="F300" s="66"/>
      <c r="G300" s="68"/>
      <c r="H300" s="66"/>
      <c r="I300" s="66"/>
      <c r="J300" s="66"/>
      <c r="K300" s="66"/>
      <c r="L300" s="84"/>
      <c r="M300" s="84"/>
      <c r="N300" s="41"/>
      <c r="O300" s="41"/>
      <c r="P300" s="84"/>
      <c r="Q300" s="84"/>
      <c r="R300" s="84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66"/>
      <c r="AU300" s="66"/>
      <c r="AV300" s="65"/>
      <c r="AW300" s="66"/>
      <c r="AX300" s="66"/>
      <c r="AY300" s="106"/>
    </row>
    <row r="301" s="31" customFormat="1" spans="2:51">
      <c r="B301" s="65"/>
      <c r="C301" s="66"/>
      <c r="D301" s="66"/>
      <c r="E301" s="67"/>
      <c r="F301" s="66"/>
      <c r="G301" s="68"/>
      <c r="H301" s="66"/>
      <c r="I301" s="66"/>
      <c r="J301" s="66"/>
      <c r="K301" s="66"/>
      <c r="L301" s="84"/>
      <c r="M301" s="84"/>
      <c r="N301" s="41"/>
      <c r="O301" s="41"/>
      <c r="P301" s="84"/>
      <c r="Q301" s="84"/>
      <c r="R301" s="84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66"/>
      <c r="AU301" s="66"/>
      <c r="AV301" s="65"/>
      <c r="AW301" s="66"/>
      <c r="AX301" s="66"/>
      <c r="AY301" s="106"/>
    </row>
    <row r="302" s="31" customFormat="1" spans="2:51">
      <c r="B302" s="65"/>
      <c r="C302" s="66"/>
      <c r="D302" s="66"/>
      <c r="E302" s="67"/>
      <c r="F302" s="66"/>
      <c r="G302" s="68"/>
      <c r="H302" s="66"/>
      <c r="I302" s="66"/>
      <c r="J302" s="66"/>
      <c r="K302" s="66"/>
      <c r="L302" s="84"/>
      <c r="M302" s="84"/>
      <c r="N302" s="41"/>
      <c r="O302" s="41"/>
      <c r="P302" s="84"/>
      <c r="Q302" s="84"/>
      <c r="R302" s="84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66"/>
      <c r="AU302" s="66"/>
      <c r="AV302" s="65"/>
      <c r="AW302" s="66"/>
      <c r="AX302" s="66"/>
      <c r="AY302" s="106"/>
    </row>
    <row r="303" s="31" customFormat="1" spans="2:51">
      <c r="B303" s="65"/>
      <c r="C303" s="66"/>
      <c r="D303" s="66"/>
      <c r="E303" s="67"/>
      <c r="F303" s="66"/>
      <c r="G303" s="68"/>
      <c r="H303" s="66"/>
      <c r="I303" s="66"/>
      <c r="J303" s="66"/>
      <c r="K303" s="66"/>
      <c r="L303" s="84"/>
      <c r="M303" s="84"/>
      <c r="N303" s="41"/>
      <c r="O303" s="41"/>
      <c r="P303" s="84"/>
      <c r="Q303" s="84"/>
      <c r="R303" s="84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5"/>
      <c r="AW303" s="66"/>
      <c r="AX303" s="66"/>
      <c r="AY303" s="106"/>
    </row>
    <row r="304" s="31" customFormat="1" spans="2:51">
      <c r="B304" s="65"/>
      <c r="C304" s="66"/>
      <c r="D304" s="66"/>
      <c r="E304" s="67"/>
      <c r="F304" s="66"/>
      <c r="G304" s="68"/>
      <c r="H304" s="66"/>
      <c r="I304" s="66"/>
      <c r="J304" s="66"/>
      <c r="K304" s="66"/>
      <c r="L304" s="84"/>
      <c r="M304" s="84"/>
      <c r="N304" s="41"/>
      <c r="O304" s="41"/>
      <c r="P304" s="84"/>
      <c r="Q304" s="84"/>
      <c r="R304" s="84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66"/>
      <c r="AU304" s="66"/>
      <c r="AV304" s="65"/>
      <c r="AW304" s="66"/>
      <c r="AX304" s="66"/>
      <c r="AY304" s="106"/>
    </row>
    <row r="305" s="31" customFormat="1" spans="2:51">
      <c r="B305" s="65"/>
      <c r="C305" s="66"/>
      <c r="D305" s="66"/>
      <c r="E305" s="67"/>
      <c r="F305" s="66"/>
      <c r="G305" s="68"/>
      <c r="H305" s="66"/>
      <c r="I305" s="66"/>
      <c r="J305" s="66"/>
      <c r="K305" s="66"/>
      <c r="L305" s="84"/>
      <c r="M305" s="84"/>
      <c r="N305" s="41"/>
      <c r="O305" s="41"/>
      <c r="P305" s="84"/>
      <c r="Q305" s="84"/>
      <c r="R305" s="84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66"/>
      <c r="AU305" s="66"/>
      <c r="AV305" s="65"/>
      <c r="AW305" s="66"/>
      <c r="AX305" s="66"/>
      <c r="AY305" s="106"/>
    </row>
    <row r="306" s="31" customFormat="1" spans="2:51">
      <c r="B306" s="65"/>
      <c r="C306" s="66"/>
      <c r="D306" s="66"/>
      <c r="E306" s="67"/>
      <c r="F306" s="66"/>
      <c r="G306" s="68"/>
      <c r="H306" s="66"/>
      <c r="I306" s="66"/>
      <c r="J306" s="66"/>
      <c r="K306" s="66"/>
      <c r="L306" s="84"/>
      <c r="M306" s="84"/>
      <c r="N306" s="41"/>
      <c r="O306" s="41"/>
      <c r="P306" s="84"/>
      <c r="Q306" s="84"/>
      <c r="R306" s="84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66"/>
      <c r="AU306" s="66"/>
      <c r="AV306" s="65"/>
      <c r="AW306" s="66"/>
      <c r="AX306" s="66"/>
      <c r="AY306" s="106"/>
    </row>
    <row r="307" s="31" customFormat="1" spans="2:51">
      <c r="B307" s="65"/>
      <c r="C307" s="66"/>
      <c r="D307" s="66"/>
      <c r="E307" s="67"/>
      <c r="F307" s="66"/>
      <c r="G307" s="68"/>
      <c r="H307" s="66"/>
      <c r="I307" s="66"/>
      <c r="J307" s="66"/>
      <c r="K307" s="66"/>
      <c r="L307" s="84"/>
      <c r="M307" s="84"/>
      <c r="N307" s="41"/>
      <c r="O307" s="41"/>
      <c r="P307" s="84"/>
      <c r="Q307" s="84"/>
      <c r="R307" s="84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66"/>
      <c r="AU307" s="66"/>
      <c r="AV307" s="65"/>
      <c r="AW307" s="66"/>
      <c r="AX307" s="66"/>
      <c r="AY307" s="106"/>
    </row>
    <row r="308" s="31" customFormat="1" spans="2:51">
      <c r="B308" s="65"/>
      <c r="C308" s="66"/>
      <c r="D308" s="66"/>
      <c r="E308" s="67"/>
      <c r="F308" s="66"/>
      <c r="G308" s="68"/>
      <c r="H308" s="66"/>
      <c r="I308" s="66"/>
      <c r="J308" s="66"/>
      <c r="K308" s="66"/>
      <c r="L308" s="84"/>
      <c r="M308" s="84"/>
      <c r="N308" s="41"/>
      <c r="O308" s="41"/>
      <c r="P308" s="84"/>
      <c r="Q308" s="84"/>
      <c r="R308" s="84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66"/>
      <c r="AU308" s="66"/>
      <c r="AV308" s="65"/>
      <c r="AW308" s="66"/>
      <c r="AX308" s="66"/>
      <c r="AY308" s="106"/>
    </row>
    <row r="309" s="31" customFormat="1" spans="2:51">
      <c r="B309" s="65"/>
      <c r="C309" s="66"/>
      <c r="D309" s="66"/>
      <c r="E309" s="67"/>
      <c r="F309" s="66"/>
      <c r="G309" s="68"/>
      <c r="H309" s="66"/>
      <c r="I309" s="66"/>
      <c r="J309" s="66"/>
      <c r="K309" s="66"/>
      <c r="L309" s="84"/>
      <c r="M309" s="84"/>
      <c r="N309" s="41"/>
      <c r="O309" s="41"/>
      <c r="P309" s="84"/>
      <c r="Q309" s="84"/>
      <c r="R309" s="84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66"/>
      <c r="AU309" s="66"/>
      <c r="AV309" s="65"/>
      <c r="AW309" s="66"/>
      <c r="AX309" s="66"/>
      <c r="AY309" s="106"/>
    </row>
    <row r="310" s="31" customFormat="1" spans="2:51">
      <c r="B310" s="65"/>
      <c r="C310" s="66"/>
      <c r="D310" s="66"/>
      <c r="E310" s="67"/>
      <c r="F310" s="66"/>
      <c r="G310" s="68"/>
      <c r="H310" s="66"/>
      <c r="I310" s="66"/>
      <c r="J310" s="66"/>
      <c r="K310" s="66"/>
      <c r="L310" s="84"/>
      <c r="M310" s="84"/>
      <c r="N310" s="41"/>
      <c r="O310" s="41"/>
      <c r="P310" s="84"/>
      <c r="Q310" s="84"/>
      <c r="R310" s="84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66"/>
      <c r="AU310" s="66"/>
      <c r="AV310" s="65"/>
      <c r="AW310" s="66"/>
      <c r="AX310" s="66"/>
      <c r="AY310" s="106"/>
    </row>
    <row r="311" s="31" customFormat="1" spans="2:51">
      <c r="B311" s="65"/>
      <c r="C311" s="66"/>
      <c r="D311" s="66"/>
      <c r="E311" s="67"/>
      <c r="F311" s="66"/>
      <c r="G311" s="68"/>
      <c r="H311" s="66"/>
      <c r="I311" s="66"/>
      <c r="J311" s="66"/>
      <c r="K311" s="66"/>
      <c r="L311" s="84"/>
      <c r="M311" s="84"/>
      <c r="N311" s="41"/>
      <c r="O311" s="41"/>
      <c r="P311" s="84"/>
      <c r="Q311" s="84"/>
      <c r="R311" s="84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66"/>
      <c r="AU311" s="66"/>
      <c r="AV311" s="65"/>
      <c r="AW311" s="66"/>
      <c r="AX311" s="66"/>
      <c r="AY311" s="106"/>
    </row>
    <row r="312" s="31" customFormat="1" spans="2:51">
      <c r="B312" s="65"/>
      <c r="C312" s="66"/>
      <c r="D312" s="66"/>
      <c r="E312" s="67"/>
      <c r="F312" s="66"/>
      <c r="G312" s="68"/>
      <c r="H312" s="66"/>
      <c r="I312" s="66"/>
      <c r="J312" s="66"/>
      <c r="K312" s="66"/>
      <c r="L312" s="84"/>
      <c r="M312" s="84"/>
      <c r="N312" s="41"/>
      <c r="O312" s="41"/>
      <c r="P312" s="84"/>
      <c r="Q312" s="84"/>
      <c r="R312" s="84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66"/>
      <c r="AU312" s="66"/>
      <c r="AV312" s="65"/>
      <c r="AW312" s="66"/>
      <c r="AX312" s="66"/>
      <c r="AY312" s="106"/>
    </row>
    <row r="313" s="31" customFormat="1" spans="2:51">
      <c r="B313" s="65"/>
      <c r="C313" s="66"/>
      <c r="D313" s="66"/>
      <c r="E313" s="67"/>
      <c r="F313" s="66"/>
      <c r="G313" s="68"/>
      <c r="H313" s="66"/>
      <c r="I313" s="66"/>
      <c r="J313" s="66"/>
      <c r="K313" s="66"/>
      <c r="L313" s="84"/>
      <c r="M313" s="84"/>
      <c r="N313" s="41"/>
      <c r="O313" s="41"/>
      <c r="P313" s="84"/>
      <c r="Q313" s="84"/>
      <c r="R313" s="84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66"/>
      <c r="AU313" s="66"/>
      <c r="AV313" s="65"/>
      <c r="AW313" s="66"/>
      <c r="AX313" s="66"/>
      <c r="AY313" s="106"/>
    </row>
    <row r="314" s="31" customFormat="1" spans="2:51">
      <c r="B314" s="65"/>
      <c r="C314" s="66"/>
      <c r="D314" s="66"/>
      <c r="E314" s="67"/>
      <c r="F314" s="66"/>
      <c r="G314" s="68"/>
      <c r="H314" s="66"/>
      <c r="I314" s="66"/>
      <c r="J314" s="66"/>
      <c r="K314" s="66"/>
      <c r="L314" s="84"/>
      <c r="M314" s="84"/>
      <c r="N314" s="41"/>
      <c r="O314" s="41"/>
      <c r="P314" s="84"/>
      <c r="Q314" s="84"/>
      <c r="R314" s="84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66"/>
      <c r="AU314" s="66"/>
      <c r="AV314" s="65"/>
      <c r="AW314" s="66"/>
      <c r="AX314" s="66"/>
      <c r="AY314" s="106"/>
    </row>
    <row r="315" s="31" customFormat="1" spans="2:51">
      <c r="B315" s="65"/>
      <c r="C315" s="66"/>
      <c r="D315" s="66"/>
      <c r="E315" s="67"/>
      <c r="F315" s="66"/>
      <c r="G315" s="68"/>
      <c r="H315" s="66"/>
      <c r="I315" s="66"/>
      <c r="J315" s="66"/>
      <c r="K315" s="66"/>
      <c r="L315" s="84"/>
      <c r="M315" s="84"/>
      <c r="N315" s="41"/>
      <c r="O315" s="41"/>
      <c r="P315" s="84"/>
      <c r="Q315" s="84"/>
      <c r="R315" s="84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66"/>
      <c r="AU315" s="66"/>
      <c r="AV315" s="65"/>
      <c r="AW315" s="66"/>
      <c r="AX315" s="66"/>
      <c r="AY315" s="106"/>
    </row>
    <row r="316" s="31" customFormat="1" spans="2:51">
      <c r="B316" s="65"/>
      <c r="C316" s="66"/>
      <c r="D316" s="66"/>
      <c r="E316" s="67"/>
      <c r="F316" s="66"/>
      <c r="G316" s="68"/>
      <c r="H316" s="66"/>
      <c r="I316" s="66"/>
      <c r="J316" s="66"/>
      <c r="K316" s="66"/>
      <c r="L316" s="84"/>
      <c r="M316" s="84"/>
      <c r="N316" s="41"/>
      <c r="O316" s="41"/>
      <c r="P316" s="84"/>
      <c r="Q316" s="84"/>
      <c r="R316" s="84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66"/>
      <c r="AU316" s="66"/>
      <c r="AV316" s="65"/>
      <c r="AW316" s="66"/>
      <c r="AX316" s="66"/>
      <c r="AY316" s="106"/>
    </row>
    <row r="317" s="31" customFormat="1" spans="2:51">
      <c r="B317" s="65"/>
      <c r="C317" s="66"/>
      <c r="D317" s="66"/>
      <c r="E317" s="67"/>
      <c r="F317" s="66"/>
      <c r="G317" s="68"/>
      <c r="H317" s="66"/>
      <c r="I317" s="66"/>
      <c r="J317" s="66"/>
      <c r="K317" s="66"/>
      <c r="L317" s="84"/>
      <c r="M317" s="84"/>
      <c r="N317" s="41"/>
      <c r="O317" s="41"/>
      <c r="P317" s="84"/>
      <c r="Q317" s="84"/>
      <c r="R317" s="84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66"/>
      <c r="AU317" s="66"/>
      <c r="AV317" s="65"/>
      <c r="AW317" s="66"/>
      <c r="AX317" s="66"/>
      <c r="AY317" s="106"/>
    </row>
    <row r="318" s="31" customFormat="1" spans="2:51">
      <c r="B318" s="65"/>
      <c r="C318" s="66"/>
      <c r="D318" s="66"/>
      <c r="E318" s="67"/>
      <c r="F318" s="66"/>
      <c r="G318" s="68"/>
      <c r="H318" s="66"/>
      <c r="I318" s="66"/>
      <c r="J318" s="66"/>
      <c r="K318" s="66"/>
      <c r="L318" s="84"/>
      <c r="M318" s="84"/>
      <c r="N318" s="41"/>
      <c r="O318" s="41"/>
      <c r="P318" s="84"/>
      <c r="Q318" s="84"/>
      <c r="R318" s="84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66"/>
      <c r="AU318" s="66"/>
      <c r="AV318" s="65"/>
      <c r="AW318" s="66"/>
      <c r="AX318" s="66"/>
      <c r="AY318" s="106"/>
    </row>
    <row r="319" s="31" customFormat="1" spans="2:51">
      <c r="B319" s="65"/>
      <c r="C319" s="66"/>
      <c r="D319" s="66"/>
      <c r="E319" s="67"/>
      <c r="F319" s="66"/>
      <c r="G319" s="68"/>
      <c r="H319" s="66"/>
      <c r="I319" s="66"/>
      <c r="J319" s="66"/>
      <c r="K319" s="66"/>
      <c r="L319" s="84"/>
      <c r="M319" s="84"/>
      <c r="N319" s="41"/>
      <c r="O319" s="41"/>
      <c r="P319" s="84"/>
      <c r="Q319" s="84"/>
      <c r="R319" s="84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66"/>
      <c r="AU319" s="66"/>
      <c r="AV319" s="65"/>
      <c r="AW319" s="66"/>
      <c r="AX319" s="66"/>
      <c r="AY319" s="106"/>
    </row>
    <row r="320" s="31" customFormat="1" spans="2:51">
      <c r="B320" s="65"/>
      <c r="C320" s="66"/>
      <c r="D320" s="66"/>
      <c r="E320" s="67"/>
      <c r="F320" s="66"/>
      <c r="G320" s="68"/>
      <c r="H320" s="66"/>
      <c r="I320" s="66"/>
      <c r="J320" s="66"/>
      <c r="K320" s="66"/>
      <c r="L320" s="84"/>
      <c r="M320" s="84"/>
      <c r="N320" s="41"/>
      <c r="O320" s="41"/>
      <c r="P320" s="84"/>
      <c r="Q320" s="84"/>
      <c r="R320" s="84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66"/>
      <c r="AU320" s="66"/>
      <c r="AV320" s="65"/>
      <c r="AW320" s="66"/>
      <c r="AX320" s="66"/>
      <c r="AY320" s="106"/>
    </row>
    <row r="321" s="31" customFormat="1" spans="2:51">
      <c r="B321" s="65"/>
      <c r="C321" s="66"/>
      <c r="D321" s="66"/>
      <c r="E321" s="67"/>
      <c r="F321" s="66"/>
      <c r="G321" s="68"/>
      <c r="H321" s="66"/>
      <c r="I321" s="66"/>
      <c r="J321" s="66"/>
      <c r="K321" s="66"/>
      <c r="L321" s="84"/>
      <c r="M321" s="84"/>
      <c r="N321" s="41"/>
      <c r="O321" s="41"/>
      <c r="P321" s="84"/>
      <c r="Q321" s="84"/>
      <c r="R321" s="84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66"/>
      <c r="AU321" s="66"/>
      <c r="AV321" s="65"/>
      <c r="AW321" s="66"/>
      <c r="AX321" s="66"/>
      <c r="AY321" s="106"/>
    </row>
    <row r="322" s="31" customFormat="1" spans="2:51">
      <c r="B322" s="65"/>
      <c r="C322" s="66"/>
      <c r="D322" s="66"/>
      <c r="E322" s="67"/>
      <c r="F322" s="66"/>
      <c r="G322" s="68"/>
      <c r="H322" s="66"/>
      <c r="I322" s="66"/>
      <c r="J322" s="66"/>
      <c r="K322" s="66"/>
      <c r="L322" s="84"/>
      <c r="M322" s="84"/>
      <c r="N322" s="41"/>
      <c r="O322" s="41"/>
      <c r="P322" s="84"/>
      <c r="Q322" s="84"/>
      <c r="R322" s="84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66"/>
      <c r="AU322" s="66"/>
      <c r="AV322" s="65"/>
      <c r="AW322" s="66"/>
      <c r="AX322" s="66"/>
      <c r="AY322" s="106"/>
    </row>
    <row r="323" s="31" customFormat="1" spans="2:51">
      <c r="B323" s="65"/>
      <c r="C323" s="66"/>
      <c r="D323" s="66"/>
      <c r="E323" s="67"/>
      <c r="F323" s="66"/>
      <c r="G323" s="68"/>
      <c r="H323" s="66"/>
      <c r="I323" s="66"/>
      <c r="J323" s="66"/>
      <c r="K323" s="66"/>
      <c r="L323" s="84"/>
      <c r="M323" s="84"/>
      <c r="N323" s="41"/>
      <c r="O323" s="41"/>
      <c r="P323" s="84"/>
      <c r="Q323" s="84"/>
      <c r="R323" s="84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66"/>
      <c r="AU323" s="66"/>
      <c r="AV323" s="65"/>
      <c r="AW323" s="66"/>
      <c r="AX323" s="66"/>
      <c r="AY323" s="106"/>
    </row>
    <row r="324" s="31" customFormat="1" spans="2:51">
      <c r="B324" s="65"/>
      <c r="C324" s="66"/>
      <c r="D324" s="66"/>
      <c r="E324" s="67"/>
      <c r="F324" s="66"/>
      <c r="G324" s="68"/>
      <c r="H324" s="66"/>
      <c r="I324" s="66"/>
      <c r="J324" s="66"/>
      <c r="K324" s="66"/>
      <c r="L324" s="84"/>
      <c r="M324" s="84"/>
      <c r="N324" s="41"/>
      <c r="O324" s="41"/>
      <c r="P324" s="84"/>
      <c r="Q324" s="84"/>
      <c r="R324" s="84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66"/>
      <c r="AU324" s="66"/>
      <c r="AV324" s="65"/>
      <c r="AW324" s="66"/>
      <c r="AX324" s="66"/>
      <c r="AY324" s="106"/>
    </row>
    <row r="325" s="31" customFormat="1" spans="2:51">
      <c r="B325" s="65"/>
      <c r="C325" s="66"/>
      <c r="D325" s="66"/>
      <c r="E325" s="67"/>
      <c r="F325" s="66"/>
      <c r="G325" s="68"/>
      <c r="H325" s="66"/>
      <c r="I325" s="66"/>
      <c r="J325" s="66"/>
      <c r="K325" s="66"/>
      <c r="L325" s="84"/>
      <c r="M325" s="84"/>
      <c r="N325" s="41"/>
      <c r="O325" s="41"/>
      <c r="P325" s="84"/>
      <c r="Q325" s="84"/>
      <c r="R325" s="84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66"/>
      <c r="AU325" s="66"/>
      <c r="AV325" s="65"/>
      <c r="AW325" s="66"/>
      <c r="AX325" s="66"/>
      <c r="AY325" s="106"/>
    </row>
    <row r="326" s="31" customFormat="1" spans="2:51">
      <c r="B326" s="65"/>
      <c r="C326" s="66"/>
      <c r="D326" s="66"/>
      <c r="E326" s="67"/>
      <c r="F326" s="66"/>
      <c r="G326" s="68"/>
      <c r="H326" s="66"/>
      <c r="I326" s="66"/>
      <c r="J326" s="66"/>
      <c r="K326" s="66"/>
      <c r="L326" s="84"/>
      <c r="M326" s="84"/>
      <c r="N326" s="41"/>
      <c r="O326" s="41"/>
      <c r="P326" s="84"/>
      <c r="Q326" s="84"/>
      <c r="R326" s="84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66"/>
      <c r="AU326" s="66"/>
      <c r="AV326" s="65"/>
      <c r="AW326" s="66"/>
      <c r="AX326" s="66"/>
      <c r="AY326" s="106"/>
    </row>
    <row r="327" s="31" customFormat="1" spans="2:51">
      <c r="B327" s="65"/>
      <c r="C327" s="66"/>
      <c r="D327" s="66"/>
      <c r="E327" s="67"/>
      <c r="F327" s="66"/>
      <c r="G327" s="68"/>
      <c r="H327" s="66"/>
      <c r="I327" s="66"/>
      <c r="J327" s="66"/>
      <c r="K327" s="66"/>
      <c r="L327" s="84"/>
      <c r="M327" s="84"/>
      <c r="N327" s="41"/>
      <c r="O327" s="41"/>
      <c r="P327" s="84"/>
      <c r="Q327" s="84"/>
      <c r="R327" s="84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66"/>
      <c r="AU327" s="66"/>
      <c r="AV327" s="65"/>
      <c r="AW327" s="66"/>
      <c r="AX327" s="66"/>
      <c r="AY327" s="106"/>
    </row>
    <row r="328" s="31" customFormat="1" spans="2:51">
      <c r="B328" s="65"/>
      <c r="C328" s="66"/>
      <c r="D328" s="66"/>
      <c r="E328" s="67"/>
      <c r="F328" s="66"/>
      <c r="G328" s="68"/>
      <c r="H328" s="66"/>
      <c r="I328" s="66"/>
      <c r="J328" s="66"/>
      <c r="K328" s="66"/>
      <c r="L328" s="84"/>
      <c r="M328" s="84"/>
      <c r="N328" s="41"/>
      <c r="O328" s="41"/>
      <c r="P328" s="84"/>
      <c r="Q328" s="84"/>
      <c r="R328" s="84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66"/>
      <c r="AU328" s="66"/>
      <c r="AV328" s="65"/>
      <c r="AW328" s="66"/>
      <c r="AX328" s="66"/>
      <c r="AY328" s="106"/>
    </row>
    <row r="329" s="31" customFormat="1" spans="2:51">
      <c r="B329" s="65"/>
      <c r="C329" s="66"/>
      <c r="D329" s="66"/>
      <c r="E329" s="67"/>
      <c r="F329" s="66"/>
      <c r="G329" s="68"/>
      <c r="H329" s="66"/>
      <c r="I329" s="66"/>
      <c r="J329" s="66"/>
      <c r="K329" s="66"/>
      <c r="L329" s="84"/>
      <c r="M329" s="84"/>
      <c r="N329" s="41"/>
      <c r="O329" s="41"/>
      <c r="P329" s="84"/>
      <c r="Q329" s="84"/>
      <c r="R329" s="84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66"/>
      <c r="AU329" s="66"/>
      <c r="AV329" s="65"/>
      <c r="AW329" s="66"/>
      <c r="AX329" s="66"/>
      <c r="AY329" s="106"/>
    </row>
    <row r="330" s="31" customFormat="1" spans="2:51">
      <c r="B330" s="65"/>
      <c r="C330" s="66"/>
      <c r="D330" s="66"/>
      <c r="E330" s="67"/>
      <c r="F330" s="66"/>
      <c r="G330" s="68"/>
      <c r="H330" s="66"/>
      <c r="I330" s="66"/>
      <c r="J330" s="66"/>
      <c r="K330" s="66"/>
      <c r="L330" s="84"/>
      <c r="M330" s="84"/>
      <c r="N330" s="41"/>
      <c r="O330" s="41"/>
      <c r="P330" s="84"/>
      <c r="Q330" s="84"/>
      <c r="R330" s="84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66"/>
      <c r="AU330" s="66"/>
      <c r="AV330" s="65"/>
      <c r="AW330" s="66"/>
      <c r="AX330" s="66"/>
      <c r="AY330" s="106"/>
    </row>
    <row r="331" s="31" customFormat="1" spans="2:51">
      <c r="B331" s="65"/>
      <c r="C331" s="66"/>
      <c r="D331" s="66"/>
      <c r="E331" s="67"/>
      <c r="F331" s="66"/>
      <c r="G331" s="68"/>
      <c r="H331" s="66"/>
      <c r="I331" s="66"/>
      <c r="J331" s="66"/>
      <c r="K331" s="66"/>
      <c r="L331" s="84"/>
      <c r="M331" s="84"/>
      <c r="N331" s="41"/>
      <c r="O331" s="41"/>
      <c r="P331" s="84"/>
      <c r="Q331" s="84"/>
      <c r="R331" s="84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66"/>
      <c r="AU331" s="66"/>
      <c r="AV331" s="65"/>
      <c r="AW331" s="66"/>
      <c r="AX331" s="66"/>
      <c r="AY331" s="106"/>
    </row>
    <row r="332" s="31" customFormat="1" spans="2:51">
      <c r="B332" s="65"/>
      <c r="C332" s="66"/>
      <c r="D332" s="66"/>
      <c r="E332" s="67"/>
      <c r="F332" s="66"/>
      <c r="G332" s="68"/>
      <c r="H332" s="66"/>
      <c r="I332" s="66"/>
      <c r="J332" s="66"/>
      <c r="K332" s="66"/>
      <c r="L332" s="84"/>
      <c r="M332" s="84"/>
      <c r="N332" s="41"/>
      <c r="O332" s="41"/>
      <c r="P332" s="84"/>
      <c r="Q332" s="84"/>
      <c r="R332" s="84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66"/>
      <c r="AU332" s="66"/>
      <c r="AV332" s="65"/>
      <c r="AW332" s="66"/>
      <c r="AX332" s="66"/>
      <c r="AY332" s="106"/>
    </row>
    <row r="333" s="31" customFormat="1" spans="2:51">
      <c r="B333" s="65"/>
      <c r="C333" s="66"/>
      <c r="D333" s="66"/>
      <c r="E333" s="67"/>
      <c r="F333" s="66"/>
      <c r="G333" s="68"/>
      <c r="H333" s="66"/>
      <c r="I333" s="66"/>
      <c r="J333" s="66"/>
      <c r="K333" s="66"/>
      <c r="L333" s="84"/>
      <c r="M333" s="84"/>
      <c r="N333" s="41"/>
      <c r="O333" s="41"/>
      <c r="P333" s="84"/>
      <c r="Q333" s="84"/>
      <c r="R333" s="84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66"/>
      <c r="AU333" s="66"/>
      <c r="AV333" s="65"/>
      <c r="AW333" s="66"/>
      <c r="AX333" s="66"/>
      <c r="AY333" s="106"/>
    </row>
    <row r="334" s="31" customFormat="1" spans="2:51">
      <c r="B334" s="65"/>
      <c r="C334" s="66"/>
      <c r="D334" s="66"/>
      <c r="E334" s="67"/>
      <c r="F334" s="66"/>
      <c r="G334" s="68"/>
      <c r="H334" s="66"/>
      <c r="I334" s="66"/>
      <c r="J334" s="66"/>
      <c r="K334" s="66"/>
      <c r="L334" s="84"/>
      <c r="M334" s="84"/>
      <c r="N334" s="41"/>
      <c r="O334" s="41"/>
      <c r="P334" s="84"/>
      <c r="Q334" s="84"/>
      <c r="R334" s="84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66"/>
      <c r="AU334" s="66"/>
      <c r="AV334" s="65"/>
      <c r="AW334" s="66"/>
      <c r="AX334" s="66"/>
      <c r="AY334" s="106"/>
    </row>
    <row r="335" s="31" customFormat="1" spans="2:51">
      <c r="B335" s="65"/>
      <c r="C335" s="66"/>
      <c r="D335" s="66"/>
      <c r="E335" s="67"/>
      <c r="F335" s="66"/>
      <c r="G335" s="68"/>
      <c r="H335" s="66"/>
      <c r="I335" s="66"/>
      <c r="J335" s="66"/>
      <c r="K335" s="66"/>
      <c r="L335" s="84"/>
      <c r="M335" s="84"/>
      <c r="N335" s="41"/>
      <c r="O335" s="41"/>
      <c r="P335" s="84"/>
      <c r="Q335" s="84"/>
      <c r="R335" s="84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66"/>
      <c r="AU335" s="66"/>
      <c r="AV335" s="65"/>
      <c r="AW335" s="66"/>
      <c r="AX335" s="66"/>
      <c r="AY335" s="106"/>
    </row>
    <row r="336" s="31" customFormat="1" spans="2:51">
      <c r="B336" s="65"/>
      <c r="C336" s="66"/>
      <c r="D336" s="66"/>
      <c r="E336" s="67"/>
      <c r="F336" s="66"/>
      <c r="G336" s="68"/>
      <c r="H336" s="66"/>
      <c r="I336" s="66"/>
      <c r="J336" s="66"/>
      <c r="K336" s="66"/>
      <c r="L336" s="84"/>
      <c r="M336" s="84"/>
      <c r="N336" s="41"/>
      <c r="O336" s="41"/>
      <c r="P336" s="84"/>
      <c r="Q336" s="84"/>
      <c r="R336" s="84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66"/>
      <c r="AU336" s="66"/>
      <c r="AV336" s="65"/>
      <c r="AW336" s="66"/>
      <c r="AX336" s="66"/>
      <c r="AY336" s="106"/>
    </row>
    <row r="337" s="31" customFormat="1" spans="2:51">
      <c r="B337" s="65"/>
      <c r="C337" s="66"/>
      <c r="D337" s="66"/>
      <c r="E337" s="67"/>
      <c r="F337" s="66"/>
      <c r="G337" s="68"/>
      <c r="H337" s="66"/>
      <c r="I337" s="66"/>
      <c r="J337" s="66"/>
      <c r="K337" s="66"/>
      <c r="L337" s="84"/>
      <c r="M337" s="84"/>
      <c r="N337" s="41"/>
      <c r="O337" s="41"/>
      <c r="P337" s="84"/>
      <c r="Q337" s="84"/>
      <c r="R337" s="84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66"/>
      <c r="AU337" s="66"/>
      <c r="AV337" s="65"/>
      <c r="AW337" s="66"/>
      <c r="AX337" s="66"/>
      <c r="AY337" s="106"/>
    </row>
    <row r="338" s="31" customFormat="1" spans="2:51">
      <c r="B338" s="65"/>
      <c r="C338" s="66"/>
      <c r="D338" s="66"/>
      <c r="E338" s="67"/>
      <c r="F338" s="66"/>
      <c r="G338" s="68"/>
      <c r="H338" s="66"/>
      <c r="I338" s="66"/>
      <c r="J338" s="66"/>
      <c r="K338" s="66"/>
      <c r="L338" s="84"/>
      <c r="M338" s="84"/>
      <c r="N338" s="41"/>
      <c r="O338" s="41"/>
      <c r="P338" s="84"/>
      <c r="Q338" s="84"/>
      <c r="R338" s="84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66"/>
      <c r="AU338" s="66"/>
      <c r="AV338" s="65"/>
      <c r="AW338" s="66"/>
      <c r="AX338" s="66"/>
      <c r="AY338" s="106"/>
    </row>
    <row r="339" s="31" customFormat="1" spans="2:51">
      <c r="B339" s="65"/>
      <c r="C339" s="66"/>
      <c r="D339" s="66"/>
      <c r="E339" s="67"/>
      <c r="F339" s="66"/>
      <c r="G339" s="68"/>
      <c r="H339" s="66"/>
      <c r="I339" s="66"/>
      <c r="J339" s="66"/>
      <c r="K339" s="66"/>
      <c r="L339" s="84"/>
      <c r="M339" s="84"/>
      <c r="N339" s="41"/>
      <c r="O339" s="41"/>
      <c r="P339" s="84"/>
      <c r="Q339" s="84"/>
      <c r="R339" s="84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66"/>
      <c r="AU339" s="66"/>
      <c r="AV339" s="65"/>
      <c r="AW339" s="66"/>
      <c r="AX339" s="66"/>
      <c r="AY339" s="106"/>
    </row>
    <row r="340" s="31" customFormat="1" spans="2:51">
      <c r="B340" s="65"/>
      <c r="C340" s="66"/>
      <c r="D340" s="66"/>
      <c r="E340" s="67"/>
      <c r="F340" s="66"/>
      <c r="G340" s="68"/>
      <c r="H340" s="66"/>
      <c r="I340" s="66"/>
      <c r="J340" s="66"/>
      <c r="K340" s="66"/>
      <c r="L340" s="84"/>
      <c r="M340" s="84"/>
      <c r="N340" s="41"/>
      <c r="O340" s="41"/>
      <c r="P340" s="84"/>
      <c r="Q340" s="84"/>
      <c r="R340" s="84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66"/>
      <c r="AU340" s="66"/>
      <c r="AV340" s="65"/>
      <c r="AW340" s="66"/>
      <c r="AX340" s="66"/>
      <c r="AY340" s="106"/>
    </row>
    <row r="341" s="31" customFormat="1" spans="2:51">
      <c r="B341" s="65"/>
      <c r="C341" s="66"/>
      <c r="D341" s="66"/>
      <c r="E341" s="67"/>
      <c r="F341" s="66"/>
      <c r="G341" s="68"/>
      <c r="H341" s="66"/>
      <c r="I341" s="66"/>
      <c r="J341" s="66"/>
      <c r="K341" s="66"/>
      <c r="L341" s="84"/>
      <c r="M341" s="84"/>
      <c r="N341" s="41"/>
      <c r="O341" s="41"/>
      <c r="P341" s="84"/>
      <c r="Q341" s="84"/>
      <c r="R341" s="84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66"/>
      <c r="AU341" s="66"/>
      <c r="AV341" s="65"/>
      <c r="AW341" s="66"/>
      <c r="AX341" s="66"/>
      <c r="AY341" s="106"/>
    </row>
    <row r="342" s="31" customFormat="1" spans="2:51">
      <c r="B342" s="65"/>
      <c r="C342" s="66"/>
      <c r="D342" s="66"/>
      <c r="E342" s="67"/>
      <c r="F342" s="66"/>
      <c r="G342" s="68"/>
      <c r="H342" s="66"/>
      <c r="I342" s="66"/>
      <c r="J342" s="66"/>
      <c r="K342" s="66"/>
      <c r="L342" s="84"/>
      <c r="M342" s="84"/>
      <c r="N342" s="41"/>
      <c r="O342" s="41"/>
      <c r="P342" s="84"/>
      <c r="Q342" s="84"/>
      <c r="R342" s="84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66"/>
      <c r="AU342" s="66"/>
      <c r="AV342" s="65"/>
      <c r="AW342" s="66"/>
      <c r="AX342" s="66"/>
      <c r="AY342" s="106"/>
    </row>
    <row r="343" s="31" customFormat="1" spans="2:51">
      <c r="B343" s="65"/>
      <c r="C343" s="66"/>
      <c r="D343" s="66"/>
      <c r="E343" s="67"/>
      <c r="F343" s="66"/>
      <c r="G343" s="68"/>
      <c r="H343" s="66"/>
      <c r="I343" s="66"/>
      <c r="J343" s="66"/>
      <c r="K343" s="66"/>
      <c r="L343" s="84"/>
      <c r="M343" s="84"/>
      <c r="N343" s="41"/>
      <c r="O343" s="41"/>
      <c r="P343" s="84"/>
      <c r="Q343" s="84"/>
      <c r="R343" s="84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66"/>
      <c r="AU343" s="66"/>
      <c r="AV343" s="65"/>
      <c r="AW343" s="66"/>
      <c r="AX343" s="66"/>
      <c r="AY343" s="106"/>
    </row>
    <row r="344" s="31" customFormat="1" spans="2:51">
      <c r="B344" s="65"/>
      <c r="C344" s="66"/>
      <c r="D344" s="66"/>
      <c r="E344" s="67"/>
      <c r="F344" s="66"/>
      <c r="G344" s="68"/>
      <c r="H344" s="66"/>
      <c r="I344" s="66"/>
      <c r="J344" s="66"/>
      <c r="K344" s="66"/>
      <c r="L344" s="84"/>
      <c r="M344" s="84"/>
      <c r="N344" s="41"/>
      <c r="O344" s="41"/>
      <c r="P344" s="84"/>
      <c r="Q344" s="84"/>
      <c r="R344" s="84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66"/>
      <c r="AU344" s="66"/>
      <c r="AV344" s="65"/>
      <c r="AW344" s="66"/>
      <c r="AX344" s="66"/>
      <c r="AY344" s="106"/>
    </row>
    <row r="345" s="31" customFormat="1" spans="2:51">
      <c r="B345" s="65"/>
      <c r="C345" s="66"/>
      <c r="D345" s="66"/>
      <c r="E345" s="67"/>
      <c r="F345" s="66"/>
      <c r="G345" s="68"/>
      <c r="H345" s="66"/>
      <c r="I345" s="66"/>
      <c r="J345" s="66"/>
      <c r="K345" s="66"/>
      <c r="L345" s="84"/>
      <c r="M345" s="84"/>
      <c r="N345" s="41"/>
      <c r="O345" s="41"/>
      <c r="P345" s="84"/>
      <c r="Q345" s="84"/>
      <c r="R345" s="84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66"/>
      <c r="AU345" s="66"/>
      <c r="AV345" s="65"/>
      <c r="AW345" s="66"/>
      <c r="AX345" s="66"/>
      <c r="AY345" s="106"/>
    </row>
    <row r="346" s="31" customFormat="1" spans="2:51">
      <c r="B346" s="65"/>
      <c r="C346" s="66"/>
      <c r="D346" s="66"/>
      <c r="E346" s="67"/>
      <c r="F346" s="66"/>
      <c r="G346" s="68"/>
      <c r="H346" s="66"/>
      <c r="I346" s="66"/>
      <c r="J346" s="66"/>
      <c r="K346" s="66"/>
      <c r="L346" s="84"/>
      <c r="M346" s="84"/>
      <c r="N346" s="41"/>
      <c r="O346" s="41"/>
      <c r="P346" s="84"/>
      <c r="Q346" s="84"/>
      <c r="R346" s="84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66"/>
      <c r="AU346" s="66"/>
      <c r="AV346" s="65"/>
      <c r="AW346" s="66"/>
      <c r="AX346" s="66"/>
      <c r="AY346" s="106"/>
    </row>
    <row r="347" s="31" customFormat="1" spans="2:51">
      <c r="B347" s="65"/>
      <c r="C347" s="66"/>
      <c r="D347" s="66"/>
      <c r="E347" s="67"/>
      <c r="F347" s="66"/>
      <c r="G347" s="68"/>
      <c r="H347" s="66"/>
      <c r="I347" s="66"/>
      <c r="J347" s="66"/>
      <c r="K347" s="66"/>
      <c r="L347" s="84"/>
      <c r="M347" s="84"/>
      <c r="N347" s="41"/>
      <c r="O347" s="41"/>
      <c r="P347" s="84"/>
      <c r="Q347" s="84"/>
      <c r="R347" s="84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66"/>
      <c r="AU347" s="66"/>
      <c r="AV347" s="65"/>
      <c r="AW347" s="66"/>
      <c r="AX347" s="66"/>
      <c r="AY347" s="106"/>
    </row>
    <row r="348" s="31" customFormat="1" spans="2:51">
      <c r="B348" s="65"/>
      <c r="C348" s="66"/>
      <c r="D348" s="66"/>
      <c r="E348" s="67"/>
      <c r="F348" s="66"/>
      <c r="G348" s="68"/>
      <c r="H348" s="66"/>
      <c r="I348" s="66"/>
      <c r="J348" s="66"/>
      <c r="K348" s="66"/>
      <c r="L348" s="84"/>
      <c r="M348" s="84"/>
      <c r="N348" s="41"/>
      <c r="O348" s="41"/>
      <c r="P348" s="84"/>
      <c r="Q348" s="84"/>
      <c r="R348" s="84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/>
      <c r="AS348" s="66"/>
      <c r="AT348" s="66"/>
      <c r="AU348" s="66"/>
      <c r="AV348" s="65"/>
      <c r="AW348" s="66"/>
      <c r="AX348" s="66"/>
      <c r="AY348" s="106"/>
    </row>
    <row r="349" s="31" customFormat="1" spans="2:51">
      <c r="B349" s="65"/>
      <c r="C349" s="66"/>
      <c r="D349" s="66"/>
      <c r="E349" s="67"/>
      <c r="F349" s="66"/>
      <c r="G349" s="68"/>
      <c r="H349" s="66"/>
      <c r="I349" s="66"/>
      <c r="J349" s="66"/>
      <c r="K349" s="66"/>
      <c r="L349" s="84"/>
      <c r="M349" s="84"/>
      <c r="N349" s="41"/>
      <c r="O349" s="41"/>
      <c r="P349" s="84"/>
      <c r="Q349" s="84"/>
      <c r="R349" s="84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66"/>
      <c r="AU349" s="66"/>
      <c r="AV349" s="65"/>
      <c r="AW349" s="66"/>
      <c r="AX349" s="66"/>
      <c r="AY349" s="106"/>
    </row>
    <row r="350" s="31" customFormat="1" spans="2:51">
      <c r="B350" s="65"/>
      <c r="C350" s="66"/>
      <c r="D350" s="66"/>
      <c r="E350" s="67"/>
      <c r="F350" s="66"/>
      <c r="G350" s="68"/>
      <c r="H350" s="66"/>
      <c r="I350" s="66"/>
      <c r="J350" s="66"/>
      <c r="K350" s="66"/>
      <c r="L350" s="84"/>
      <c r="M350" s="84"/>
      <c r="N350" s="41"/>
      <c r="O350" s="41"/>
      <c r="P350" s="84"/>
      <c r="Q350" s="84"/>
      <c r="R350" s="84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66"/>
      <c r="AU350" s="66"/>
      <c r="AV350" s="65"/>
      <c r="AW350" s="66"/>
      <c r="AX350" s="66"/>
      <c r="AY350" s="106"/>
    </row>
    <row r="351" s="31" customFormat="1" spans="2:51">
      <c r="B351" s="65"/>
      <c r="C351" s="66"/>
      <c r="D351" s="66"/>
      <c r="E351" s="67"/>
      <c r="F351" s="66"/>
      <c r="G351" s="68"/>
      <c r="H351" s="66"/>
      <c r="I351" s="66"/>
      <c r="J351" s="66"/>
      <c r="K351" s="66"/>
      <c r="L351" s="84"/>
      <c r="M351" s="84"/>
      <c r="N351" s="41"/>
      <c r="O351" s="41"/>
      <c r="P351" s="84"/>
      <c r="Q351" s="84"/>
      <c r="R351" s="84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66"/>
      <c r="AU351" s="66"/>
      <c r="AV351" s="65"/>
      <c r="AW351" s="66"/>
      <c r="AX351" s="66"/>
      <c r="AY351" s="106"/>
    </row>
    <row r="352" s="31" customFormat="1" spans="2:51">
      <c r="B352" s="65"/>
      <c r="C352" s="66"/>
      <c r="D352" s="66"/>
      <c r="E352" s="67"/>
      <c r="F352" s="66"/>
      <c r="G352" s="68"/>
      <c r="H352" s="66"/>
      <c r="I352" s="66"/>
      <c r="J352" s="66"/>
      <c r="K352" s="66"/>
      <c r="L352" s="84"/>
      <c r="M352" s="84"/>
      <c r="N352" s="41"/>
      <c r="O352" s="41"/>
      <c r="P352" s="84"/>
      <c r="Q352" s="84"/>
      <c r="R352" s="84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66"/>
      <c r="AU352" s="66"/>
      <c r="AV352" s="65"/>
      <c r="AW352" s="66"/>
      <c r="AX352" s="66"/>
      <c r="AY352" s="106"/>
    </row>
    <row r="353" s="31" customFormat="1" spans="2:51">
      <c r="B353" s="65"/>
      <c r="C353" s="66"/>
      <c r="D353" s="66"/>
      <c r="E353" s="67"/>
      <c r="F353" s="66"/>
      <c r="G353" s="68"/>
      <c r="H353" s="66"/>
      <c r="I353" s="66"/>
      <c r="J353" s="66"/>
      <c r="K353" s="66"/>
      <c r="L353" s="84"/>
      <c r="M353" s="84"/>
      <c r="N353" s="41"/>
      <c r="O353" s="41"/>
      <c r="P353" s="84"/>
      <c r="Q353" s="84"/>
      <c r="R353" s="84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66"/>
      <c r="AU353" s="66"/>
      <c r="AV353" s="65"/>
      <c r="AW353" s="66"/>
      <c r="AX353" s="66"/>
      <c r="AY353" s="106"/>
    </row>
    <row r="354" s="31" customFormat="1" spans="2:51">
      <c r="B354" s="65"/>
      <c r="C354" s="66"/>
      <c r="D354" s="66"/>
      <c r="E354" s="67"/>
      <c r="F354" s="66"/>
      <c r="G354" s="68"/>
      <c r="H354" s="66"/>
      <c r="I354" s="66"/>
      <c r="J354" s="66"/>
      <c r="K354" s="66"/>
      <c r="L354" s="84"/>
      <c r="M354" s="84"/>
      <c r="N354" s="41"/>
      <c r="O354" s="41"/>
      <c r="P354" s="84"/>
      <c r="Q354" s="84"/>
      <c r="R354" s="84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66"/>
      <c r="AU354" s="66"/>
      <c r="AV354" s="65"/>
      <c r="AW354" s="66"/>
      <c r="AX354" s="66"/>
      <c r="AY354" s="106"/>
    </row>
    <row r="355" s="31" customFormat="1" spans="2:51">
      <c r="B355" s="65"/>
      <c r="C355" s="66"/>
      <c r="D355" s="66"/>
      <c r="E355" s="67"/>
      <c r="F355" s="66"/>
      <c r="G355" s="68"/>
      <c r="H355" s="66"/>
      <c r="I355" s="66"/>
      <c r="J355" s="66"/>
      <c r="K355" s="66"/>
      <c r="L355" s="84"/>
      <c r="M355" s="84"/>
      <c r="N355" s="41"/>
      <c r="O355" s="41"/>
      <c r="P355" s="84"/>
      <c r="Q355" s="84"/>
      <c r="R355" s="84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66"/>
      <c r="AU355" s="66"/>
      <c r="AV355" s="65"/>
      <c r="AW355" s="66"/>
      <c r="AX355" s="66"/>
      <c r="AY355" s="106"/>
    </row>
    <row r="356" s="31" customFormat="1" spans="2:51">
      <c r="B356" s="65"/>
      <c r="C356" s="66"/>
      <c r="D356" s="66"/>
      <c r="E356" s="67"/>
      <c r="F356" s="66"/>
      <c r="G356" s="68"/>
      <c r="H356" s="66"/>
      <c r="I356" s="66"/>
      <c r="J356" s="66"/>
      <c r="K356" s="66"/>
      <c r="L356" s="84"/>
      <c r="M356" s="84"/>
      <c r="N356" s="41"/>
      <c r="O356" s="41"/>
      <c r="P356" s="84"/>
      <c r="Q356" s="84"/>
      <c r="R356" s="84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66"/>
      <c r="AU356" s="66"/>
      <c r="AV356" s="65"/>
      <c r="AW356" s="66"/>
      <c r="AX356" s="66"/>
      <c r="AY356" s="106"/>
    </row>
    <row r="357" s="31" customFormat="1" spans="2:51">
      <c r="B357" s="65"/>
      <c r="C357" s="66"/>
      <c r="D357" s="66"/>
      <c r="E357" s="67"/>
      <c r="F357" s="66"/>
      <c r="G357" s="68"/>
      <c r="H357" s="66"/>
      <c r="I357" s="66"/>
      <c r="J357" s="66"/>
      <c r="K357" s="66"/>
      <c r="L357" s="84"/>
      <c r="M357" s="84"/>
      <c r="N357" s="41"/>
      <c r="O357" s="41"/>
      <c r="P357" s="84"/>
      <c r="Q357" s="84"/>
      <c r="R357" s="84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66"/>
      <c r="AU357" s="66"/>
      <c r="AV357" s="65"/>
      <c r="AW357" s="66"/>
      <c r="AX357" s="66"/>
      <c r="AY357" s="106"/>
    </row>
    <row r="358" s="31" customFormat="1" spans="2:51">
      <c r="B358" s="65"/>
      <c r="C358" s="66"/>
      <c r="D358" s="66"/>
      <c r="E358" s="67"/>
      <c r="F358" s="66"/>
      <c r="G358" s="68"/>
      <c r="H358" s="66"/>
      <c r="I358" s="66"/>
      <c r="J358" s="66"/>
      <c r="K358" s="66"/>
      <c r="L358" s="84"/>
      <c r="M358" s="84"/>
      <c r="N358" s="41"/>
      <c r="O358" s="41"/>
      <c r="P358" s="84"/>
      <c r="Q358" s="84"/>
      <c r="R358" s="84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66"/>
      <c r="AU358" s="66"/>
      <c r="AV358" s="65"/>
      <c r="AW358" s="66"/>
      <c r="AX358" s="66"/>
      <c r="AY358" s="106"/>
    </row>
    <row r="359" s="31" customFormat="1" spans="2:51">
      <c r="B359" s="65"/>
      <c r="C359" s="66"/>
      <c r="D359" s="66"/>
      <c r="E359" s="67"/>
      <c r="F359" s="66"/>
      <c r="G359" s="68"/>
      <c r="H359" s="66"/>
      <c r="I359" s="66"/>
      <c r="J359" s="66"/>
      <c r="K359" s="66"/>
      <c r="L359" s="84"/>
      <c r="M359" s="84"/>
      <c r="N359" s="41"/>
      <c r="O359" s="41"/>
      <c r="P359" s="84"/>
      <c r="Q359" s="84"/>
      <c r="R359" s="84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66"/>
      <c r="AU359" s="66"/>
      <c r="AV359" s="65"/>
      <c r="AW359" s="66"/>
      <c r="AX359" s="66"/>
      <c r="AY359" s="106"/>
    </row>
    <row r="360" s="31" customFormat="1" spans="2:51">
      <c r="B360" s="65"/>
      <c r="C360" s="66"/>
      <c r="D360" s="66"/>
      <c r="E360" s="67"/>
      <c r="F360" s="66"/>
      <c r="G360" s="68"/>
      <c r="H360" s="66"/>
      <c r="I360" s="66"/>
      <c r="J360" s="66"/>
      <c r="K360" s="66"/>
      <c r="L360" s="84"/>
      <c r="M360" s="84"/>
      <c r="N360" s="41"/>
      <c r="O360" s="41"/>
      <c r="P360" s="84"/>
      <c r="Q360" s="84"/>
      <c r="R360" s="84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66"/>
      <c r="AU360" s="66"/>
      <c r="AV360" s="65"/>
      <c r="AW360" s="66"/>
      <c r="AX360" s="66"/>
      <c r="AY360" s="106"/>
    </row>
    <row r="361" s="31" customFormat="1" spans="2:51">
      <c r="B361" s="65"/>
      <c r="C361" s="66"/>
      <c r="D361" s="66"/>
      <c r="E361" s="67"/>
      <c r="F361" s="66"/>
      <c r="G361" s="68"/>
      <c r="H361" s="66"/>
      <c r="I361" s="66"/>
      <c r="J361" s="66"/>
      <c r="K361" s="66"/>
      <c r="L361" s="84"/>
      <c r="M361" s="84"/>
      <c r="N361" s="41"/>
      <c r="O361" s="41"/>
      <c r="P361" s="84"/>
      <c r="Q361" s="84"/>
      <c r="R361" s="84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66"/>
      <c r="AU361" s="66"/>
      <c r="AV361" s="65"/>
      <c r="AW361" s="66"/>
      <c r="AX361" s="66"/>
      <c r="AY361" s="106"/>
    </row>
    <row r="362" s="31" customFormat="1" spans="2:51">
      <c r="B362" s="65"/>
      <c r="C362" s="66"/>
      <c r="D362" s="66"/>
      <c r="E362" s="67"/>
      <c r="F362" s="66"/>
      <c r="G362" s="68"/>
      <c r="H362" s="66"/>
      <c r="I362" s="66"/>
      <c r="J362" s="66"/>
      <c r="K362" s="66"/>
      <c r="L362" s="84"/>
      <c r="M362" s="84"/>
      <c r="N362" s="41"/>
      <c r="O362" s="41"/>
      <c r="P362" s="84"/>
      <c r="Q362" s="84"/>
      <c r="R362" s="84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66"/>
      <c r="AU362" s="66"/>
      <c r="AV362" s="65"/>
      <c r="AW362" s="66"/>
      <c r="AX362" s="66"/>
      <c r="AY362" s="106"/>
    </row>
    <row r="363" s="31" customFormat="1" spans="2:51">
      <c r="B363" s="65"/>
      <c r="C363" s="66"/>
      <c r="D363" s="66"/>
      <c r="E363" s="67"/>
      <c r="F363" s="66"/>
      <c r="G363" s="68"/>
      <c r="H363" s="66"/>
      <c r="I363" s="66"/>
      <c r="J363" s="66"/>
      <c r="K363" s="66"/>
      <c r="L363" s="84"/>
      <c r="M363" s="84"/>
      <c r="N363" s="41"/>
      <c r="O363" s="41"/>
      <c r="P363" s="84"/>
      <c r="Q363" s="84"/>
      <c r="R363" s="84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66"/>
      <c r="AU363" s="66"/>
      <c r="AV363" s="65"/>
      <c r="AW363" s="66"/>
      <c r="AX363" s="66"/>
      <c r="AY363" s="106"/>
    </row>
    <row r="364" s="31" customFormat="1" spans="2:51">
      <c r="B364" s="65"/>
      <c r="C364" s="66"/>
      <c r="D364" s="66"/>
      <c r="E364" s="67"/>
      <c r="F364" s="66"/>
      <c r="G364" s="68"/>
      <c r="H364" s="66"/>
      <c r="I364" s="66"/>
      <c r="J364" s="66"/>
      <c r="K364" s="66"/>
      <c r="L364" s="84"/>
      <c r="M364" s="84"/>
      <c r="N364" s="41"/>
      <c r="O364" s="41"/>
      <c r="P364" s="84"/>
      <c r="Q364" s="84"/>
      <c r="R364" s="84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66"/>
      <c r="AU364" s="66"/>
      <c r="AV364" s="65"/>
      <c r="AW364" s="66"/>
      <c r="AX364" s="66"/>
      <c r="AY364" s="106"/>
    </row>
    <row r="365" s="31" customFormat="1" spans="2:51">
      <c r="B365" s="65"/>
      <c r="C365" s="66"/>
      <c r="D365" s="66"/>
      <c r="E365" s="67"/>
      <c r="F365" s="66"/>
      <c r="G365" s="68"/>
      <c r="H365" s="66"/>
      <c r="I365" s="66"/>
      <c r="J365" s="66"/>
      <c r="K365" s="66"/>
      <c r="L365" s="84"/>
      <c r="M365" s="84"/>
      <c r="N365" s="41"/>
      <c r="O365" s="41"/>
      <c r="P365" s="84"/>
      <c r="Q365" s="84"/>
      <c r="R365" s="84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66"/>
      <c r="AU365" s="66"/>
      <c r="AV365" s="65"/>
      <c r="AW365" s="66"/>
      <c r="AX365" s="66"/>
      <c r="AY365" s="106"/>
    </row>
    <row r="366" s="31" customFormat="1" spans="2:51">
      <c r="B366" s="65"/>
      <c r="C366" s="66"/>
      <c r="D366" s="66"/>
      <c r="E366" s="67"/>
      <c r="F366" s="66"/>
      <c r="G366" s="68"/>
      <c r="H366" s="66"/>
      <c r="I366" s="66"/>
      <c r="J366" s="66"/>
      <c r="K366" s="66"/>
      <c r="L366" s="84"/>
      <c r="M366" s="84"/>
      <c r="N366" s="41"/>
      <c r="O366" s="41"/>
      <c r="P366" s="84"/>
      <c r="Q366" s="84"/>
      <c r="R366" s="84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66"/>
      <c r="AU366" s="66"/>
      <c r="AV366" s="65"/>
      <c r="AW366" s="66"/>
      <c r="AX366" s="66"/>
      <c r="AY366" s="106"/>
    </row>
    <row r="367" s="31" customFormat="1" spans="2:51">
      <c r="B367" s="65"/>
      <c r="C367" s="66"/>
      <c r="D367" s="66"/>
      <c r="E367" s="67"/>
      <c r="F367" s="66"/>
      <c r="G367" s="68"/>
      <c r="H367" s="66"/>
      <c r="I367" s="66"/>
      <c r="J367" s="66"/>
      <c r="K367" s="66"/>
      <c r="L367" s="84"/>
      <c r="M367" s="84"/>
      <c r="N367" s="41"/>
      <c r="O367" s="41"/>
      <c r="P367" s="84"/>
      <c r="Q367" s="84"/>
      <c r="R367" s="84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66"/>
      <c r="AU367" s="66"/>
      <c r="AV367" s="65"/>
      <c r="AW367" s="66"/>
      <c r="AX367" s="66"/>
      <c r="AY367" s="106"/>
    </row>
    <row r="368" s="31" customFormat="1" spans="2:51">
      <c r="B368" s="65"/>
      <c r="C368" s="66"/>
      <c r="D368" s="66"/>
      <c r="E368" s="67"/>
      <c r="F368" s="66"/>
      <c r="G368" s="68"/>
      <c r="H368" s="66"/>
      <c r="I368" s="66"/>
      <c r="J368" s="66"/>
      <c r="K368" s="66"/>
      <c r="L368" s="84"/>
      <c r="M368" s="84"/>
      <c r="N368" s="41"/>
      <c r="O368" s="41"/>
      <c r="P368" s="84"/>
      <c r="Q368" s="84"/>
      <c r="R368" s="84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66"/>
      <c r="AU368" s="66"/>
      <c r="AV368" s="65"/>
      <c r="AW368" s="66"/>
      <c r="AX368" s="66"/>
      <c r="AY368" s="106"/>
    </row>
    <row r="369" s="31" customFormat="1" spans="2:51">
      <c r="B369" s="65"/>
      <c r="C369" s="66"/>
      <c r="D369" s="66"/>
      <c r="E369" s="67"/>
      <c r="F369" s="66"/>
      <c r="G369" s="68"/>
      <c r="H369" s="66"/>
      <c r="I369" s="66"/>
      <c r="J369" s="66"/>
      <c r="K369" s="66"/>
      <c r="L369" s="84"/>
      <c r="M369" s="84"/>
      <c r="N369" s="41"/>
      <c r="O369" s="41"/>
      <c r="P369" s="84"/>
      <c r="Q369" s="84"/>
      <c r="R369" s="84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66"/>
      <c r="AU369" s="66"/>
      <c r="AV369" s="65"/>
      <c r="AW369" s="66"/>
      <c r="AX369" s="66"/>
      <c r="AY369" s="106"/>
    </row>
    <row r="370" s="31" customFormat="1" spans="2:51">
      <c r="B370" s="65"/>
      <c r="C370" s="66"/>
      <c r="D370" s="66"/>
      <c r="E370" s="67"/>
      <c r="F370" s="66"/>
      <c r="G370" s="68"/>
      <c r="H370" s="66"/>
      <c r="I370" s="66"/>
      <c r="J370" s="66"/>
      <c r="K370" s="66"/>
      <c r="L370" s="84"/>
      <c r="M370" s="84"/>
      <c r="N370" s="41"/>
      <c r="O370" s="41"/>
      <c r="P370" s="84"/>
      <c r="Q370" s="84"/>
      <c r="R370" s="84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66"/>
      <c r="AU370" s="66"/>
      <c r="AV370" s="65"/>
      <c r="AW370" s="66"/>
      <c r="AX370" s="66"/>
      <c r="AY370" s="106"/>
    </row>
    <row r="371" s="31" customFormat="1" spans="2:51">
      <c r="B371" s="65"/>
      <c r="C371" s="66"/>
      <c r="D371" s="66"/>
      <c r="E371" s="67"/>
      <c r="F371" s="66"/>
      <c r="G371" s="68"/>
      <c r="H371" s="66"/>
      <c r="I371" s="66"/>
      <c r="J371" s="66"/>
      <c r="K371" s="66"/>
      <c r="L371" s="84"/>
      <c r="M371" s="84"/>
      <c r="N371" s="41"/>
      <c r="O371" s="41"/>
      <c r="P371" s="84"/>
      <c r="Q371" s="84"/>
      <c r="R371" s="84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66"/>
      <c r="AU371" s="66"/>
      <c r="AV371" s="65"/>
      <c r="AW371" s="66"/>
      <c r="AX371" s="66"/>
      <c r="AY371" s="106"/>
    </row>
    <row r="372" s="31" customFormat="1" spans="2:51">
      <c r="B372" s="65"/>
      <c r="C372" s="66"/>
      <c r="D372" s="66"/>
      <c r="E372" s="67"/>
      <c r="F372" s="66"/>
      <c r="G372" s="68"/>
      <c r="H372" s="66"/>
      <c r="I372" s="66"/>
      <c r="J372" s="66"/>
      <c r="K372" s="66"/>
      <c r="L372" s="84"/>
      <c r="M372" s="84"/>
      <c r="N372" s="41"/>
      <c r="O372" s="41"/>
      <c r="P372" s="84"/>
      <c r="Q372" s="84"/>
      <c r="R372" s="84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66"/>
      <c r="AU372" s="66"/>
      <c r="AV372" s="65"/>
      <c r="AW372" s="66"/>
      <c r="AX372" s="66"/>
      <c r="AY372" s="106"/>
    </row>
    <row r="373" s="31" customFormat="1" spans="2:51">
      <c r="B373" s="65"/>
      <c r="C373" s="66"/>
      <c r="D373" s="66"/>
      <c r="E373" s="67"/>
      <c r="F373" s="66"/>
      <c r="G373" s="68"/>
      <c r="H373" s="66"/>
      <c r="I373" s="66"/>
      <c r="J373" s="66"/>
      <c r="K373" s="66"/>
      <c r="L373" s="84"/>
      <c r="M373" s="84"/>
      <c r="N373" s="41"/>
      <c r="O373" s="41"/>
      <c r="P373" s="84"/>
      <c r="Q373" s="84"/>
      <c r="R373" s="84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66"/>
      <c r="AU373" s="66"/>
      <c r="AV373" s="65"/>
      <c r="AW373" s="66"/>
      <c r="AX373" s="66"/>
      <c r="AY373" s="106"/>
    </row>
    <row r="374" s="31" customFormat="1" spans="2:51">
      <c r="B374" s="65"/>
      <c r="C374" s="66"/>
      <c r="D374" s="66"/>
      <c r="E374" s="67"/>
      <c r="F374" s="66"/>
      <c r="G374" s="68"/>
      <c r="H374" s="66"/>
      <c r="I374" s="66"/>
      <c r="J374" s="66"/>
      <c r="K374" s="66"/>
      <c r="L374" s="84"/>
      <c r="M374" s="84"/>
      <c r="N374" s="41"/>
      <c r="O374" s="41"/>
      <c r="P374" s="84"/>
      <c r="Q374" s="84"/>
      <c r="R374" s="84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66"/>
      <c r="AU374" s="66"/>
      <c r="AV374" s="65"/>
      <c r="AW374" s="66"/>
      <c r="AX374" s="66"/>
      <c r="AY374" s="106"/>
    </row>
    <row r="375" s="31" customFormat="1" spans="2:51">
      <c r="B375" s="65"/>
      <c r="C375" s="66"/>
      <c r="D375" s="66"/>
      <c r="E375" s="67"/>
      <c r="F375" s="66"/>
      <c r="G375" s="68"/>
      <c r="H375" s="66"/>
      <c r="I375" s="66"/>
      <c r="J375" s="66"/>
      <c r="K375" s="66"/>
      <c r="L375" s="84"/>
      <c r="M375" s="84"/>
      <c r="N375" s="41"/>
      <c r="O375" s="41"/>
      <c r="P375" s="84"/>
      <c r="Q375" s="84"/>
      <c r="R375" s="84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66"/>
      <c r="AU375" s="66"/>
      <c r="AV375" s="65"/>
      <c r="AW375" s="66"/>
      <c r="AX375" s="66"/>
      <c r="AY375" s="106"/>
    </row>
    <row r="376" s="31" customFormat="1" spans="2:51">
      <c r="B376" s="65"/>
      <c r="C376" s="66"/>
      <c r="D376" s="66"/>
      <c r="E376" s="67"/>
      <c r="F376" s="66"/>
      <c r="G376" s="68"/>
      <c r="H376" s="66"/>
      <c r="I376" s="66"/>
      <c r="J376" s="66"/>
      <c r="K376" s="66"/>
      <c r="L376" s="84"/>
      <c r="M376" s="84"/>
      <c r="N376" s="41"/>
      <c r="O376" s="41"/>
      <c r="P376" s="84"/>
      <c r="Q376" s="84"/>
      <c r="R376" s="84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66"/>
      <c r="AU376" s="66"/>
      <c r="AV376" s="65"/>
      <c r="AW376" s="66"/>
      <c r="AX376" s="66"/>
      <c r="AY376" s="106"/>
    </row>
    <row r="377" s="31" customFormat="1" spans="2:51">
      <c r="B377" s="65"/>
      <c r="C377" s="66"/>
      <c r="D377" s="66"/>
      <c r="E377" s="67"/>
      <c r="F377" s="66"/>
      <c r="G377" s="68"/>
      <c r="H377" s="66"/>
      <c r="I377" s="66"/>
      <c r="J377" s="66"/>
      <c r="K377" s="66"/>
      <c r="L377" s="84"/>
      <c r="M377" s="84"/>
      <c r="N377" s="41"/>
      <c r="O377" s="41"/>
      <c r="P377" s="84"/>
      <c r="Q377" s="84"/>
      <c r="R377" s="84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66"/>
      <c r="AU377" s="66"/>
      <c r="AV377" s="65"/>
      <c r="AW377" s="66"/>
      <c r="AX377" s="66"/>
      <c r="AY377" s="106"/>
    </row>
    <row r="378" s="31" customFormat="1" spans="2:51">
      <c r="B378" s="65"/>
      <c r="C378" s="66"/>
      <c r="D378" s="66"/>
      <c r="E378" s="67"/>
      <c r="F378" s="66"/>
      <c r="G378" s="68"/>
      <c r="H378" s="66"/>
      <c r="I378" s="66"/>
      <c r="J378" s="66"/>
      <c r="K378" s="66"/>
      <c r="L378" s="84"/>
      <c r="M378" s="84"/>
      <c r="N378" s="41"/>
      <c r="O378" s="41"/>
      <c r="P378" s="84"/>
      <c r="Q378" s="84"/>
      <c r="R378" s="84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66"/>
      <c r="AU378" s="66"/>
      <c r="AV378" s="65"/>
      <c r="AW378" s="66"/>
      <c r="AX378" s="66"/>
      <c r="AY378" s="106"/>
    </row>
    <row r="379" s="31" customFormat="1" spans="2:51">
      <c r="B379" s="65"/>
      <c r="C379" s="66"/>
      <c r="D379" s="66"/>
      <c r="E379" s="67"/>
      <c r="F379" s="66"/>
      <c r="G379" s="68"/>
      <c r="H379" s="66"/>
      <c r="I379" s="66"/>
      <c r="J379" s="66"/>
      <c r="K379" s="66"/>
      <c r="L379" s="84"/>
      <c r="M379" s="84"/>
      <c r="N379" s="41"/>
      <c r="O379" s="41"/>
      <c r="P379" s="84"/>
      <c r="Q379" s="84"/>
      <c r="R379" s="84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66"/>
      <c r="AU379" s="66"/>
      <c r="AV379" s="65"/>
      <c r="AW379" s="66"/>
      <c r="AX379" s="66"/>
      <c r="AY379" s="106"/>
    </row>
    <row r="380" s="31" customFormat="1" spans="2:51">
      <c r="B380" s="65"/>
      <c r="C380" s="66"/>
      <c r="D380" s="66"/>
      <c r="E380" s="67"/>
      <c r="F380" s="66"/>
      <c r="G380" s="68"/>
      <c r="H380" s="66"/>
      <c r="I380" s="66"/>
      <c r="J380" s="66"/>
      <c r="K380" s="66"/>
      <c r="L380" s="84"/>
      <c r="M380" s="84"/>
      <c r="N380" s="41"/>
      <c r="O380" s="41"/>
      <c r="P380" s="84"/>
      <c r="Q380" s="84"/>
      <c r="R380" s="84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66"/>
      <c r="AU380" s="66"/>
      <c r="AV380" s="65"/>
      <c r="AW380" s="66"/>
      <c r="AX380" s="66"/>
      <c r="AY380" s="106"/>
    </row>
    <row r="381" s="31" customFormat="1" spans="2:51">
      <c r="B381" s="65"/>
      <c r="C381" s="66"/>
      <c r="D381" s="66"/>
      <c r="E381" s="67"/>
      <c r="F381" s="66"/>
      <c r="G381" s="68"/>
      <c r="H381" s="66"/>
      <c r="I381" s="66"/>
      <c r="J381" s="66"/>
      <c r="K381" s="66"/>
      <c r="L381" s="84"/>
      <c r="M381" s="84"/>
      <c r="N381" s="41"/>
      <c r="O381" s="41"/>
      <c r="P381" s="84"/>
      <c r="Q381" s="84"/>
      <c r="R381" s="84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66"/>
      <c r="AU381" s="66"/>
      <c r="AV381" s="65"/>
      <c r="AW381" s="66"/>
      <c r="AX381" s="66"/>
      <c r="AY381" s="106"/>
    </row>
    <row r="382" s="31" customFormat="1" spans="2:51">
      <c r="B382" s="65"/>
      <c r="C382" s="66"/>
      <c r="D382" s="66"/>
      <c r="E382" s="67"/>
      <c r="F382" s="66"/>
      <c r="G382" s="68"/>
      <c r="H382" s="66"/>
      <c r="I382" s="66"/>
      <c r="J382" s="66"/>
      <c r="K382" s="66"/>
      <c r="L382" s="84"/>
      <c r="M382" s="84"/>
      <c r="N382" s="41"/>
      <c r="O382" s="41"/>
      <c r="P382" s="84"/>
      <c r="Q382" s="84"/>
      <c r="R382" s="84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66"/>
      <c r="AU382" s="66"/>
      <c r="AV382" s="65"/>
      <c r="AW382" s="66"/>
      <c r="AX382" s="66"/>
      <c r="AY382" s="106"/>
    </row>
    <row r="383" s="31" customFormat="1" spans="2:51">
      <c r="B383" s="65"/>
      <c r="C383" s="66"/>
      <c r="D383" s="66"/>
      <c r="E383" s="67"/>
      <c r="F383" s="66"/>
      <c r="G383" s="68"/>
      <c r="H383" s="66"/>
      <c r="I383" s="66"/>
      <c r="J383" s="66"/>
      <c r="K383" s="66"/>
      <c r="L383" s="84"/>
      <c r="M383" s="84"/>
      <c r="N383" s="41"/>
      <c r="O383" s="41"/>
      <c r="P383" s="84"/>
      <c r="Q383" s="84"/>
      <c r="R383" s="84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66"/>
      <c r="AU383" s="66"/>
      <c r="AV383" s="65"/>
      <c r="AW383" s="66"/>
      <c r="AX383" s="66"/>
      <c r="AY383" s="106"/>
    </row>
    <row r="384" s="31" customFormat="1" spans="2:51">
      <c r="B384" s="65"/>
      <c r="C384" s="66"/>
      <c r="D384" s="66"/>
      <c r="E384" s="67"/>
      <c r="F384" s="66"/>
      <c r="G384" s="68"/>
      <c r="H384" s="66"/>
      <c r="I384" s="66"/>
      <c r="J384" s="66"/>
      <c r="K384" s="66"/>
      <c r="L384" s="84"/>
      <c r="M384" s="84"/>
      <c r="N384" s="41"/>
      <c r="O384" s="41"/>
      <c r="P384" s="84"/>
      <c r="Q384" s="84"/>
      <c r="R384" s="84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66"/>
      <c r="AU384" s="66"/>
      <c r="AV384" s="65"/>
      <c r="AW384" s="66"/>
      <c r="AX384" s="66"/>
      <c r="AY384" s="106"/>
    </row>
    <row r="385" s="31" customFormat="1" spans="2:51">
      <c r="B385" s="65"/>
      <c r="C385" s="66"/>
      <c r="D385" s="66"/>
      <c r="E385" s="67"/>
      <c r="F385" s="66"/>
      <c r="G385" s="68"/>
      <c r="H385" s="66"/>
      <c r="I385" s="66"/>
      <c r="J385" s="66"/>
      <c r="K385" s="66"/>
      <c r="L385" s="84"/>
      <c r="M385" s="84"/>
      <c r="N385" s="41"/>
      <c r="O385" s="41"/>
      <c r="P385" s="84"/>
      <c r="Q385" s="84"/>
      <c r="R385" s="84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66"/>
      <c r="AU385" s="66"/>
      <c r="AV385" s="65"/>
      <c r="AW385" s="66"/>
      <c r="AX385" s="66"/>
      <c r="AY385" s="106"/>
    </row>
    <row r="386" s="31" customFormat="1" spans="2:51">
      <c r="B386" s="65"/>
      <c r="C386" s="66"/>
      <c r="D386" s="66"/>
      <c r="E386" s="67"/>
      <c r="F386" s="66"/>
      <c r="G386" s="68"/>
      <c r="H386" s="66"/>
      <c r="I386" s="66"/>
      <c r="J386" s="66"/>
      <c r="K386" s="66"/>
      <c r="L386" s="84"/>
      <c r="M386" s="84"/>
      <c r="N386" s="41"/>
      <c r="O386" s="41"/>
      <c r="P386" s="84"/>
      <c r="Q386" s="84"/>
      <c r="R386" s="84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66"/>
      <c r="AU386" s="66"/>
      <c r="AV386" s="65"/>
      <c r="AW386" s="66"/>
      <c r="AX386" s="66"/>
      <c r="AY386" s="106"/>
    </row>
    <row r="387" s="31" customFormat="1" spans="2:51">
      <c r="B387" s="65"/>
      <c r="C387" s="66"/>
      <c r="D387" s="66"/>
      <c r="E387" s="67"/>
      <c r="F387" s="66"/>
      <c r="G387" s="68"/>
      <c r="H387" s="66"/>
      <c r="I387" s="66"/>
      <c r="J387" s="66"/>
      <c r="K387" s="66"/>
      <c r="L387" s="84"/>
      <c r="M387" s="84"/>
      <c r="N387" s="41"/>
      <c r="O387" s="41"/>
      <c r="P387" s="84"/>
      <c r="Q387" s="84"/>
      <c r="R387" s="84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66"/>
      <c r="AU387" s="66"/>
      <c r="AV387" s="65"/>
      <c r="AW387" s="66"/>
      <c r="AX387" s="66"/>
      <c r="AY387" s="106"/>
    </row>
    <row r="388" s="31" customFormat="1" spans="2:51">
      <c r="B388" s="65"/>
      <c r="C388" s="66"/>
      <c r="D388" s="66"/>
      <c r="E388" s="67"/>
      <c r="F388" s="66"/>
      <c r="G388" s="68"/>
      <c r="H388" s="66"/>
      <c r="I388" s="66"/>
      <c r="J388" s="66"/>
      <c r="K388" s="66"/>
      <c r="L388" s="84"/>
      <c r="M388" s="84"/>
      <c r="N388" s="41"/>
      <c r="O388" s="41"/>
      <c r="P388" s="84"/>
      <c r="Q388" s="84"/>
      <c r="R388" s="84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66"/>
      <c r="AU388" s="66"/>
      <c r="AV388" s="65"/>
      <c r="AW388" s="66"/>
      <c r="AX388" s="66"/>
      <c r="AY388" s="106"/>
    </row>
    <row r="389" s="31" customFormat="1" spans="2:51">
      <c r="B389" s="65"/>
      <c r="C389" s="66"/>
      <c r="D389" s="66"/>
      <c r="E389" s="67"/>
      <c r="F389" s="66"/>
      <c r="G389" s="68"/>
      <c r="H389" s="66"/>
      <c r="I389" s="66"/>
      <c r="J389" s="66"/>
      <c r="K389" s="66"/>
      <c r="L389" s="84"/>
      <c r="M389" s="84"/>
      <c r="N389" s="41"/>
      <c r="O389" s="41"/>
      <c r="P389" s="84"/>
      <c r="Q389" s="84"/>
      <c r="R389" s="84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66"/>
      <c r="AU389" s="66"/>
      <c r="AV389" s="65"/>
      <c r="AW389" s="66"/>
      <c r="AX389" s="66"/>
      <c r="AY389" s="106"/>
    </row>
    <row r="390" s="31" customFormat="1" spans="2:51">
      <c r="B390" s="65"/>
      <c r="C390" s="66"/>
      <c r="D390" s="66"/>
      <c r="E390" s="67"/>
      <c r="F390" s="66"/>
      <c r="G390" s="68"/>
      <c r="H390" s="66"/>
      <c r="I390" s="66"/>
      <c r="J390" s="66"/>
      <c r="K390" s="66"/>
      <c r="L390" s="84"/>
      <c r="M390" s="84"/>
      <c r="N390" s="41"/>
      <c r="O390" s="41"/>
      <c r="P390" s="84"/>
      <c r="Q390" s="84"/>
      <c r="R390" s="84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66"/>
      <c r="AU390" s="66"/>
      <c r="AV390" s="65"/>
      <c r="AW390" s="66"/>
      <c r="AX390" s="66"/>
      <c r="AY390" s="106"/>
    </row>
    <row r="391" s="31" customFormat="1" spans="2:51">
      <c r="B391" s="65"/>
      <c r="C391" s="66"/>
      <c r="D391" s="66"/>
      <c r="E391" s="67"/>
      <c r="F391" s="66"/>
      <c r="G391" s="68"/>
      <c r="H391" s="66"/>
      <c r="I391" s="66"/>
      <c r="J391" s="66"/>
      <c r="K391" s="66"/>
      <c r="L391" s="84"/>
      <c r="M391" s="84"/>
      <c r="N391" s="41"/>
      <c r="O391" s="41"/>
      <c r="P391" s="84"/>
      <c r="Q391" s="84"/>
      <c r="R391" s="84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66"/>
      <c r="AU391" s="66"/>
      <c r="AV391" s="65"/>
      <c r="AW391" s="66"/>
      <c r="AX391" s="66"/>
      <c r="AY391" s="106"/>
    </row>
    <row r="392" s="31" customFormat="1" spans="2:51">
      <c r="B392" s="65"/>
      <c r="C392" s="66"/>
      <c r="D392" s="66"/>
      <c r="E392" s="67"/>
      <c r="F392" s="66"/>
      <c r="G392" s="68"/>
      <c r="H392" s="66"/>
      <c r="I392" s="66"/>
      <c r="J392" s="66"/>
      <c r="K392" s="66"/>
      <c r="L392" s="84"/>
      <c r="M392" s="84"/>
      <c r="N392" s="41"/>
      <c r="O392" s="41"/>
      <c r="P392" s="84"/>
      <c r="Q392" s="84"/>
      <c r="R392" s="84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66"/>
      <c r="AU392" s="66"/>
      <c r="AV392" s="65"/>
      <c r="AW392" s="66"/>
      <c r="AX392" s="66"/>
      <c r="AY392" s="106"/>
    </row>
    <row r="393" s="31" customFormat="1" spans="2:51">
      <c r="B393" s="65"/>
      <c r="C393" s="66"/>
      <c r="D393" s="66"/>
      <c r="E393" s="67"/>
      <c r="F393" s="66"/>
      <c r="G393" s="68"/>
      <c r="H393" s="66"/>
      <c r="I393" s="66"/>
      <c r="J393" s="66"/>
      <c r="K393" s="66"/>
      <c r="L393" s="84"/>
      <c r="M393" s="84"/>
      <c r="N393" s="41"/>
      <c r="O393" s="41"/>
      <c r="P393" s="84"/>
      <c r="Q393" s="84"/>
      <c r="R393" s="84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66"/>
      <c r="AU393" s="66"/>
      <c r="AV393" s="65"/>
      <c r="AW393" s="66"/>
      <c r="AX393" s="66"/>
      <c r="AY393" s="106"/>
    </row>
    <row r="394" s="31" customFormat="1" spans="2:51">
      <c r="B394" s="65"/>
      <c r="C394" s="66"/>
      <c r="D394" s="66"/>
      <c r="E394" s="67"/>
      <c r="F394" s="66"/>
      <c r="G394" s="68"/>
      <c r="H394" s="66"/>
      <c r="I394" s="66"/>
      <c r="J394" s="66"/>
      <c r="K394" s="66"/>
      <c r="L394" s="84"/>
      <c r="M394" s="84"/>
      <c r="N394" s="41"/>
      <c r="O394" s="41"/>
      <c r="P394" s="84"/>
      <c r="Q394" s="84"/>
      <c r="R394" s="84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66"/>
      <c r="AU394" s="66"/>
      <c r="AV394" s="65"/>
      <c r="AW394" s="66"/>
      <c r="AX394" s="66"/>
      <c r="AY394" s="106"/>
    </row>
    <row r="395" s="31" customFormat="1" spans="2:51">
      <c r="B395" s="65"/>
      <c r="C395" s="66"/>
      <c r="D395" s="66"/>
      <c r="E395" s="67"/>
      <c r="F395" s="66"/>
      <c r="G395" s="68"/>
      <c r="H395" s="66"/>
      <c r="I395" s="66"/>
      <c r="J395" s="66"/>
      <c r="K395" s="66"/>
      <c r="L395" s="84"/>
      <c r="M395" s="84"/>
      <c r="N395" s="41"/>
      <c r="O395" s="41"/>
      <c r="P395" s="84"/>
      <c r="Q395" s="84"/>
      <c r="R395" s="84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66"/>
      <c r="AU395" s="66"/>
      <c r="AV395" s="65"/>
      <c r="AW395" s="66"/>
      <c r="AX395" s="66"/>
      <c r="AY395" s="106"/>
    </row>
    <row r="396" s="31" customFormat="1" spans="2:51">
      <c r="B396" s="65"/>
      <c r="C396" s="66"/>
      <c r="D396" s="66"/>
      <c r="E396" s="67"/>
      <c r="F396" s="66"/>
      <c r="G396" s="68"/>
      <c r="H396" s="66"/>
      <c r="I396" s="66"/>
      <c r="J396" s="66"/>
      <c r="K396" s="66"/>
      <c r="L396" s="84"/>
      <c r="M396" s="84"/>
      <c r="N396" s="41"/>
      <c r="O396" s="41"/>
      <c r="P396" s="84"/>
      <c r="Q396" s="84"/>
      <c r="R396" s="84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66"/>
      <c r="AU396" s="66"/>
      <c r="AV396" s="65"/>
      <c r="AW396" s="66"/>
      <c r="AX396" s="66"/>
      <c r="AY396" s="106"/>
    </row>
    <row r="397" s="31" customFormat="1" spans="2:51">
      <c r="B397" s="65"/>
      <c r="C397" s="66"/>
      <c r="D397" s="66"/>
      <c r="E397" s="67"/>
      <c r="F397" s="66"/>
      <c r="G397" s="68"/>
      <c r="H397" s="66"/>
      <c r="I397" s="66"/>
      <c r="J397" s="66"/>
      <c r="K397" s="66"/>
      <c r="L397" s="84"/>
      <c r="M397" s="84"/>
      <c r="N397" s="41"/>
      <c r="O397" s="41"/>
      <c r="P397" s="84"/>
      <c r="Q397" s="84"/>
      <c r="R397" s="84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66"/>
      <c r="AU397" s="66"/>
      <c r="AV397" s="65"/>
      <c r="AW397" s="66"/>
      <c r="AX397" s="66"/>
      <c r="AY397" s="106"/>
    </row>
    <row r="398" s="31" customFormat="1" spans="2:51">
      <c r="B398" s="65"/>
      <c r="C398" s="66"/>
      <c r="D398" s="66"/>
      <c r="E398" s="67"/>
      <c r="F398" s="66"/>
      <c r="G398" s="68"/>
      <c r="H398" s="66"/>
      <c r="I398" s="66"/>
      <c r="J398" s="66"/>
      <c r="K398" s="66"/>
      <c r="L398" s="84"/>
      <c r="M398" s="84"/>
      <c r="N398" s="41"/>
      <c r="O398" s="41"/>
      <c r="P398" s="84"/>
      <c r="Q398" s="84"/>
      <c r="R398" s="84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66"/>
      <c r="AU398" s="66"/>
      <c r="AV398" s="65"/>
      <c r="AW398" s="66"/>
      <c r="AX398" s="66"/>
      <c r="AY398" s="106"/>
    </row>
    <row r="399" s="31" customFormat="1" spans="2:51">
      <c r="B399" s="65"/>
      <c r="C399" s="66"/>
      <c r="D399" s="66"/>
      <c r="E399" s="67"/>
      <c r="F399" s="66"/>
      <c r="G399" s="68"/>
      <c r="H399" s="66"/>
      <c r="I399" s="66"/>
      <c r="J399" s="66"/>
      <c r="K399" s="66"/>
      <c r="L399" s="84"/>
      <c r="M399" s="84"/>
      <c r="N399" s="41"/>
      <c r="O399" s="41"/>
      <c r="P399" s="84"/>
      <c r="Q399" s="84"/>
      <c r="R399" s="84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66"/>
      <c r="AU399" s="66"/>
      <c r="AV399" s="65"/>
      <c r="AW399" s="66"/>
      <c r="AX399" s="66"/>
      <c r="AY399" s="106"/>
    </row>
    <row r="400" s="31" customFormat="1" spans="2:51">
      <c r="B400" s="65"/>
      <c r="C400" s="66"/>
      <c r="D400" s="66"/>
      <c r="E400" s="67"/>
      <c r="F400" s="66"/>
      <c r="G400" s="68"/>
      <c r="H400" s="66"/>
      <c r="I400" s="66"/>
      <c r="J400" s="66"/>
      <c r="K400" s="66"/>
      <c r="L400" s="84"/>
      <c r="M400" s="84"/>
      <c r="N400" s="41"/>
      <c r="O400" s="41"/>
      <c r="P400" s="84"/>
      <c r="Q400" s="84"/>
      <c r="R400" s="84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66"/>
      <c r="AU400" s="66"/>
      <c r="AV400" s="65"/>
      <c r="AW400" s="66"/>
      <c r="AX400" s="66"/>
      <c r="AY400" s="106"/>
    </row>
    <row r="401" s="31" customFormat="1" spans="2:51">
      <c r="B401" s="65"/>
      <c r="C401" s="66"/>
      <c r="D401" s="66"/>
      <c r="E401" s="67"/>
      <c r="F401" s="66"/>
      <c r="G401" s="68"/>
      <c r="H401" s="66"/>
      <c r="I401" s="66"/>
      <c r="J401" s="66"/>
      <c r="K401" s="66"/>
      <c r="L401" s="84"/>
      <c r="M401" s="84"/>
      <c r="N401" s="41"/>
      <c r="O401" s="41"/>
      <c r="P401" s="84"/>
      <c r="Q401" s="84"/>
      <c r="R401" s="84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66"/>
      <c r="AU401" s="66"/>
      <c r="AV401" s="65"/>
      <c r="AW401" s="66"/>
      <c r="AX401" s="66"/>
      <c r="AY401" s="106"/>
    </row>
    <row r="402" s="31" customFormat="1" spans="2:51">
      <c r="B402" s="65"/>
      <c r="C402" s="66"/>
      <c r="D402" s="66"/>
      <c r="E402" s="67"/>
      <c r="F402" s="66"/>
      <c r="G402" s="68"/>
      <c r="H402" s="66"/>
      <c r="I402" s="66"/>
      <c r="J402" s="66"/>
      <c r="K402" s="66"/>
      <c r="L402" s="84"/>
      <c r="M402" s="84"/>
      <c r="N402" s="41"/>
      <c r="O402" s="41"/>
      <c r="P402" s="84"/>
      <c r="Q402" s="84"/>
      <c r="R402" s="84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66"/>
      <c r="AU402" s="66"/>
      <c r="AV402" s="65"/>
      <c r="AW402" s="66"/>
      <c r="AX402" s="66"/>
      <c r="AY402" s="106"/>
    </row>
    <row r="403" s="31" customFormat="1" spans="2:51">
      <c r="B403" s="65"/>
      <c r="C403" s="66"/>
      <c r="D403" s="66"/>
      <c r="E403" s="67"/>
      <c r="F403" s="66"/>
      <c r="G403" s="68"/>
      <c r="H403" s="66"/>
      <c r="I403" s="66"/>
      <c r="J403" s="66"/>
      <c r="K403" s="66"/>
      <c r="L403" s="84"/>
      <c r="M403" s="84"/>
      <c r="N403" s="41"/>
      <c r="O403" s="41"/>
      <c r="P403" s="84"/>
      <c r="Q403" s="84"/>
      <c r="R403" s="84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66"/>
      <c r="AU403" s="66"/>
      <c r="AV403" s="65"/>
      <c r="AW403" s="66"/>
      <c r="AX403" s="66"/>
      <c r="AY403" s="106"/>
    </row>
    <row r="404" s="31" customFormat="1" spans="2:51">
      <c r="B404" s="65"/>
      <c r="C404" s="66"/>
      <c r="D404" s="66"/>
      <c r="E404" s="67"/>
      <c r="F404" s="66"/>
      <c r="G404" s="68"/>
      <c r="H404" s="66"/>
      <c r="I404" s="66"/>
      <c r="J404" s="66"/>
      <c r="K404" s="66"/>
      <c r="L404" s="84"/>
      <c r="M404" s="84"/>
      <c r="N404" s="41"/>
      <c r="O404" s="41"/>
      <c r="P404" s="84"/>
      <c r="Q404" s="84"/>
      <c r="R404" s="84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66"/>
      <c r="AU404" s="66"/>
      <c r="AV404" s="65"/>
      <c r="AW404" s="66"/>
      <c r="AX404" s="66"/>
      <c r="AY404" s="106"/>
    </row>
    <row r="405" s="31" customFormat="1" spans="2:51">
      <c r="B405" s="65"/>
      <c r="C405" s="66"/>
      <c r="D405" s="66"/>
      <c r="E405" s="67"/>
      <c r="F405" s="66"/>
      <c r="G405" s="68"/>
      <c r="H405" s="66"/>
      <c r="I405" s="66"/>
      <c r="J405" s="66"/>
      <c r="K405" s="66"/>
      <c r="L405" s="84"/>
      <c r="M405" s="84"/>
      <c r="N405" s="41"/>
      <c r="O405" s="41"/>
      <c r="P405" s="84"/>
      <c r="Q405" s="84"/>
      <c r="R405" s="84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66"/>
      <c r="AU405" s="66"/>
      <c r="AV405" s="65"/>
      <c r="AW405" s="66"/>
      <c r="AX405" s="66"/>
      <c r="AY405" s="106"/>
    </row>
    <row r="406" s="31" customFormat="1" spans="2:51">
      <c r="B406" s="65"/>
      <c r="C406" s="66"/>
      <c r="D406" s="66"/>
      <c r="E406" s="67"/>
      <c r="F406" s="66"/>
      <c r="G406" s="68"/>
      <c r="H406" s="66"/>
      <c r="I406" s="66"/>
      <c r="J406" s="66"/>
      <c r="K406" s="66"/>
      <c r="L406" s="84"/>
      <c r="M406" s="84"/>
      <c r="N406" s="41"/>
      <c r="O406" s="41"/>
      <c r="P406" s="84"/>
      <c r="Q406" s="84"/>
      <c r="R406" s="84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66"/>
      <c r="AU406" s="66"/>
      <c r="AV406" s="65"/>
      <c r="AW406" s="66"/>
      <c r="AX406" s="66"/>
      <c r="AY406" s="106"/>
    </row>
    <row r="407" s="31" customFormat="1" spans="2:51">
      <c r="B407" s="65"/>
      <c r="C407" s="66"/>
      <c r="D407" s="66"/>
      <c r="E407" s="67"/>
      <c r="F407" s="66"/>
      <c r="G407" s="68"/>
      <c r="H407" s="66"/>
      <c r="I407" s="66"/>
      <c r="J407" s="66"/>
      <c r="K407" s="66"/>
      <c r="L407" s="84"/>
      <c r="M407" s="84"/>
      <c r="N407" s="41"/>
      <c r="O407" s="41"/>
      <c r="P407" s="84"/>
      <c r="Q407" s="84"/>
      <c r="R407" s="84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66"/>
      <c r="AU407" s="66"/>
      <c r="AV407" s="65"/>
      <c r="AW407" s="66"/>
      <c r="AX407" s="66"/>
      <c r="AY407" s="106"/>
    </row>
    <row r="408" s="31" customFormat="1" spans="2:51">
      <c r="B408" s="65"/>
      <c r="C408" s="66"/>
      <c r="D408" s="66"/>
      <c r="E408" s="67"/>
      <c r="F408" s="66"/>
      <c r="G408" s="68"/>
      <c r="H408" s="66"/>
      <c r="I408" s="66"/>
      <c r="J408" s="66"/>
      <c r="K408" s="66"/>
      <c r="L408" s="84"/>
      <c r="M408" s="84"/>
      <c r="N408" s="41"/>
      <c r="O408" s="41"/>
      <c r="P408" s="84"/>
      <c r="Q408" s="84"/>
      <c r="R408" s="84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66"/>
      <c r="AU408" s="66"/>
      <c r="AV408" s="65"/>
      <c r="AW408" s="66"/>
      <c r="AX408" s="66"/>
      <c r="AY408" s="106"/>
    </row>
    <row r="409" s="31" customFormat="1" spans="2:51">
      <c r="B409" s="65"/>
      <c r="C409" s="66"/>
      <c r="D409" s="66"/>
      <c r="E409" s="67"/>
      <c r="F409" s="66"/>
      <c r="G409" s="68"/>
      <c r="H409" s="66"/>
      <c r="I409" s="66"/>
      <c r="J409" s="66"/>
      <c r="K409" s="66"/>
      <c r="L409" s="84"/>
      <c r="M409" s="84"/>
      <c r="N409" s="41"/>
      <c r="O409" s="41"/>
      <c r="P409" s="84"/>
      <c r="Q409" s="84"/>
      <c r="R409" s="84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66"/>
      <c r="AU409" s="66"/>
      <c r="AV409" s="65"/>
      <c r="AW409" s="66"/>
      <c r="AX409" s="66"/>
      <c r="AY409" s="106"/>
    </row>
    <row r="410" s="31" customFormat="1" spans="2:51">
      <c r="B410" s="65"/>
      <c r="C410" s="66"/>
      <c r="D410" s="66"/>
      <c r="E410" s="67"/>
      <c r="F410" s="66"/>
      <c r="G410" s="68"/>
      <c r="H410" s="66"/>
      <c r="I410" s="66"/>
      <c r="J410" s="66"/>
      <c r="K410" s="66"/>
      <c r="L410" s="84"/>
      <c r="M410" s="84"/>
      <c r="N410" s="41"/>
      <c r="O410" s="41"/>
      <c r="P410" s="84"/>
      <c r="Q410" s="84"/>
      <c r="R410" s="84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66"/>
      <c r="AU410" s="66"/>
      <c r="AV410" s="65"/>
      <c r="AW410" s="66"/>
      <c r="AX410" s="66"/>
      <c r="AY410" s="106"/>
    </row>
    <row r="411" s="31" customFormat="1" spans="2:51">
      <c r="B411" s="65"/>
      <c r="C411" s="66"/>
      <c r="D411" s="66"/>
      <c r="E411" s="67"/>
      <c r="F411" s="66"/>
      <c r="G411" s="68"/>
      <c r="H411" s="66"/>
      <c r="I411" s="66"/>
      <c r="J411" s="66"/>
      <c r="K411" s="66"/>
      <c r="L411" s="84"/>
      <c r="M411" s="84"/>
      <c r="N411" s="41"/>
      <c r="O411" s="41"/>
      <c r="P411" s="84"/>
      <c r="Q411" s="84"/>
      <c r="R411" s="84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66"/>
      <c r="AU411" s="66"/>
      <c r="AV411" s="65"/>
      <c r="AW411" s="66"/>
      <c r="AX411" s="66"/>
      <c r="AY411" s="106"/>
    </row>
    <row r="412" s="31" customFormat="1" spans="2:51">
      <c r="B412" s="65"/>
      <c r="C412" s="66"/>
      <c r="D412" s="66"/>
      <c r="E412" s="67"/>
      <c r="F412" s="66"/>
      <c r="G412" s="68"/>
      <c r="H412" s="66"/>
      <c r="I412" s="66"/>
      <c r="J412" s="66"/>
      <c r="K412" s="66"/>
      <c r="L412" s="84"/>
      <c r="M412" s="84"/>
      <c r="N412" s="41"/>
      <c r="O412" s="41"/>
      <c r="P412" s="84"/>
      <c r="Q412" s="84"/>
      <c r="R412" s="84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66"/>
      <c r="AU412" s="66"/>
      <c r="AV412" s="65"/>
      <c r="AW412" s="66"/>
      <c r="AX412" s="66"/>
      <c r="AY412" s="106"/>
    </row>
    <row r="413" s="31" customFormat="1" spans="2:51">
      <c r="B413" s="65"/>
      <c r="C413" s="66"/>
      <c r="D413" s="66"/>
      <c r="E413" s="67"/>
      <c r="F413" s="66"/>
      <c r="G413" s="68"/>
      <c r="H413" s="66"/>
      <c r="I413" s="66"/>
      <c r="J413" s="66"/>
      <c r="K413" s="66"/>
      <c r="L413" s="84"/>
      <c r="M413" s="84"/>
      <c r="N413" s="41"/>
      <c r="O413" s="41"/>
      <c r="P413" s="84"/>
      <c r="Q413" s="84"/>
      <c r="R413" s="84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66"/>
      <c r="AU413" s="66"/>
      <c r="AV413" s="65"/>
      <c r="AW413" s="66"/>
      <c r="AX413" s="66"/>
      <c r="AY413" s="106"/>
    </row>
    <row r="414" s="31" customFormat="1" spans="2:51">
      <c r="B414" s="65"/>
      <c r="C414" s="66"/>
      <c r="D414" s="66"/>
      <c r="E414" s="67"/>
      <c r="F414" s="66"/>
      <c r="G414" s="68"/>
      <c r="H414" s="66"/>
      <c r="I414" s="66"/>
      <c r="J414" s="66"/>
      <c r="K414" s="66"/>
      <c r="L414" s="84"/>
      <c r="M414" s="84"/>
      <c r="N414" s="41"/>
      <c r="O414" s="41"/>
      <c r="P414" s="84"/>
      <c r="Q414" s="84"/>
      <c r="R414" s="84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66"/>
      <c r="AU414" s="66"/>
      <c r="AV414" s="65"/>
      <c r="AW414" s="66"/>
      <c r="AX414" s="66"/>
      <c r="AY414" s="106"/>
    </row>
    <row r="415" s="31" customFormat="1" spans="2:51">
      <c r="B415" s="65"/>
      <c r="C415" s="66"/>
      <c r="D415" s="66"/>
      <c r="E415" s="67"/>
      <c r="F415" s="66"/>
      <c r="G415" s="68"/>
      <c r="H415" s="66"/>
      <c r="I415" s="66"/>
      <c r="J415" s="66"/>
      <c r="K415" s="66"/>
      <c r="L415" s="84"/>
      <c r="M415" s="84"/>
      <c r="N415" s="41"/>
      <c r="O415" s="41"/>
      <c r="P415" s="84"/>
      <c r="Q415" s="84"/>
      <c r="R415" s="84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66"/>
      <c r="AU415" s="66"/>
      <c r="AV415" s="65"/>
      <c r="AW415" s="66"/>
      <c r="AX415" s="66"/>
      <c r="AY415" s="106"/>
    </row>
    <row r="416" s="31" customFormat="1" spans="2:51">
      <c r="B416" s="65"/>
      <c r="C416" s="66"/>
      <c r="D416" s="66"/>
      <c r="E416" s="67"/>
      <c r="F416" s="66"/>
      <c r="G416" s="68"/>
      <c r="H416" s="66"/>
      <c r="I416" s="66"/>
      <c r="J416" s="66"/>
      <c r="K416" s="66"/>
      <c r="L416" s="84"/>
      <c r="M416" s="84"/>
      <c r="N416" s="41"/>
      <c r="O416" s="41"/>
      <c r="P416" s="84"/>
      <c r="Q416" s="84"/>
      <c r="R416" s="84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66"/>
      <c r="AU416" s="66"/>
      <c r="AV416" s="65"/>
      <c r="AW416" s="66"/>
      <c r="AX416" s="66"/>
      <c r="AY416" s="106"/>
    </row>
    <row r="417" s="31" customFormat="1" spans="2:51">
      <c r="B417" s="65"/>
      <c r="C417" s="66"/>
      <c r="D417" s="66"/>
      <c r="E417" s="67"/>
      <c r="F417" s="66"/>
      <c r="G417" s="68"/>
      <c r="H417" s="66"/>
      <c r="I417" s="66"/>
      <c r="J417" s="66"/>
      <c r="K417" s="66"/>
      <c r="L417" s="84"/>
      <c r="M417" s="84"/>
      <c r="N417" s="41"/>
      <c r="O417" s="41"/>
      <c r="P417" s="84"/>
      <c r="Q417" s="84"/>
      <c r="R417" s="84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66"/>
      <c r="AU417" s="66"/>
      <c r="AV417" s="65"/>
      <c r="AW417" s="66"/>
      <c r="AX417" s="66"/>
      <c r="AY417" s="106"/>
    </row>
    <row r="418" s="31" customFormat="1" spans="2:51">
      <c r="B418" s="65"/>
      <c r="C418" s="66"/>
      <c r="D418" s="66"/>
      <c r="E418" s="67"/>
      <c r="F418" s="66"/>
      <c r="G418" s="68"/>
      <c r="H418" s="66"/>
      <c r="I418" s="66"/>
      <c r="J418" s="66"/>
      <c r="K418" s="66"/>
      <c r="L418" s="84"/>
      <c r="M418" s="84"/>
      <c r="N418" s="41"/>
      <c r="O418" s="41"/>
      <c r="P418" s="84"/>
      <c r="Q418" s="84"/>
      <c r="R418" s="84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66"/>
      <c r="AU418" s="66"/>
      <c r="AV418" s="65"/>
      <c r="AW418" s="66"/>
      <c r="AX418" s="66"/>
      <c r="AY418" s="106"/>
    </row>
    <row r="419" s="31" customFormat="1" spans="2:51">
      <c r="B419" s="65"/>
      <c r="C419" s="66"/>
      <c r="D419" s="66"/>
      <c r="E419" s="67"/>
      <c r="F419" s="66"/>
      <c r="G419" s="68"/>
      <c r="H419" s="66"/>
      <c r="I419" s="66"/>
      <c r="J419" s="66"/>
      <c r="K419" s="66"/>
      <c r="L419" s="84"/>
      <c r="M419" s="84"/>
      <c r="N419" s="41"/>
      <c r="O419" s="41"/>
      <c r="P419" s="84"/>
      <c r="Q419" s="84"/>
      <c r="R419" s="84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66"/>
      <c r="AU419" s="66"/>
      <c r="AV419" s="65"/>
      <c r="AW419" s="66"/>
      <c r="AX419" s="66"/>
      <c r="AY419" s="106"/>
    </row>
    <row r="420" s="31" customFormat="1" spans="2:51">
      <c r="B420" s="65"/>
      <c r="C420" s="66"/>
      <c r="D420" s="66"/>
      <c r="E420" s="67"/>
      <c r="F420" s="66"/>
      <c r="G420" s="68"/>
      <c r="H420" s="66"/>
      <c r="I420" s="66"/>
      <c r="J420" s="66"/>
      <c r="K420" s="66"/>
      <c r="L420" s="84"/>
      <c r="M420" s="84"/>
      <c r="N420" s="41"/>
      <c r="O420" s="41"/>
      <c r="P420" s="84"/>
      <c r="Q420" s="84"/>
      <c r="R420" s="84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66"/>
      <c r="AU420" s="66"/>
      <c r="AV420" s="65"/>
      <c r="AW420" s="66"/>
      <c r="AX420" s="66"/>
      <c r="AY420" s="106"/>
    </row>
    <row r="421" s="31" customFormat="1" spans="2:51">
      <c r="B421" s="65"/>
      <c r="C421" s="66"/>
      <c r="D421" s="66"/>
      <c r="E421" s="67"/>
      <c r="F421" s="66"/>
      <c r="G421" s="68"/>
      <c r="H421" s="66"/>
      <c r="I421" s="66"/>
      <c r="J421" s="66"/>
      <c r="K421" s="66"/>
      <c r="L421" s="84"/>
      <c r="M421" s="84"/>
      <c r="N421" s="41"/>
      <c r="O421" s="41"/>
      <c r="P421" s="84"/>
      <c r="Q421" s="84"/>
      <c r="R421" s="84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66"/>
      <c r="AU421" s="66"/>
      <c r="AV421" s="65"/>
      <c r="AW421" s="66"/>
      <c r="AX421" s="66"/>
      <c r="AY421" s="106"/>
    </row>
    <row r="422" s="31" customFormat="1" spans="2:51">
      <c r="B422" s="65"/>
      <c r="C422" s="66"/>
      <c r="D422" s="66"/>
      <c r="E422" s="67"/>
      <c r="F422" s="66"/>
      <c r="G422" s="68"/>
      <c r="H422" s="66"/>
      <c r="I422" s="66"/>
      <c r="J422" s="66"/>
      <c r="K422" s="66"/>
      <c r="L422" s="84"/>
      <c r="M422" s="84"/>
      <c r="N422" s="41"/>
      <c r="O422" s="41"/>
      <c r="P422" s="84"/>
      <c r="Q422" s="84"/>
      <c r="R422" s="84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66"/>
      <c r="AU422" s="66"/>
      <c r="AV422" s="65"/>
      <c r="AW422" s="66"/>
      <c r="AX422" s="66"/>
      <c r="AY422" s="106"/>
    </row>
    <row r="423" s="31" customFormat="1" spans="2:51">
      <c r="B423" s="65"/>
      <c r="C423" s="66"/>
      <c r="D423" s="66"/>
      <c r="E423" s="67"/>
      <c r="F423" s="66"/>
      <c r="G423" s="68"/>
      <c r="H423" s="66"/>
      <c r="I423" s="66"/>
      <c r="J423" s="66"/>
      <c r="K423" s="66"/>
      <c r="L423" s="84"/>
      <c r="M423" s="84"/>
      <c r="N423" s="41"/>
      <c r="O423" s="41"/>
      <c r="P423" s="84"/>
      <c r="Q423" s="84"/>
      <c r="R423" s="84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66"/>
      <c r="AU423" s="66"/>
      <c r="AV423" s="65"/>
      <c r="AW423" s="66"/>
      <c r="AX423" s="66"/>
      <c r="AY423" s="106"/>
    </row>
    <row r="424" s="31" customFormat="1" spans="2:51">
      <c r="B424" s="65"/>
      <c r="C424" s="66"/>
      <c r="D424" s="66"/>
      <c r="E424" s="67"/>
      <c r="F424" s="66"/>
      <c r="G424" s="68"/>
      <c r="H424" s="66"/>
      <c r="I424" s="66"/>
      <c r="J424" s="66"/>
      <c r="K424" s="66"/>
      <c r="L424" s="84"/>
      <c r="M424" s="84"/>
      <c r="N424" s="41"/>
      <c r="O424" s="41"/>
      <c r="P424" s="84"/>
      <c r="Q424" s="84"/>
      <c r="R424" s="84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66"/>
      <c r="AU424" s="66"/>
      <c r="AV424" s="65"/>
      <c r="AW424" s="66"/>
      <c r="AX424" s="66"/>
      <c r="AY424" s="106"/>
    </row>
    <row r="425" s="31" customFormat="1" spans="2:51">
      <c r="B425" s="65"/>
      <c r="C425" s="66"/>
      <c r="D425" s="66"/>
      <c r="E425" s="67"/>
      <c r="F425" s="66"/>
      <c r="G425" s="68"/>
      <c r="H425" s="66"/>
      <c r="I425" s="66"/>
      <c r="J425" s="66"/>
      <c r="K425" s="66"/>
      <c r="L425" s="84"/>
      <c r="M425" s="84"/>
      <c r="N425" s="41"/>
      <c r="O425" s="41"/>
      <c r="P425" s="84"/>
      <c r="Q425" s="84"/>
      <c r="R425" s="84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66"/>
      <c r="AU425" s="66"/>
      <c r="AV425" s="65"/>
      <c r="AW425" s="66"/>
      <c r="AX425" s="66"/>
      <c r="AY425" s="106"/>
    </row>
    <row r="426" s="31" customFormat="1" spans="2:51">
      <c r="B426" s="65"/>
      <c r="C426" s="66"/>
      <c r="D426" s="66"/>
      <c r="E426" s="67"/>
      <c r="F426" s="66"/>
      <c r="G426" s="68"/>
      <c r="H426" s="66"/>
      <c r="I426" s="66"/>
      <c r="J426" s="66"/>
      <c r="K426" s="66"/>
      <c r="L426" s="84"/>
      <c r="M426" s="84"/>
      <c r="N426" s="41"/>
      <c r="O426" s="41"/>
      <c r="P426" s="84"/>
      <c r="Q426" s="84"/>
      <c r="R426" s="84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66"/>
      <c r="AU426" s="66"/>
      <c r="AV426" s="65"/>
      <c r="AW426" s="66"/>
      <c r="AX426" s="66"/>
      <c r="AY426" s="106"/>
    </row>
    <row r="427" s="31" customFormat="1" spans="2:51">
      <c r="B427" s="65"/>
      <c r="C427" s="66"/>
      <c r="D427" s="66"/>
      <c r="E427" s="67"/>
      <c r="F427" s="66"/>
      <c r="G427" s="68"/>
      <c r="H427" s="66"/>
      <c r="I427" s="66"/>
      <c r="J427" s="66"/>
      <c r="K427" s="66"/>
      <c r="L427" s="84"/>
      <c r="M427" s="84"/>
      <c r="N427" s="41"/>
      <c r="O427" s="41"/>
      <c r="P427" s="84"/>
      <c r="Q427" s="84"/>
      <c r="R427" s="84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66"/>
      <c r="AU427" s="66"/>
      <c r="AV427" s="65"/>
      <c r="AW427" s="66"/>
      <c r="AX427" s="66"/>
      <c r="AY427" s="106"/>
    </row>
    <row r="428" s="31" customFormat="1" spans="2:51">
      <c r="B428" s="65"/>
      <c r="C428" s="66"/>
      <c r="D428" s="66"/>
      <c r="E428" s="67"/>
      <c r="F428" s="66"/>
      <c r="G428" s="68"/>
      <c r="H428" s="66"/>
      <c r="I428" s="66"/>
      <c r="J428" s="66"/>
      <c r="K428" s="66"/>
      <c r="L428" s="84"/>
      <c r="M428" s="84"/>
      <c r="N428" s="41"/>
      <c r="O428" s="41"/>
      <c r="P428" s="84"/>
      <c r="Q428" s="84"/>
      <c r="R428" s="84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66"/>
      <c r="AU428" s="66"/>
      <c r="AV428" s="65"/>
      <c r="AW428" s="66"/>
      <c r="AX428" s="66"/>
      <c r="AY428" s="106"/>
    </row>
    <row r="429" s="31" customFormat="1" spans="2:51">
      <c r="B429" s="65"/>
      <c r="C429" s="66"/>
      <c r="D429" s="66"/>
      <c r="E429" s="67"/>
      <c r="F429" s="66"/>
      <c r="G429" s="68"/>
      <c r="H429" s="66"/>
      <c r="I429" s="66"/>
      <c r="J429" s="66"/>
      <c r="K429" s="66"/>
      <c r="L429" s="84"/>
      <c r="M429" s="84"/>
      <c r="N429" s="41"/>
      <c r="O429" s="41"/>
      <c r="P429" s="84"/>
      <c r="Q429" s="84"/>
      <c r="R429" s="84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66"/>
      <c r="AU429" s="66"/>
      <c r="AV429" s="65"/>
      <c r="AW429" s="66"/>
      <c r="AX429" s="66"/>
      <c r="AY429" s="106"/>
    </row>
    <row r="430" s="31" customFormat="1" spans="2:51">
      <c r="B430" s="65"/>
      <c r="C430" s="66"/>
      <c r="D430" s="66"/>
      <c r="E430" s="67"/>
      <c r="F430" s="66"/>
      <c r="G430" s="68"/>
      <c r="H430" s="66"/>
      <c r="I430" s="66"/>
      <c r="J430" s="66"/>
      <c r="K430" s="66"/>
      <c r="L430" s="84"/>
      <c r="M430" s="84"/>
      <c r="N430" s="41"/>
      <c r="O430" s="41"/>
      <c r="P430" s="84"/>
      <c r="Q430" s="84"/>
      <c r="R430" s="84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  <c r="AO430" s="66"/>
      <c r="AP430" s="66"/>
      <c r="AQ430" s="66"/>
      <c r="AR430" s="66"/>
      <c r="AS430" s="66"/>
      <c r="AT430" s="66"/>
      <c r="AU430" s="66"/>
      <c r="AV430" s="65"/>
      <c r="AW430" s="66"/>
      <c r="AX430" s="66"/>
      <c r="AY430" s="106"/>
    </row>
    <row r="431" s="31" customFormat="1" spans="2:51">
      <c r="B431" s="65"/>
      <c r="C431" s="66"/>
      <c r="D431" s="66"/>
      <c r="E431" s="67"/>
      <c r="F431" s="66"/>
      <c r="G431" s="68"/>
      <c r="H431" s="66"/>
      <c r="I431" s="66"/>
      <c r="J431" s="66"/>
      <c r="K431" s="66"/>
      <c r="L431" s="84"/>
      <c r="M431" s="84"/>
      <c r="N431" s="41"/>
      <c r="O431" s="41"/>
      <c r="P431" s="84"/>
      <c r="Q431" s="84"/>
      <c r="R431" s="84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66"/>
      <c r="AU431" s="66"/>
      <c r="AV431" s="65"/>
      <c r="AW431" s="66"/>
      <c r="AX431" s="66"/>
      <c r="AY431" s="106"/>
    </row>
    <row r="432" s="31" customFormat="1" spans="2:51">
      <c r="B432" s="65"/>
      <c r="C432" s="66"/>
      <c r="D432" s="66"/>
      <c r="E432" s="67"/>
      <c r="F432" s="66"/>
      <c r="G432" s="68"/>
      <c r="H432" s="66"/>
      <c r="I432" s="66"/>
      <c r="J432" s="66"/>
      <c r="K432" s="66"/>
      <c r="L432" s="84"/>
      <c r="M432" s="84"/>
      <c r="N432" s="41"/>
      <c r="O432" s="41"/>
      <c r="P432" s="84"/>
      <c r="Q432" s="84"/>
      <c r="R432" s="84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66"/>
      <c r="AU432" s="66"/>
      <c r="AV432" s="65"/>
      <c r="AW432" s="66"/>
      <c r="AX432" s="66"/>
      <c r="AY432" s="106"/>
    </row>
    <row r="433" s="31" customFormat="1" spans="2:51">
      <c r="B433" s="65"/>
      <c r="C433" s="66"/>
      <c r="D433" s="66"/>
      <c r="E433" s="67"/>
      <c r="F433" s="66"/>
      <c r="G433" s="68"/>
      <c r="H433" s="66"/>
      <c r="I433" s="66"/>
      <c r="J433" s="66"/>
      <c r="K433" s="66"/>
      <c r="L433" s="84"/>
      <c r="M433" s="84"/>
      <c r="N433" s="41"/>
      <c r="O433" s="41"/>
      <c r="P433" s="84"/>
      <c r="Q433" s="84"/>
      <c r="R433" s="84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66"/>
      <c r="AU433" s="66"/>
      <c r="AV433" s="65"/>
      <c r="AW433" s="66"/>
      <c r="AX433" s="66"/>
      <c r="AY433" s="106"/>
    </row>
    <row r="434" s="31" customFormat="1" spans="2:51">
      <c r="B434" s="65"/>
      <c r="C434" s="66"/>
      <c r="D434" s="66"/>
      <c r="E434" s="67"/>
      <c r="F434" s="66"/>
      <c r="G434" s="68"/>
      <c r="H434" s="66"/>
      <c r="I434" s="66"/>
      <c r="J434" s="66"/>
      <c r="K434" s="66"/>
      <c r="L434" s="84"/>
      <c r="M434" s="84"/>
      <c r="N434" s="41"/>
      <c r="O434" s="41"/>
      <c r="P434" s="84"/>
      <c r="Q434" s="84"/>
      <c r="R434" s="84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  <c r="AO434" s="66"/>
      <c r="AP434" s="66"/>
      <c r="AQ434" s="66"/>
      <c r="AR434" s="66"/>
      <c r="AS434" s="66"/>
      <c r="AT434" s="66"/>
      <c r="AU434" s="66"/>
      <c r="AV434" s="65"/>
      <c r="AW434" s="66"/>
      <c r="AX434" s="66"/>
      <c r="AY434" s="106"/>
    </row>
    <row r="435" s="31" customFormat="1" spans="2:51">
      <c r="B435" s="65"/>
      <c r="C435" s="66"/>
      <c r="D435" s="66"/>
      <c r="E435" s="67"/>
      <c r="F435" s="66"/>
      <c r="G435" s="68"/>
      <c r="H435" s="66"/>
      <c r="I435" s="66"/>
      <c r="J435" s="66"/>
      <c r="K435" s="66"/>
      <c r="L435" s="84"/>
      <c r="M435" s="84"/>
      <c r="N435" s="41"/>
      <c r="O435" s="41"/>
      <c r="P435" s="84"/>
      <c r="Q435" s="84"/>
      <c r="R435" s="84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66"/>
      <c r="AU435" s="66"/>
      <c r="AV435" s="65"/>
      <c r="AW435" s="66"/>
      <c r="AX435" s="66"/>
      <c r="AY435" s="106"/>
    </row>
    <row r="436" s="31" customFormat="1" spans="2:51">
      <c r="B436" s="65"/>
      <c r="C436" s="66"/>
      <c r="D436" s="66"/>
      <c r="E436" s="67"/>
      <c r="F436" s="66"/>
      <c r="G436" s="68"/>
      <c r="H436" s="66"/>
      <c r="I436" s="66"/>
      <c r="J436" s="66"/>
      <c r="K436" s="66"/>
      <c r="L436" s="84"/>
      <c r="M436" s="84"/>
      <c r="N436" s="41"/>
      <c r="O436" s="41"/>
      <c r="P436" s="84"/>
      <c r="Q436" s="84"/>
      <c r="R436" s="84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66"/>
      <c r="AU436" s="66"/>
      <c r="AV436" s="65"/>
      <c r="AW436" s="66"/>
      <c r="AX436" s="66"/>
      <c r="AY436" s="106"/>
    </row>
    <row r="437" s="31" customFormat="1" spans="2:51">
      <c r="B437" s="65"/>
      <c r="C437" s="66"/>
      <c r="D437" s="66"/>
      <c r="E437" s="67"/>
      <c r="F437" s="66"/>
      <c r="G437" s="68"/>
      <c r="H437" s="66"/>
      <c r="I437" s="66"/>
      <c r="J437" s="66"/>
      <c r="K437" s="66"/>
      <c r="L437" s="84"/>
      <c r="M437" s="84"/>
      <c r="N437" s="41"/>
      <c r="O437" s="41"/>
      <c r="P437" s="84"/>
      <c r="Q437" s="84"/>
      <c r="R437" s="84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66"/>
      <c r="AU437" s="66"/>
      <c r="AV437" s="65"/>
      <c r="AW437" s="66"/>
      <c r="AX437" s="66"/>
      <c r="AY437" s="106"/>
    </row>
    <row r="438" s="31" customFormat="1" spans="2:51">
      <c r="B438" s="65"/>
      <c r="C438" s="66"/>
      <c r="D438" s="66"/>
      <c r="E438" s="67"/>
      <c r="F438" s="66"/>
      <c r="G438" s="68"/>
      <c r="H438" s="66"/>
      <c r="I438" s="66"/>
      <c r="J438" s="66"/>
      <c r="K438" s="66"/>
      <c r="L438" s="84"/>
      <c r="M438" s="84"/>
      <c r="N438" s="41"/>
      <c r="O438" s="41"/>
      <c r="P438" s="84"/>
      <c r="Q438" s="84"/>
      <c r="R438" s="84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66"/>
      <c r="AU438" s="66"/>
      <c r="AV438" s="65"/>
      <c r="AW438" s="66"/>
      <c r="AX438" s="66"/>
      <c r="AY438" s="106"/>
    </row>
    <row r="439" s="31" customFormat="1" spans="2:51">
      <c r="B439" s="65"/>
      <c r="C439" s="66"/>
      <c r="D439" s="66"/>
      <c r="E439" s="67"/>
      <c r="F439" s="66"/>
      <c r="G439" s="68"/>
      <c r="H439" s="66"/>
      <c r="I439" s="66"/>
      <c r="J439" s="66"/>
      <c r="K439" s="66"/>
      <c r="L439" s="84"/>
      <c r="M439" s="84"/>
      <c r="N439" s="41"/>
      <c r="O439" s="41"/>
      <c r="P439" s="84"/>
      <c r="Q439" s="84"/>
      <c r="R439" s="84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66"/>
      <c r="AU439" s="66"/>
      <c r="AV439" s="65"/>
      <c r="AW439" s="66"/>
      <c r="AX439" s="66"/>
      <c r="AY439" s="106"/>
    </row>
    <row r="440" s="31" customFormat="1" spans="2:51">
      <c r="B440" s="65"/>
      <c r="C440" s="66"/>
      <c r="D440" s="66"/>
      <c r="E440" s="67"/>
      <c r="F440" s="66"/>
      <c r="G440" s="68"/>
      <c r="H440" s="66"/>
      <c r="I440" s="66"/>
      <c r="J440" s="66"/>
      <c r="K440" s="66"/>
      <c r="L440" s="84"/>
      <c r="M440" s="84"/>
      <c r="N440" s="41"/>
      <c r="O440" s="41"/>
      <c r="P440" s="84"/>
      <c r="Q440" s="84"/>
      <c r="R440" s="84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66"/>
      <c r="AU440" s="66"/>
      <c r="AV440" s="65"/>
      <c r="AW440" s="66"/>
      <c r="AX440" s="66"/>
      <c r="AY440" s="106"/>
    </row>
    <row r="441" s="31" customFormat="1" spans="2:51">
      <c r="B441" s="65"/>
      <c r="C441" s="66"/>
      <c r="D441" s="66"/>
      <c r="E441" s="67"/>
      <c r="F441" s="66"/>
      <c r="G441" s="68"/>
      <c r="H441" s="66"/>
      <c r="I441" s="66"/>
      <c r="J441" s="66"/>
      <c r="K441" s="66"/>
      <c r="L441" s="84"/>
      <c r="M441" s="84"/>
      <c r="N441" s="41"/>
      <c r="O441" s="41"/>
      <c r="P441" s="84"/>
      <c r="Q441" s="84"/>
      <c r="R441" s="84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66"/>
      <c r="AU441" s="66"/>
      <c r="AV441" s="65"/>
      <c r="AW441" s="66"/>
      <c r="AX441" s="66"/>
      <c r="AY441" s="106"/>
    </row>
    <row r="442" s="31" customFormat="1" spans="2:51">
      <c r="B442" s="65"/>
      <c r="C442" s="66"/>
      <c r="D442" s="66"/>
      <c r="E442" s="67"/>
      <c r="F442" s="66"/>
      <c r="G442" s="68"/>
      <c r="H442" s="66"/>
      <c r="I442" s="66"/>
      <c r="J442" s="66"/>
      <c r="K442" s="66"/>
      <c r="L442" s="84"/>
      <c r="M442" s="84"/>
      <c r="N442" s="41"/>
      <c r="O442" s="41"/>
      <c r="P442" s="84"/>
      <c r="Q442" s="84"/>
      <c r="R442" s="84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66"/>
      <c r="AU442" s="66"/>
      <c r="AV442" s="65"/>
      <c r="AW442" s="66"/>
      <c r="AX442" s="66"/>
      <c r="AY442" s="106"/>
    </row>
    <row r="443" s="31" customFormat="1" spans="2:51">
      <c r="B443" s="65"/>
      <c r="C443" s="66"/>
      <c r="D443" s="66"/>
      <c r="E443" s="67"/>
      <c r="F443" s="66"/>
      <c r="G443" s="68"/>
      <c r="H443" s="66"/>
      <c r="I443" s="66"/>
      <c r="J443" s="66"/>
      <c r="K443" s="66"/>
      <c r="L443" s="84"/>
      <c r="M443" s="84"/>
      <c r="N443" s="41"/>
      <c r="O443" s="41"/>
      <c r="P443" s="84"/>
      <c r="Q443" s="84"/>
      <c r="R443" s="84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66"/>
      <c r="AU443" s="66"/>
      <c r="AV443" s="65"/>
      <c r="AW443" s="66"/>
      <c r="AX443" s="66"/>
      <c r="AY443" s="106"/>
    </row>
    <row r="444" s="31" customFormat="1" spans="2:51">
      <c r="B444" s="65"/>
      <c r="C444" s="66"/>
      <c r="D444" s="66"/>
      <c r="E444" s="67"/>
      <c r="F444" s="66"/>
      <c r="G444" s="68"/>
      <c r="H444" s="66"/>
      <c r="I444" s="66"/>
      <c r="J444" s="66"/>
      <c r="K444" s="66"/>
      <c r="L444" s="84"/>
      <c r="M444" s="84"/>
      <c r="N444" s="41"/>
      <c r="O444" s="41"/>
      <c r="P444" s="84"/>
      <c r="Q444" s="84"/>
      <c r="R444" s="84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66"/>
      <c r="AU444" s="66"/>
      <c r="AV444" s="65"/>
      <c r="AW444" s="66"/>
      <c r="AX444" s="66"/>
      <c r="AY444" s="106"/>
    </row>
    <row r="445" s="31" customFormat="1" spans="2:51">
      <c r="B445" s="65"/>
      <c r="C445" s="66"/>
      <c r="D445" s="66"/>
      <c r="E445" s="67"/>
      <c r="F445" s="66"/>
      <c r="G445" s="68"/>
      <c r="H445" s="66"/>
      <c r="I445" s="66"/>
      <c r="J445" s="66"/>
      <c r="K445" s="66"/>
      <c r="L445" s="84"/>
      <c r="M445" s="84"/>
      <c r="N445" s="41"/>
      <c r="O445" s="41"/>
      <c r="P445" s="84"/>
      <c r="Q445" s="84"/>
      <c r="R445" s="84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66"/>
      <c r="AU445" s="66"/>
      <c r="AV445" s="65"/>
      <c r="AW445" s="66"/>
      <c r="AX445" s="66"/>
      <c r="AY445" s="106"/>
    </row>
    <row r="446" s="31" customFormat="1" spans="2:51">
      <c r="B446" s="65"/>
      <c r="C446" s="66"/>
      <c r="D446" s="66"/>
      <c r="E446" s="67"/>
      <c r="F446" s="66"/>
      <c r="G446" s="68"/>
      <c r="H446" s="66"/>
      <c r="I446" s="66"/>
      <c r="J446" s="66"/>
      <c r="K446" s="66"/>
      <c r="L446" s="84"/>
      <c r="M446" s="84"/>
      <c r="N446" s="41"/>
      <c r="O446" s="41"/>
      <c r="P446" s="84"/>
      <c r="Q446" s="84"/>
      <c r="R446" s="84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66"/>
      <c r="AU446" s="66"/>
      <c r="AV446" s="65"/>
      <c r="AW446" s="66"/>
      <c r="AX446" s="66"/>
      <c r="AY446" s="106"/>
    </row>
    <row r="447" s="31" customFormat="1" spans="2:51">
      <c r="B447" s="65"/>
      <c r="C447" s="66"/>
      <c r="D447" s="66"/>
      <c r="E447" s="67"/>
      <c r="F447" s="66"/>
      <c r="G447" s="68"/>
      <c r="H447" s="66"/>
      <c r="I447" s="66"/>
      <c r="J447" s="66"/>
      <c r="K447" s="66"/>
      <c r="L447" s="84"/>
      <c r="M447" s="84"/>
      <c r="N447" s="41"/>
      <c r="O447" s="41"/>
      <c r="P447" s="84"/>
      <c r="Q447" s="84"/>
      <c r="R447" s="84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66"/>
      <c r="AU447" s="66"/>
      <c r="AV447" s="65"/>
      <c r="AW447" s="66"/>
      <c r="AX447" s="66"/>
      <c r="AY447" s="106"/>
    </row>
    <row r="448" s="31" customFormat="1" spans="2:51">
      <c r="B448" s="65"/>
      <c r="C448" s="66"/>
      <c r="D448" s="66"/>
      <c r="E448" s="67"/>
      <c r="F448" s="66"/>
      <c r="G448" s="68"/>
      <c r="H448" s="66"/>
      <c r="I448" s="66"/>
      <c r="J448" s="66"/>
      <c r="K448" s="66"/>
      <c r="L448" s="84"/>
      <c r="M448" s="84"/>
      <c r="N448" s="41"/>
      <c r="O448" s="41"/>
      <c r="P448" s="84"/>
      <c r="Q448" s="84"/>
      <c r="R448" s="84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66"/>
      <c r="AU448" s="66"/>
      <c r="AV448" s="65"/>
      <c r="AW448" s="66"/>
      <c r="AX448" s="66"/>
      <c r="AY448" s="106"/>
    </row>
    <row r="449" s="31" customFormat="1" spans="2:51">
      <c r="B449" s="65"/>
      <c r="C449" s="66"/>
      <c r="D449" s="66"/>
      <c r="E449" s="67"/>
      <c r="F449" s="66"/>
      <c r="G449" s="68"/>
      <c r="H449" s="66"/>
      <c r="I449" s="66"/>
      <c r="J449" s="66"/>
      <c r="K449" s="66"/>
      <c r="L449" s="84"/>
      <c r="M449" s="84"/>
      <c r="N449" s="41"/>
      <c r="O449" s="41"/>
      <c r="P449" s="84"/>
      <c r="Q449" s="84"/>
      <c r="R449" s="84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66"/>
      <c r="AU449" s="66"/>
      <c r="AV449" s="65"/>
      <c r="AW449" s="66"/>
      <c r="AX449" s="66"/>
      <c r="AY449" s="106"/>
    </row>
    <row r="450" s="31" customFormat="1" spans="2:51">
      <c r="B450" s="65"/>
      <c r="C450" s="66"/>
      <c r="D450" s="66"/>
      <c r="E450" s="67"/>
      <c r="F450" s="66"/>
      <c r="G450" s="68"/>
      <c r="H450" s="66"/>
      <c r="I450" s="66"/>
      <c r="J450" s="66"/>
      <c r="K450" s="66"/>
      <c r="L450" s="84"/>
      <c r="M450" s="84"/>
      <c r="N450" s="41"/>
      <c r="O450" s="41"/>
      <c r="P450" s="84"/>
      <c r="Q450" s="84"/>
      <c r="R450" s="84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66"/>
      <c r="AU450" s="66"/>
      <c r="AV450" s="65"/>
      <c r="AW450" s="66"/>
      <c r="AX450" s="66"/>
      <c r="AY450" s="106"/>
    </row>
    <row r="451" s="31" customFormat="1" spans="2:51">
      <c r="B451" s="65"/>
      <c r="C451" s="66"/>
      <c r="D451" s="66"/>
      <c r="E451" s="67"/>
      <c r="F451" s="66"/>
      <c r="G451" s="68"/>
      <c r="H451" s="66"/>
      <c r="I451" s="66"/>
      <c r="J451" s="66"/>
      <c r="K451" s="66"/>
      <c r="L451" s="84"/>
      <c r="M451" s="84"/>
      <c r="N451" s="41"/>
      <c r="O451" s="41"/>
      <c r="P451" s="84"/>
      <c r="Q451" s="84"/>
      <c r="R451" s="84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66"/>
      <c r="AU451" s="66"/>
      <c r="AV451" s="65"/>
      <c r="AW451" s="66"/>
      <c r="AX451" s="66"/>
      <c r="AY451" s="106"/>
    </row>
    <row r="452" s="31" customFormat="1" spans="2:51">
      <c r="B452" s="65"/>
      <c r="C452" s="66"/>
      <c r="D452" s="66"/>
      <c r="E452" s="67"/>
      <c r="F452" s="66"/>
      <c r="G452" s="68"/>
      <c r="H452" s="66"/>
      <c r="I452" s="66"/>
      <c r="J452" s="66"/>
      <c r="K452" s="66"/>
      <c r="L452" s="84"/>
      <c r="M452" s="84"/>
      <c r="N452" s="41"/>
      <c r="O452" s="41"/>
      <c r="P452" s="84"/>
      <c r="Q452" s="84"/>
      <c r="R452" s="84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66"/>
      <c r="AU452" s="66"/>
      <c r="AV452" s="65"/>
      <c r="AW452" s="66"/>
      <c r="AX452" s="66"/>
      <c r="AY452" s="106"/>
    </row>
    <row r="453" s="31" customFormat="1" spans="2:51">
      <c r="B453" s="65"/>
      <c r="C453" s="66"/>
      <c r="D453" s="66"/>
      <c r="E453" s="67"/>
      <c r="F453" s="66"/>
      <c r="G453" s="68"/>
      <c r="H453" s="66"/>
      <c r="I453" s="66"/>
      <c r="J453" s="66"/>
      <c r="K453" s="66"/>
      <c r="L453" s="84"/>
      <c r="M453" s="84"/>
      <c r="N453" s="41"/>
      <c r="O453" s="41"/>
      <c r="P453" s="84"/>
      <c r="Q453" s="84"/>
      <c r="R453" s="84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66"/>
      <c r="AU453" s="66"/>
      <c r="AV453" s="65"/>
      <c r="AW453" s="66"/>
      <c r="AX453" s="66"/>
      <c r="AY453" s="106"/>
    </row>
    <row r="454" s="31" customFormat="1" spans="2:51">
      <c r="B454" s="65"/>
      <c r="C454" s="66"/>
      <c r="D454" s="66"/>
      <c r="E454" s="67"/>
      <c r="F454" s="66"/>
      <c r="G454" s="68"/>
      <c r="H454" s="66"/>
      <c r="I454" s="66"/>
      <c r="J454" s="66"/>
      <c r="K454" s="66"/>
      <c r="L454" s="84"/>
      <c r="M454" s="84"/>
      <c r="N454" s="41"/>
      <c r="O454" s="41"/>
      <c r="P454" s="84"/>
      <c r="Q454" s="84"/>
      <c r="R454" s="84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/>
      <c r="AS454" s="66"/>
      <c r="AT454" s="66"/>
      <c r="AU454" s="66"/>
      <c r="AV454" s="65"/>
      <c r="AW454" s="66"/>
      <c r="AX454" s="66"/>
      <c r="AY454" s="106"/>
    </row>
    <row r="455" s="31" customFormat="1" spans="2:51">
      <c r="B455" s="65"/>
      <c r="C455" s="66"/>
      <c r="D455" s="66"/>
      <c r="E455" s="67"/>
      <c r="F455" s="66"/>
      <c r="G455" s="68"/>
      <c r="H455" s="66"/>
      <c r="I455" s="66"/>
      <c r="J455" s="66"/>
      <c r="K455" s="66"/>
      <c r="L455" s="84"/>
      <c r="M455" s="84"/>
      <c r="N455" s="41"/>
      <c r="O455" s="41"/>
      <c r="P455" s="84"/>
      <c r="Q455" s="84"/>
      <c r="R455" s="84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66"/>
      <c r="AU455" s="66"/>
      <c r="AV455" s="65"/>
      <c r="AW455" s="66"/>
      <c r="AX455" s="66"/>
      <c r="AY455" s="106"/>
    </row>
    <row r="456" s="31" customFormat="1" spans="2:51">
      <c r="B456" s="65"/>
      <c r="C456" s="66"/>
      <c r="D456" s="66"/>
      <c r="E456" s="67"/>
      <c r="F456" s="66"/>
      <c r="G456" s="68"/>
      <c r="H456" s="66"/>
      <c r="I456" s="66"/>
      <c r="J456" s="66"/>
      <c r="K456" s="66"/>
      <c r="L456" s="84"/>
      <c r="M456" s="84"/>
      <c r="N456" s="41"/>
      <c r="O456" s="41"/>
      <c r="P456" s="84"/>
      <c r="Q456" s="84"/>
      <c r="R456" s="84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66"/>
      <c r="AU456" s="66"/>
      <c r="AV456" s="65"/>
      <c r="AW456" s="66"/>
      <c r="AX456" s="66"/>
      <c r="AY456" s="106"/>
    </row>
    <row r="457" s="31" customFormat="1" spans="2:51">
      <c r="B457" s="65"/>
      <c r="C457" s="66"/>
      <c r="D457" s="66"/>
      <c r="E457" s="67"/>
      <c r="F457" s="66"/>
      <c r="G457" s="68"/>
      <c r="H457" s="66"/>
      <c r="I457" s="66"/>
      <c r="J457" s="66"/>
      <c r="K457" s="66"/>
      <c r="L457" s="84"/>
      <c r="M457" s="84"/>
      <c r="N457" s="41"/>
      <c r="O457" s="41"/>
      <c r="P457" s="84"/>
      <c r="Q457" s="84"/>
      <c r="R457" s="84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66"/>
      <c r="AU457" s="66"/>
      <c r="AV457" s="65"/>
      <c r="AW457" s="66"/>
      <c r="AX457" s="66"/>
      <c r="AY457" s="106"/>
    </row>
    <row r="458" s="31" customFormat="1" spans="2:51">
      <c r="B458" s="65"/>
      <c r="C458" s="66"/>
      <c r="D458" s="66"/>
      <c r="E458" s="67"/>
      <c r="F458" s="66"/>
      <c r="G458" s="68"/>
      <c r="H458" s="66"/>
      <c r="I458" s="66"/>
      <c r="J458" s="66"/>
      <c r="K458" s="66"/>
      <c r="L458" s="84"/>
      <c r="M458" s="84"/>
      <c r="N458" s="41"/>
      <c r="O458" s="41"/>
      <c r="P458" s="84"/>
      <c r="Q458" s="84"/>
      <c r="R458" s="84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66"/>
      <c r="AU458" s="66"/>
      <c r="AV458" s="65"/>
      <c r="AW458" s="66"/>
      <c r="AX458" s="66"/>
      <c r="AY458" s="106"/>
    </row>
    <row r="459" s="31" customFormat="1" spans="2:51">
      <c r="B459" s="65"/>
      <c r="C459" s="66"/>
      <c r="D459" s="66"/>
      <c r="E459" s="67"/>
      <c r="F459" s="66"/>
      <c r="G459" s="68"/>
      <c r="H459" s="66"/>
      <c r="I459" s="66"/>
      <c r="J459" s="66"/>
      <c r="K459" s="66"/>
      <c r="L459" s="84"/>
      <c r="M459" s="84"/>
      <c r="N459" s="41"/>
      <c r="O459" s="41"/>
      <c r="P459" s="84"/>
      <c r="Q459" s="84"/>
      <c r="R459" s="84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66"/>
      <c r="AU459" s="66"/>
      <c r="AV459" s="65"/>
      <c r="AW459" s="66"/>
      <c r="AX459" s="66"/>
      <c r="AY459" s="106"/>
    </row>
    <row r="460" s="31" customFormat="1" spans="2:51">
      <c r="B460" s="65"/>
      <c r="C460" s="66"/>
      <c r="D460" s="66"/>
      <c r="E460" s="67"/>
      <c r="F460" s="66"/>
      <c r="G460" s="68"/>
      <c r="H460" s="66"/>
      <c r="I460" s="66"/>
      <c r="J460" s="66"/>
      <c r="K460" s="66"/>
      <c r="L460" s="84"/>
      <c r="M460" s="84"/>
      <c r="N460" s="41"/>
      <c r="O460" s="41"/>
      <c r="P460" s="84"/>
      <c r="Q460" s="84"/>
      <c r="R460" s="84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66"/>
      <c r="AU460" s="66"/>
      <c r="AV460" s="65"/>
      <c r="AW460" s="66"/>
      <c r="AX460" s="66"/>
      <c r="AY460" s="106"/>
    </row>
    <row r="461" s="31" customFormat="1" spans="2:51">
      <c r="B461" s="65"/>
      <c r="C461" s="66"/>
      <c r="D461" s="66"/>
      <c r="E461" s="67"/>
      <c r="F461" s="66"/>
      <c r="G461" s="68"/>
      <c r="H461" s="66"/>
      <c r="I461" s="66"/>
      <c r="J461" s="66"/>
      <c r="K461" s="66"/>
      <c r="L461" s="84"/>
      <c r="M461" s="84"/>
      <c r="N461" s="41"/>
      <c r="O461" s="41"/>
      <c r="P461" s="84"/>
      <c r="Q461" s="84"/>
      <c r="R461" s="84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5"/>
      <c r="AW461" s="66"/>
      <c r="AX461" s="66"/>
      <c r="AY461" s="106"/>
    </row>
    <row r="462" s="31" customFormat="1" spans="2:51">
      <c r="B462" s="65"/>
      <c r="C462" s="66"/>
      <c r="D462" s="66"/>
      <c r="E462" s="67"/>
      <c r="F462" s="66"/>
      <c r="G462" s="68"/>
      <c r="H462" s="66"/>
      <c r="I462" s="66"/>
      <c r="J462" s="66"/>
      <c r="K462" s="66"/>
      <c r="L462" s="84"/>
      <c r="M462" s="84"/>
      <c r="N462" s="41"/>
      <c r="O462" s="41"/>
      <c r="P462" s="84"/>
      <c r="Q462" s="84"/>
      <c r="R462" s="84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66"/>
      <c r="AU462" s="66"/>
      <c r="AV462" s="65"/>
      <c r="AW462" s="66"/>
      <c r="AX462" s="66"/>
      <c r="AY462" s="106"/>
    </row>
    <row r="463" s="31" customFormat="1" spans="2:51">
      <c r="B463" s="65"/>
      <c r="C463" s="66"/>
      <c r="D463" s="66"/>
      <c r="E463" s="67"/>
      <c r="F463" s="66"/>
      <c r="G463" s="68"/>
      <c r="H463" s="66"/>
      <c r="I463" s="66"/>
      <c r="J463" s="66"/>
      <c r="K463" s="66"/>
      <c r="L463" s="84"/>
      <c r="M463" s="84"/>
      <c r="N463" s="41"/>
      <c r="O463" s="41"/>
      <c r="P463" s="84"/>
      <c r="Q463" s="84"/>
      <c r="R463" s="84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66"/>
      <c r="AU463" s="66"/>
      <c r="AV463" s="65"/>
      <c r="AW463" s="66"/>
      <c r="AX463" s="66"/>
      <c r="AY463" s="106"/>
    </row>
    <row r="464" s="31" customFormat="1" spans="2:51">
      <c r="B464" s="65"/>
      <c r="C464" s="66"/>
      <c r="D464" s="66"/>
      <c r="E464" s="67"/>
      <c r="F464" s="66"/>
      <c r="G464" s="68"/>
      <c r="H464" s="66"/>
      <c r="I464" s="66"/>
      <c r="J464" s="66"/>
      <c r="K464" s="66"/>
      <c r="L464" s="84"/>
      <c r="M464" s="84"/>
      <c r="N464" s="41"/>
      <c r="O464" s="41"/>
      <c r="P464" s="84"/>
      <c r="Q464" s="84"/>
      <c r="R464" s="84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66"/>
      <c r="AU464" s="66"/>
      <c r="AV464" s="65"/>
      <c r="AW464" s="66"/>
      <c r="AX464" s="66"/>
      <c r="AY464" s="106"/>
    </row>
    <row r="465" s="31" customFormat="1" spans="2:51">
      <c r="B465" s="65"/>
      <c r="C465" s="66"/>
      <c r="D465" s="66"/>
      <c r="E465" s="67"/>
      <c r="F465" s="66"/>
      <c r="G465" s="68"/>
      <c r="H465" s="66"/>
      <c r="I465" s="66"/>
      <c r="J465" s="66"/>
      <c r="K465" s="66"/>
      <c r="L465" s="84"/>
      <c r="M465" s="84"/>
      <c r="N465" s="41"/>
      <c r="O465" s="41"/>
      <c r="P465" s="84"/>
      <c r="Q465" s="84"/>
      <c r="R465" s="84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66"/>
      <c r="AU465" s="66"/>
      <c r="AV465" s="65"/>
      <c r="AW465" s="66"/>
      <c r="AX465" s="66"/>
      <c r="AY465" s="106"/>
    </row>
    <row r="466" s="31" customFormat="1" spans="2:51">
      <c r="B466" s="65"/>
      <c r="C466" s="66"/>
      <c r="D466" s="66"/>
      <c r="E466" s="67"/>
      <c r="F466" s="66"/>
      <c r="G466" s="68"/>
      <c r="H466" s="66"/>
      <c r="I466" s="66"/>
      <c r="J466" s="66"/>
      <c r="K466" s="66"/>
      <c r="L466" s="84"/>
      <c r="M466" s="84"/>
      <c r="N466" s="41"/>
      <c r="O466" s="41"/>
      <c r="P466" s="84"/>
      <c r="Q466" s="84"/>
      <c r="R466" s="84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66"/>
      <c r="AU466" s="66"/>
      <c r="AV466" s="65"/>
      <c r="AW466" s="66"/>
      <c r="AX466" s="66"/>
      <c r="AY466" s="106"/>
    </row>
    <row r="467" s="31" customFormat="1" spans="2:51">
      <c r="B467" s="65"/>
      <c r="C467" s="66"/>
      <c r="D467" s="66"/>
      <c r="E467" s="67"/>
      <c r="F467" s="66"/>
      <c r="G467" s="68"/>
      <c r="H467" s="66"/>
      <c r="I467" s="66"/>
      <c r="J467" s="66"/>
      <c r="K467" s="66"/>
      <c r="L467" s="84"/>
      <c r="M467" s="84"/>
      <c r="N467" s="41"/>
      <c r="O467" s="41"/>
      <c r="P467" s="84"/>
      <c r="Q467" s="84"/>
      <c r="R467" s="84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66"/>
      <c r="AU467" s="66"/>
      <c r="AV467" s="65"/>
      <c r="AW467" s="66"/>
      <c r="AX467" s="66"/>
      <c r="AY467" s="106"/>
    </row>
    <row r="468" s="31" customFormat="1" spans="2:51">
      <c r="B468" s="65"/>
      <c r="C468" s="66"/>
      <c r="D468" s="66"/>
      <c r="E468" s="67"/>
      <c r="F468" s="66"/>
      <c r="G468" s="68"/>
      <c r="H468" s="66"/>
      <c r="I468" s="66"/>
      <c r="J468" s="66"/>
      <c r="K468" s="66"/>
      <c r="L468" s="84"/>
      <c r="M468" s="84"/>
      <c r="N468" s="41"/>
      <c r="O468" s="41"/>
      <c r="P468" s="84"/>
      <c r="Q468" s="84"/>
      <c r="R468" s="84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66"/>
      <c r="AU468" s="66"/>
      <c r="AV468" s="65"/>
      <c r="AW468" s="66"/>
      <c r="AX468" s="66"/>
      <c r="AY468" s="106"/>
    </row>
    <row r="469" s="31" customFormat="1" spans="2:51">
      <c r="B469" s="65"/>
      <c r="C469" s="66"/>
      <c r="D469" s="66"/>
      <c r="E469" s="67"/>
      <c r="F469" s="66"/>
      <c r="G469" s="68"/>
      <c r="H469" s="66"/>
      <c r="I469" s="66"/>
      <c r="J469" s="66"/>
      <c r="K469" s="66"/>
      <c r="L469" s="84"/>
      <c r="M469" s="84"/>
      <c r="N469" s="41"/>
      <c r="O469" s="41"/>
      <c r="P469" s="84"/>
      <c r="Q469" s="84"/>
      <c r="R469" s="84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66"/>
      <c r="AU469" s="66"/>
      <c r="AV469" s="65"/>
      <c r="AW469" s="66"/>
      <c r="AX469" s="66"/>
      <c r="AY469" s="106"/>
    </row>
    <row r="470" s="31" customFormat="1" spans="2:51">
      <c r="B470" s="65"/>
      <c r="C470" s="66"/>
      <c r="D470" s="66"/>
      <c r="E470" s="67"/>
      <c r="F470" s="66"/>
      <c r="G470" s="68"/>
      <c r="H470" s="66"/>
      <c r="I470" s="66"/>
      <c r="J470" s="66"/>
      <c r="K470" s="66"/>
      <c r="L470" s="84"/>
      <c r="M470" s="84"/>
      <c r="N470" s="41"/>
      <c r="O470" s="41"/>
      <c r="P470" s="84"/>
      <c r="Q470" s="84"/>
      <c r="R470" s="84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66"/>
      <c r="AU470" s="66"/>
      <c r="AV470" s="65"/>
      <c r="AW470" s="66"/>
      <c r="AX470" s="66"/>
      <c r="AY470" s="106"/>
    </row>
    <row r="471" s="31" customFormat="1" spans="2:51">
      <c r="B471" s="65"/>
      <c r="C471" s="66"/>
      <c r="D471" s="66"/>
      <c r="E471" s="67"/>
      <c r="F471" s="66"/>
      <c r="G471" s="68"/>
      <c r="H471" s="66"/>
      <c r="I471" s="66"/>
      <c r="J471" s="66"/>
      <c r="K471" s="66"/>
      <c r="L471" s="84"/>
      <c r="M471" s="84"/>
      <c r="N471" s="41"/>
      <c r="O471" s="41"/>
      <c r="P471" s="84"/>
      <c r="Q471" s="84"/>
      <c r="R471" s="84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66"/>
      <c r="AU471" s="66"/>
      <c r="AV471" s="65"/>
      <c r="AW471" s="66"/>
      <c r="AX471" s="66"/>
      <c r="AY471" s="106"/>
    </row>
    <row r="472" s="31" customFormat="1" spans="2:51">
      <c r="B472" s="65"/>
      <c r="C472" s="66"/>
      <c r="D472" s="66"/>
      <c r="E472" s="67"/>
      <c r="F472" s="66"/>
      <c r="G472" s="68"/>
      <c r="H472" s="66"/>
      <c r="I472" s="66"/>
      <c r="J472" s="66"/>
      <c r="K472" s="66"/>
      <c r="L472" s="84"/>
      <c r="M472" s="84"/>
      <c r="N472" s="41"/>
      <c r="O472" s="41"/>
      <c r="P472" s="84"/>
      <c r="Q472" s="84"/>
      <c r="R472" s="84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66"/>
      <c r="AU472" s="66"/>
      <c r="AV472" s="65"/>
      <c r="AW472" s="66"/>
      <c r="AX472" s="66"/>
      <c r="AY472" s="106"/>
    </row>
    <row r="473" s="31" customFormat="1" spans="2:51">
      <c r="B473" s="65"/>
      <c r="C473" s="66"/>
      <c r="D473" s="66"/>
      <c r="E473" s="67"/>
      <c r="F473" s="66"/>
      <c r="G473" s="68"/>
      <c r="H473" s="66"/>
      <c r="I473" s="66"/>
      <c r="J473" s="66"/>
      <c r="K473" s="66"/>
      <c r="L473" s="84"/>
      <c r="M473" s="84"/>
      <c r="N473" s="41"/>
      <c r="O473" s="41"/>
      <c r="P473" s="84"/>
      <c r="Q473" s="84"/>
      <c r="R473" s="84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66"/>
      <c r="AU473" s="66"/>
      <c r="AV473" s="65"/>
      <c r="AW473" s="66"/>
      <c r="AX473" s="66"/>
      <c r="AY473" s="106"/>
    </row>
    <row r="474" s="31" customFormat="1" spans="2:51">
      <c r="B474" s="65"/>
      <c r="C474" s="66"/>
      <c r="D474" s="66"/>
      <c r="E474" s="67"/>
      <c r="F474" s="66"/>
      <c r="G474" s="68"/>
      <c r="H474" s="66"/>
      <c r="I474" s="66"/>
      <c r="J474" s="66"/>
      <c r="K474" s="66"/>
      <c r="L474" s="84"/>
      <c r="M474" s="84"/>
      <c r="N474" s="41"/>
      <c r="O474" s="41"/>
      <c r="P474" s="84"/>
      <c r="Q474" s="84"/>
      <c r="R474" s="84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66"/>
      <c r="AU474" s="66"/>
      <c r="AV474" s="65"/>
      <c r="AW474" s="66"/>
      <c r="AX474" s="66"/>
      <c r="AY474" s="106"/>
    </row>
    <row r="475" s="31" customFormat="1" spans="2:51">
      <c r="B475" s="65"/>
      <c r="C475" s="66"/>
      <c r="D475" s="66"/>
      <c r="E475" s="67"/>
      <c r="F475" s="66"/>
      <c r="G475" s="68"/>
      <c r="H475" s="66"/>
      <c r="I475" s="66"/>
      <c r="J475" s="66"/>
      <c r="K475" s="66"/>
      <c r="L475" s="84"/>
      <c r="M475" s="84"/>
      <c r="N475" s="41"/>
      <c r="O475" s="41"/>
      <c r="P475" s="84"/>
      <c r="Q475" s="84"/>
      <c r="R475" s="84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66"/>
      <c r="AU475" s="66"/>
      <c r="AV475" s="65"/>
      <c r="AW475" s="66"/>
      <c r="AX475" s="66"/>
      <c r="AY475" s="106"/>
    </row>
    <row r="476" s="31" customFormat="1" spans="2:51">
      <c r="B476" s="65"/>
      <c r="C476" s="66"/>
      <c r="D476" s="66"/>
      <c r="E476" s="67"/>
      <c r="F476" s="66"/>
      <c r="G476" s="68"/>
      <c r="H476" s="66"/>
      <c r="I476" s="66"/>
      <c r="J476" s="66"/>
      <c r="K476" s="66"/>
      <c r="L476" s="84"/>
      <c r="M476" s="84"/>
      <c r="N476" s="41"/>
      <c r="O476" s="41"/>
      <c r="P476" s="84"/>
      <c r="Q476" s="84"/>
      <c r="R476" s="84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66"/>
      <c r="AU476" s="66"/>
      <c r="AV476" s="65"/>
      <c r="AW476" s="66"/>
      <c r="AX476" s="66"/>
      <c r="AY476" s="106"/>
    </row>
    <row r="477" s="31" customFormat="1" spans="2:51">
      <c r="B477" s="65"/>
      <c r="C477" s="66"/>
      <c r="D477" s="66"/>
      <c r="E477" s="67"/>
      <c r="F477" s="66"/>
      <c r="G477" s="68"/>
      <c r="H477" s="66"/>
      <c r="I477" s="66"/>
      <c r="J477" s="66"/>
      <c r="K477" s="66"/>
      <c r="L477" s="84"/>
      <c r="M477" s="84"/>
      <c r="N477" s="41"/>
      <c r="O477" s="41"/>
      <c r="P477" s="84"/>
      <c r="Q477" s="84"/>
      <c r="R477" s="84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66"/>
      <c r="AU477" s="66"/>
      <c r="AV477" s="65"/>
      <c r="AW477" s="66"/>
      <c r="AX477" s="66"/>
      <c r="AY477" s="106"/>
    </row>
    <row r="478" s="31" customFormat="1" spans="2:51">
      <c r="B478" s="65"/>
      <c r="C478" s="66"/>
      <c r="D478" s="66"/>
      <c r="E478" s="67"/>
      <c r="F478" s="66"/>
      <c r="G478" s="68"/>
      <c r="H478" s="66"/>
      <c r="I478" s="66"/>
      <c r="J478" s="66"/>
      <c r="K478" s="66"/>
      <c r="L478" s="84"/>
      <c r="M478" s="84"/>
      <c r="N478" s="41"/>
      <c r="O478" s="41"/>
      <c r="P478" s="84"/>
      <c r="Q478" s="84"/>
      <c r="R478" s="84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66"/>
      <c r="AU478" s="66"/>
      <c r="AV478" s="65"/>
      <c r="AW478" s="66"/>
      <c r="AX478" s="66"/>
      <c r="AY478" s="106"/>
    </row>
    <row r="479" s="31" customFormat="1" spans="2:51">
      <c r="B479" s="65"/>
      <c r="C479" s="66"/>
      <c r="D479" s="66"/>
      <c r="E479" s="67"/>
      <c r="F479" s="66"/>
      <c r="G479" s="68"/>
      <c r="H479" s="66"/>
      <c r="I479" s="66"/>
      <c r="J479" s="66"/>
      <c r="K479" s="66"/>
      <c r="L479" s="84"/>
      <c r="M479" s="84"/>
      <c r="N479" s="41"/>
      <c r="O479" s="41"/>
      <c r="P479" s="84"/>
      <c r="Q479" s="84"/>
      <c r="R479" s="84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66"/>
      <c r="AU479" s="66"/>
      <c r="AV479" s="65"/>
      <c r="AW479" s="66"/>
      <c r="AX479" s="66"/>
      <c r="AY479" s="106"/>
    </row>
    <row r="480" s="31" customFormat="1" spans="2:51">
      <c r="B480" s="65"/>
      <c r="C480" s="66"/>
      <c r="D480" s="66"/>
      <c r="E480" s="67"/>
      <c r="F480" s="66"/>
      <c r="G480" s="68"/>
      <c r="H480" s="66"/>
      <c r="I480" s="66"/>
      <c r="J480" s="66"/>
      <c r="K480" s="66"/>
      <c r="L480" s="84"/>
      <c r="M480" s="84"/>
      <c r="N480" s="41"/>
      <c r="O480" s="41"/>
      <c r="P480" s="84"/>
      <c r="Q480" s="84"/>
      <c r="R480" s="84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66"/>
      <c r="AU480" s="66"/>
      <c r="AV480" s="65"/>
      <c r="AW480" s="66"/>
      <c r="AX480" s="66"/>
      <c r="AY480" s="106"/>
    </row>
    <row r="481" s="31" customFormat="1" spans="2:51">
      <c r="B481" s="65"/>
      <c r="C481" s="66"/>
      <c r="D481" s="66"/>
      <c r="E481" s="67"/>
      <c r="F481" s="66"/>
      <c r="G481" s="68"/>
      <c r="H481" s="66"/>
      <c r="I481" s="66"/>
      <c r="J481" s="66"/>
      <c r="K481" s="66"/>
      <c r="L481" s="84"/>
      <c r="M481" s="84"/>
      <c r="N481" s="41"/>
      <c r="O481" s="41"/>
      <c r="P481" s="84"/>
      <c r="Q481" s="84"/>
      <c r="R481" s="84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66"/>
      <c r="AU481" s="66"/>
      <c r="AV481" s="65"/>
      <c r="AW481" s="66"/>
      <c r="AX481" s="66"/>
      <c r="AY481" s="106"/>
    </row>
    <row r="482" s="31" customFormat="1" spans="2:51">
      <c r="B482" s="65"/>
      <c r="C482" s="66"/>
      <c r="D482" s="66"/>
      <c r="E482" s="67"/>
      <c r="F482" s="66"/>
      <c r="G482" s="68"/>
      <c r="H482" s="66"/>
      <c r="I482" s="66"/>
      <c r="J482" s="66"/>
      <c r="K482" s="66"/>
      <c r="L482" s="84"/>
      <c r="M482" s="84"/>
      <c r="N482" s="41"/>
      <c r="O482" s="41"/>
      <c r="P482" s="84"/>
      <c r="Q482" s="84"/>
      <c r="R482" s="84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66"/>
      <c r="AU482" s="66"/>
      <c r="AV482" s="65"/>
      <c r="AW482" s="66"/>
      <c r="AX482" s="66"/>
      <c r="AY482" s="106"/>
    </row>
    <row r="483" s="31" customFormat="1" spans="2:51">
      <c r="B483" s="65"/>
      <c r="C483" s="66"/>
      <c r="D483" s="66"/>
      <c r="E483" s="67"/>
      <c r="F483" s="66"/>
      <c r="G483" s="68"/>
      <c r="H483" s="66"/>
      <c r="I483" s="66"/>
      <c r="J483" s="66"/>
      <c r="K483" s="66"/>
      <c r="L483" s="84"/>
      <c r="M483" s="84"/>
      <c r="N483" s="41"/>
      <c r="O483" s="41"/>
      <c r="P483" s="84"/>
      <c r="Q483" s="84"/>
      <c r="R483" s="84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66"/>
      <c r="AU483" s="66"/>
      <c r="AV483" s="65"/>
      <c r="AW483" s="66"/>
      <c r="AX483" s="66"/>
      <c r="AY483" s="106"/>
    </row>
    <row r="484" s="31" customFormat="1" spans="2:51">
      <c r="B484" s="65"/>
      <c r="C484" s="66"/>
      <c r="D484" s="66"/>
      <c r="E484" s="67"/>
      <c r="F484" s="66"/>
      <c r="G484" s="68"/>
      <c r="H484" s="66"/>
      <c r="I484" s="66"/>
      <c r="J484" s="66"/>
      <c r="K484" s="66"/>
      <c r="L484" s="84"/>
      <c r="M484" s="84"/>
      <c r="N484" s="41"/>
      <c r="O484" s="41"/>
      <c r="P484" s="84"/>
      <c r="Q484" s="84"/>
      <c r="R484" s="84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66"/>
      <c r="AU484" s="66"/>
      <c r="AV484" s="65"/>
      <c r="AW484" s="66"/>
      <c r="AX484" s="66"/>
      <c r="AY484" s="106"/>
    </row>
    <row r="485" s="31" customFormat="1" spans="2:51">
      <c r="B485" s="65"/>
      <c r="C485" s="66"/>
      <c r="D485" s="66"/>
      <c r="E485" s="67"/>
      <c r="F485" s="66"/>
      <c r="G485" s="68"/>
      <c r="H485" s="66"/>
      <c r="I485" s="66"/>
      <c r="J485" s="66"/>
      <c r="K485" s="66"/>
      <c r="L485" s="84"/>
      <c r="M485" s="84"/>
      <c r="N485" s="41"/>
      <c r="O485" s="41"/>
      <c r="P485" s="84"/>
      <c r="Q485" s="84"/>
      <c r="R485" s="84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66"/>
      <c r="AU485" s="66"/>
      <c r="AV485" s="65"/>
      <c r="AW485" s="66"/>
      <c r="AX485" s="66"/>
      <c r="AY485" s="106"/>
    </row>
    <row r="486" s="31" customFormat="1" spans="2:51">
      <c r="B486" s="65"/>
      <c r="C486" s="66"/>
      <c r="D486" s="66"/>
      <c r="E486" s="67"/>
      <c r="F486" s="66"/>
      <c r="G486" s="68"/>
      <c r="H486" s="66"/>
      <c r="I486" s="66"/>
      <c r="J486" s="66"/>
      <c r="K486" s="66"/>
      <c r="L486" s="84"/>
      <c r="M486" s="84"/>
      <c r="N486" s="41"/>
      <c r="O486" s="41"/>
      <c r="P486" s="84"/>
      <c r="Q486" s="84"/>
      <c r="R486" s="84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66"/>
      <c r="AU486" s="66"/>
      <c r="AV486" s="65"/>
      <c r="AW486" s="66"/>
      <c r="AX486" s="66"/>
      <c r="AY486" s="106"/>
    </row>
    <row r="487" s="31" customFormat="1" spans="2:51">
      <c r="B487" s="65"/>
      <c r="C487" s="66"/>
      <c r="D487" s="66"/>
      <c r="E487" s="67"/>
      <c r="F487" s="66"/>
      <c r="G487" s="68"/>
      <c r="H487" s="66"/>
      <c r="I487" s="66"/>
      <c r="J487" s="66"/>
      <c r="K487" s="66"/>
      <c r="L487" s="84"/>
      <c r="M487" s="84"/>
      <c r="N487" s="41"/>
      <c r="O487" s="41"/>
      <c r="P487" s="84"/>
      <c r="Q487" s="84"/>
      <c r="R487" s="84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/>
      <c r="AS487" s="66"/>
      <c r="AT487" s="66"/>
      <c r="AU487" s="66"/>
      <c r="AV487" s="65"/>
      <c r="AW487" s="66"/>
      <c r="AX487" s="66"/>
      <c r="AY487" s="106"/>
    </row>
    <row r="488" s="31" customFormat="1" spans="2:51">
      <c r="B488" s="65"/>
      <c r="C488" s="66"/>
      <c r="D488" s="66"/>
      <c r="E488" s="67"/>
      <c r="F488" s="66"/>
      <c r="G488" s="68"/>
      <c r="H488" s="66"/>
      <c r="I488" s="66"/>
      <c r="J488" s="66"/>
      <c r="K488" s="66"/>
      <c r="L488" s="84"/>
      <c r="M488" s="84"/>
      <c r="N488" s="41"/>
      <c r="O488" s="41"/>
      <c r="P488" s="84"/>
      <c r="Q488" s="84"/>
      <c r="R488" s="84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66"/>
      <c r="AU488" s="66"/>
      <c r="AV488" s="65"/>
      <c r="AW488" s="66"/>
      <c r="AX488" s="66"/>
      <c r="AY488" s="106"/>
    </row>
    <row r="489" s="31" customFormat="1" spans="2:51">
      <c r="B489" s="65"/>
      <c r="C489" s="66"/>
      <c r="D489" s="66"/>
      <c r="E489" s="67"/>
      <c r="F489" s="66"/>
      <c r="G489" s="68"/>
      <c r="H489" s="66"/>
      <c r="I489" s="66"/>
      <c r="J489" s="66"/>
      <c r="K489" s="66"/>
      <c r="L489" s="84"/>
      <c r="M489" s="84"/>
      <c r="N489" s="41"/>
      <c r="O489" s="41"/>
      <c r="P489" s="84"/>
      <c r="Q489" s="84"/>
      <c r="R489" s="84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66"/>
      <c r="AU489" s="66"/>
      <c r="AV489" s="65"/>
      <c r="AW489" s="66"/>
      <c r="AX489" s="66"/>
      <c r="AY489" s="106"/>
    </row>
    <row r="490" s="31" customFormat="1" spans="2:51">
      <c r="B490" s="65"/>
      <c r="C490" s="66"/>
      <c r="D490" s="66"/>
      <c r="E490" s="67"/>
      <c r="F490" s="66"/>
      <c r="G490" s="68"/>
      <c r="H490" s="66"/>
      <c r="I490" s="66"/>
      <c r="J490" s="66"/>
      <c r="K490" s="66"/>
      <c r="L490" s="84"/>
      <c r="M490" s="84"/>
      <c r="N490" s="41"/>
      <c r="O490" s="41"/>
      <c r="P490" s="84"/>
      <c r="Q490" s="84"/>
      <c r="R490" s="84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66"/>
      <c r="AU490" s="66"/>
      <c r="AV490" s="65"/>
      <c r="AW490" s="66"/>
      <c r="AX490" s="66"/>
      <c r="AY490" s="106"/>
    </row>
    <row r="491" s="31" customFormat="1" spans="2:51">
      <c r="B491" s="65"/>
      <c r="C491" s="66"/>
      <c r="D491" s="66"/>
      <c r="E491" s="67"/>
      <c r="F491" s="66"/>
      <c r="G491" s="68"/>
      <c r="H491" s="66"/>
      <c r="I491" s="66"/>
      <c r="J491" s="66"/>
      <c r="K491" s="66"/>
      <c r="L491" s="84"/>
      <c r="M491" s="84"/>
      <c r="N491" s="41"/>
      <c r="O491" s="41"/>
      <c r="P491" s="84"/>
      <c r="Q491" s="84"/>
      <c r="R491" s="84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66"/>
      <c r="AU491" s="66"/>
      <c r="AV491" s="65"/>
      <c r="AW491" s="66"/>
      <c r="AX491" s="66"/>
      <c r="AY491" s="106"/>
    </row>
    <row r="492" s="31" customFormat="1" spans="2:51">
      <c r="B492" s="65"/>
      <c r="C492" s="66"/>
      <c r="D492" s="66"/>
      <c r="E492" s="67"/>
      <c r="F492" s="66"/>
      <c r="G492" s="68"/>
      <c r="H492" s="66"/>
      <c r="I492" s="66"/>
      <c r="J492" s="66"/>
      <c r="K492" s="66"/>
      <c r="L492" s="84"/>
      <c r="M492" s="84"/>
      <c r="N492" s="41"/>
      <c r="O492" s="41"/>
      <c r="P492" s="84"/>
      <c r="Q492" s="84"/>
      <c r="R492" s="84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66"/>
      <c r="AU492" s="66"/>
      <c r="AV492" s="65"/>
      <c r="AW492" s="66"/>
      <c r="AX492" s="66"/>
      <c r="AY492" s="106"/>
    </row>
    <row r="493" s="31" customFormat="1" spans="2:51">
      <c r="B493" s="65"/>
      <c r="C493" s="66"/>
      <c r="D493" s="66"/>
      <c r="E493" s="67"/>
      <c r="F493" s="66"/>
      <c r="G493" s="68"/>
      <c r="H493" s="66"/>
      <c r="I493" s="66"/>
      <c r="J493" s="66"/>
      <c r="K493" s="66"/>
      <c r="L493" s="84"/>
      <c r="M493" s="84"/>
      <c r="N493" s="41"/>
      <c r="O493" s="41"/>
      <c r="P493" s="84"/>
      <c r="Q493" s="84"/>
      <c r="R493" s="84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66"/>
      <c r="AU493" s="66"/>
      <c r="AV493" s="65"/>
      <c r="AW493" s="66"/>
      <c r="AX493" s="66"/>
      <c r="AY493" s="106"/>
    </row>
    <row r="494" s="31" customFormat="1" spans="2:51">
      <c r="B494" s="65"/>
      <c r="C494" s="66"/>
      <c r="D494" s="66"/>
      <c r="E494" s="67"/>
      <c r="F494" s="66"/>
      <c r="G494" s="68"/>
      <c r="H494" s="66"/>
      <c r="I494" s="66"/>
      <c r="J494" s="66"/>
      <c r="K494" s="66"/>
      <c r="L494" s="84"/>
      <c r="M494" s="84"/>
      <c r="N494" s="41"/>
      <c r="O494" s="41"/>
      <c r="P494" s="84"/>
      <c r="Q494" s="84"/>
      <c r="R494" s="84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66"/>
      <c r="AU494" s="66"/>
      <c r="AV494" s="65"/>
      <c r="AW494" s="66"/>
      <c r="AX494" s="66"/>
      <c r="AY494" s="106"/>
    </row>
    <row r="495" s="31" customFormat="1" spans="2:51">
      <c r="B495" s="65"/>
      <c r="C495" s="66"/>
      <c r="D495" s="66"/>
      <c r="E495" s="67"/>
      <c r="F495" s="66"/>
      <c r="G495" s="68"/>
      <c r="H495" s="66"/>
      <c r="I495" s="66"/>
      <c r="J495" s="66"/>
      <c r="K495" s="66"/>
      <c r="L495" s="84"/>
      <c r="M495" s="84"/>
      <c r="N495" s="41"/>
      <c r="O495" s="41"/>
      <c r="P495" s="84"/>
      <c r="Q495" s="84"/>
      <c r="R495" s="84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66"/>
      <c r="AU495" s="66"/>
      <c r="AV495" s="65"/>
      <c r="AW495" s="66"/>
      <c r="AX495" s="66"/>
      <c r="AY495" s="106"/>
    </row>
    <row r="496" s="31" customFormat="1" spans="2:51">
      <c r="B496" s="65"/>
      <c r="C496" s="66"/>
      <c r="D496" s="66"/>
      <c r="E496" s="67"/>
      <c r="F496" s="66"/>
      <c r="G496" s="68"/>
      <c r="H496" s="66"/>
      <c r="I496" s="66"/>
      <c r="J496" s="66"/>
      <c r="K496" s="66"/>
      <c r="L496" s="84"/>
      <c r="M496" s="84"/>
      <c r="N496" s="41"/>
      <c r="O496" s="41"/>
      <c r="P496" s="84"/>
      <c r="Q496" s="84"/>
      <c r="R496" s="84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66"/>
      <c r="AU496" s="66"/>
      <c r="AV496" s="65"/>
      <c r="AW496" s="66"/>
      <c r="AX496" s="66"/>
      <c r="AY496" s="106"/>
    </row>
    <row r="497" s="31" customFormat="1" spans="2:51">
      <c r="B497" s="65"/>
      <c r="C497" s="66"/>
      <c r="D497" s="66"/>
      <c r="E497" s="67"/>
      <c r="F497" s="66"/>
      <c r="G497" s="68"/>
      <c r="H497" s="66"/>
      <c r="I497" s="66"/>
      <c r="J497" s="66"/>
      <c r="K497" s="66"/>
      <c r="L497" s="84"/>
      <c r="M497" s="84"/>
      <c r="N497" s="41"/>
      <c r="O497" s="41"/>
      <c r="P497" s="84"/>
      <c r="Q497" s="84"/>
      <c r="R497" s="84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66"/>
      <c r="AU497" s="66"/>
      <c r="AV497" s="65"/>
      <c r="AW497" s="66"/>
      <c r="AX497" s="66"/>
      <c r="AY497" s="106"/>
    </row>
    <row r="498" s="31" customFormat="1" spans="2:51">
      <c r="B498" s="65"/>
      <c r="C498" s="66"/>
      <c r="D498" s="66"/>
      <c r="E498" s="67"/>
      <c r="F498" s="66"/>
      <c r="G498" s="68"/>
      <c r="H498" s="66"/>
      <c r="I498" s="66"/>
      <c r="J498" s="66"/>
      <c r="K498" s="66"/>
      <c r="L498" s="84"/>
      <c r="M498" s="84"/>
      <c r="N498" s="41"/>
      <c r="O498" s="41"/>
      <c r="P498" s="84"/>
      <c r="Q498" s="84"/>
      <c r="R498" s="84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66"/>
      <c r="AU498" s="66"/>
      <c r="AV498" s="65"/>
      <c r="AW498" s="66"/>
      <c r="AX498" s="66"/>
      <c r="AY498" s="106"/>
    </row>
    <row r="499" s="31" customFormat="1" spans="2:51">
      <c r="B499" s="65"/>
      <c r="C499" s="66"/>
      <c r="D499" s="66"/>
      <c r="E499" s="67"/>
      <c r="F499" s="66"/>
      <c r="G499" s="68"/>
      <c r="H499" s="66"/>
      <c r="I499" s="66"/>
      <c r="J499" s="66"/>
      <c r="K499" s="66"/>
      <c r="L499" s="84"/>
      <c r="M499" s="84"/>
      <c r="N499" s="41"/>
      <c r="O499" s="41"/>
      <c r="P499" s="84"/>
      <c r="Q499" s="84"/>
      <c r="R499" s="84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66"/>
      <c r="AU499" s="66"/>
      <c r="AV499" s="65"/>
      <c r="AW499" s="66"/>
      <c r="AX499" s="66"/>
      <c r="AY499" s="106"/>
    </row>
    <row r="500" s="31" customFormat="1" spans="2:51">
      <c r="B500" s="65"/>
      <c r="C500" s="66"/>
      <c r="D500" s="66"/>
      <c r="E500" s="67"/>
      <c r="F500" s="66"/>
      <c r="G500" s="68"/>
      <c r="H500" s="66"/>
      <c r="I500" s="66"/>
      <c r="J500" s="66"/>
      <c r="K500" s="66"/>
      <c r="L500" s="84"/>
      <c r="M500" s="84"/>
      <c r="N500" s="41"/>
      <c r="O500" s="41"/>
      <c r="P500" s="84"/>
      <c r="Q500" s="84"/>
      <c r="R500" s="84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66"/>
      <c r="AU500" s="66"/>
      <c r="AV500" s="65"/>
      <c r="AW500" s="66"/>
      <c r="AX500" s="66"/>
      <c r="AY500" s="106"/>
    </row>
    <row r="501" s="31" customFormat="1" spans="2:51">
      <c r="B501" s="65"/>
      <c r="C501" s="66"/>
      <c r="D501" s="66"/>
      <c r="E501" s="67"/>
      <c r="F501" s="66"/>
      <c r="G501" s="68"/>
      <c r="H501" s="66"/>
      <c r="I501" s="66"/>
      <c r="J501" s="66"/>
      <c r="K501" s="66"/>
      <c r="L501" s="84"/>
      <c r="M501" s="84"/>
      <c r="N501" s="41"/>
      <c r="O501" s="41"/>
      <c r="P501" s="84"/>
      <c r="Q501" s="84"/>
      <c r="R501" s="84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66"/>
      <c r="AU501" s="66"/>
      <c r="AV501" s="65"/>
      <c r="AW501" s="66"/>
      <c r="AX501" s="66"/>
      <c r="AY501" s="106"/>
    </row>
    <row r="502" s="31" customFormat="1" spans="2:51">
      <c r="B502" s="65"/>
      <c r="C502" s="66"/>
      <c r="D502" s="66"/>
      <c r="E502" s="67"/>
      <c r="F502" s="66"/>
      <c r="G502" s="68"/>
      <c r="H502" s="66"/>
      <c r="I502" s="66"/>
      <c r="J502" s="66"/>
      <c r="K502" s="66"/>
      <c r="L502" s="84"/>
      <c r="M502" s="84"/>
      <c r="N502" s="41"/>
      <c r="O502" s="41"/>
      <c r="P502" s="84"/>
      <c r="Q502" s="84"/>
      <c r="R502" s="84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66"/>
      <c r="AU502" s="66"/>
      <c r="AV502" s="65"/>
      <c r="AW502" s="66"/>
      <c r="AX502" s="66"/>
      <c r="AY502" s="106"/>
    </row>
    <row r="503" s="31" customFormat="1" spans="2:51">
      <c r="B503" s="65"/>
      <c r="C503" s="66"/>
      <c r="D503" s="66"/>
      <c r="E503" s="67"/>
      <c r="F503" s="66"/>
      <c r="G503" s="68"/>
      <c r="H503" s="66"/>
      <c r="I503" s="66"/>
      <c r="J503" s="66"/>
      <c r="K503" s="66"/>
      <c r="L503" s="84"/>
      <c r="M503" s="84"/>
      <c r="N503" s="41"/>
      <c r="O503" s="41"/>
      <c r="P503" s="84"/>
      <c r="Q503" s="84"/>
      <c r="R503" s="84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66"/>
      <c r="AU503" s="66"/>
      <c r="AV503" s="65"/>
      <c r="AW503" s="66"/>
      <c r="AX503" s="66"/>
      <c r="AY503" s="106"/>
    </row>
    <row r="504" s="31" customFormat="1" spans="2:51">
      <c r="B504" s="65"/>
      <c r="C504" s="66"/>
      <c r="D504" s="66"/>
      <c r="E504" s="67"/>
      <c r="F504" s="66"/>
      <c r="G504" s="68"/>
      <c r="H504" s="66"/>
      <c r="I504" s="66"/>
      <c r="J504" s="66"/>
      <c r="K504" s="66"/>
      <c r="L504" s="84"/>
      <c r="M504" s="84"/>
      <c r="N504" s="41"/>
      <c r="O504" s="41"/>
      <c r="P504" s="84"/>
      <c r="Q504" s="84"/>
      <c r="R504" s="84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66"/>
      <c r="AU504" s="66"/>
      <c r="AV504" s="65"/>
      <c r="AW504" s="66"/>
      <c r="AX504" s="66"/>
      <c r="AY504" s="106"/>
    </row>
    <row r="505" s="31" customFormat="1" spans="2:51">
      <c r="B505" s="65"/>
      <c r="C505" s="66"/>
      <c r="D505" s="66"/>
      <c r="E505" s="67"/>
      <c r="F505" s="66"/>
      <c r="G505" s="68"/>
      <c r="H505" s="66"/>
      <c r="I505" s="66"/>
      <c r="J505" s="66"/>
      <c r="K505" s="66"/>
      <c r="L505" s="84"/>
      <c r="M505" s="84"/>
      <c r="N505" s="41"/>
      <c r="O505" s="41"/>
      <c r="P505" s="84"/>
      <c r="Q505" s="84"/>
      <c r="R505" s="84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  <c r="AO505" s="66"/>
      <c r="AP505" s="66"/>
      <c r="AQ505" s="66"/>
      <c r="AR505" s="66"/>
      <c r="AS505" s="66"/>
      <c r="AT505" s="66"/>
      <c r="AU505" s="66"/>
      <c r="AV505" s="65"/>
      <c r="AW505" s="66"/>
      <c r="AX505" s="66"/>
      <c r="AY505" s="106"/>
    </row>
    <row r="506" s="31" customFormat="1" spans="2:51">
      <c r="B506" s="65"/>
      <c r="C506" s="66"/>
      <c r="D506" s="66"/>
      <c r="E506" s="67"/>
      <c r="F506" s="66"/>
      <c r="G506" s="68"/>
      <c r="H506" s="66"/>
      <c r="I506" s="66"/>
      <c r="J506" s="66"/>
      <c r="K506" s="66"/>
      <c r="L506" s="84"/>
      <c r="M506" s="84"/>
      <c r="N506" s="41"/>
      <c r="O506" s="41"/>
      <c r="P506" s="84"/>
      <c r="Q506" s="84"/>
      <c r="R506" s="84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66"/>
      <c r="AU506" s="66"/>
      <c r="AV506" s="65"/>
      <c r="AW506" s="66"/>
      <c r="AX506" s="66"/>
      <c r="AY506" s="106"/>
    </row>
    <row r="507" s="31" customFormat="1" spans="2:51">
      <c r="B507" s="65"/>
      <c r="C507" s="66"/>
      <c r="D507" s="66"/>
      <c r="E507" s="67"/>
      <c r="F507" s="66"/>
      <c r="G507" s="68"/>
      <c r="H507" s="66"/>
      <c r="I507" s="66"/>
      <c r="J507" s="66"/>
      <c r="K507" s="66"/>
      <c r="L507" s="84"/>
      <c r="M507" s="84"/>
      <c r="N507" s="41"/>
      <c r="O507" s="41"/>
      <c r="P507" s="84"/>
      <c r="Q507" s="84"/>
      <c r="R507" s="84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66"/>
      <c r="AU507" s="66"/>
      <c r="AV507" s="65"/>
      <c r="AW507" s="66"/>
      <c r="AX507" s="66"/>
      <c r="AY507" s="106"/>
    </row>
    <row r="508" s="31" customFormat="1" spans="2:51">
      <c r="B508" s="65"/>
      <c r="C508" s="66"/>
      <c r="D508" s="66"/>
      <c r="E508" s="67"/>
      <c r="F508" s="66"/>
      <c r="G508" s="68"/>
      <c r="H508" s="66"/>
      <c r="I508" s="66"/>
      <c r="J508" s="66"/>
      <c r="K508" s="66"/>
      <c r="L508" s="84"/>
      <c r="M508" s="84"/>
      <c r="N508" s="41"/>
      <c r="O508" s="41"/>
      <c r="P508" s="84"/>
      <c r="Q508" s="84"/>
      <c r="R508" s="84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66"/>
      <c r="AU508" s="66"/>
      <c r="AV508" s="65"/>
      <c r="AW508" s="66"/>
      <c r="AX508" s="66"/>
      <c r="AY508" s="106"/>
    </row>
    <row r="509" s="31" customFormat="1" spans="2:51">
      <c r="B509" s="65"/>
      <c r="C509" s="66"/>
      <c r="D509" s="66"/>
      <c r="E509" s="67"/>
      <c r="F509" s="66"/>
      <c r="G509" s="68"/>
      <c r="H509" s="66"/>
      <c r="I509" s="66"/>
      <c r="J509" s="66"/>
      <c r="K509" s="66"/>
      <c r="L509" s="84"/>
      <c r="M509" s="84"/>
      <c r="N509" s="41"/>
      <c r="O509" s="41"/>
      <c r="P509" s="84"/>
      <c r="Q509" s="84"/>
      <c r="R509" s="84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66"/>
      <c r="AU509" s="66"/>
      <c r="AV509" s="65"/>
      <c r="AW509" s="66"/>
      <c r="AX509" s="66"/>
      <c r="AY509" s="106"/>
    </row>
    <row r="510" s="31" customFormat="1" spans="2:51">
      <c r="B510" s="65"/>
      <c r="C510" s="66"/>
      <c r="D510" s="66"/>
      <c r="E510" s="67"/>
      <c r="F510" s="66"/>
      <c r="G510" s="68"/>
      <c r="H510" s="66"/>
      <c r="I510" s="66"/>
      <c r="J510" s="66"/>
      <c r="K510" s="66"/>
      <c r="L510" s="84"/>
      <c r="M510" s="84"/>
      <c r="N510" s="41"/>
      <c r="O510" s="41"/>
      <c r="P510" s="84"/>
      <c r="Q510" s="84"/>
      <c r="R510" s="84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66"/>
      <c r="AU510" s="66"/>
      <c r="AV510" s="65"/>
      <c r="AW510" s="66"/>
      <c r="AX510" s="66"/>
      <c r="AY510" s="106"/>
    </row>
    <row r="511" s="31" customFormat="1" spans="2:51">
      <c r="B511" s="65"/>
      <c r="C511" s="66"/>
      <c r="D511" s="66"/>
      <c r="E511" s="67"/>
      <c r="F511" s="66"/>
      <c r="G511" s="68"/>
      <c r="H511" s="66"/>
      <c r="I511" s="66"/>
      <c r="J511" s="66"/>
      <c r="K511" s="66"/>
      <c r="L511" s="84"/>
      <c r="M511" s="84"/>
      <c r="N511" s="41"/>
      <c r="O511" s="41"/>
      <c r="P511" s="84"/>
      <c r="Q511" s="84"/>
      <c r="R511" s="84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66"/>
      <c r="AU511" s="66"/>
      <c r="AV511" s="65"/>
      <c r="AW511" s="66"/>
      <c r="AX511" s="66"/>
      <c r="AY511" s="106"/>
    </row>
    <row r="512" s="31" customFormat="1" spans="2:51">
      <c r="B512" s="65"/>
      <c r="C512" s="66"/>
      <c r="D512" s="66"/>
      <c r="E512" s="67"/>
      <c r="F512" s="66"/>
      <c r="G512" s="68"/>
      <c r="H512" s="66"/>
      <c r="I512" s="66"/>
      <c r="J512" s="66"/>
      <c r="K512" s="66"/>
      <c r="L512" s="84"/>
      <c r="M512" s="84"/>
      <c r="N512" s="41"/>
      <c r="O512" s="41"/>
      <c r="P512" s="84"/>
      <c r="Q512" s="84"/>
      <c r="R512" s="84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66"/>
      <c r="AU512" s="66"/>
      <c r="AV512" s="65"/>
      <c r="AW512" s="66"/>
      <c r="AX512" s="66"/>
      <c r="AY512" s="106"/>
    </row>
    <row r="513" s="31" customFormat="1" spans="2:51">
      <c r="B513" s="65"/>
      <c r="C513" s="66"/>
      <c r="D513" s="66"/>
      <c r="E513" s="67"/>
      <c r="F513" s="66"/>
      <c r="G513" s="68"/>
      <c r="H513" s="66"/>
      <c r="I513" s="66"/>
      <c r="J513" s="66"/>
      <c r="K513" s="66"/>
      <c r="L513" s="84"/>
      <c r="M513" s="84"/>
      <c r="N513" s="41"/>
      <c r="O513" s="41"/>
      <c r="P513" s="84"/>
      <c r="Q513" s="84"/>
      <c r="R513" s="84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  <c r="AO513" s="66"/>
      <c r="AP513" s="66"/>
      <c r="AQ513" s="66"/>
      <c r="AR513" s="66"/>
      <c r="AS513" s="66"/>
      <c r="AT513" s="66"/>
      <c r="AU513" s="66"/>
      <c r="AV513" s="65"/>
      <c r="AW513" s="66"/>
      <c r="AX513" s="66"/>
      <c r="AY513" s="106"/>
    </row>
    <row r="514" s="31" customFormat="1" spans="2:51">
      <c r="B514" s="65"/>
      <c r="C514" s="66"/>
      <c r="D514" s="66"/>
      <c r="E514" s="67"/>
      <c r="F514" s="66"/>
      <c r="G514" s="68"/>
      <c r="H514" s="66"/>
      <c r="I514" s="66"/>
      <c r="J514" s="66"/>
      <c r="K514" s="66"/>
      <c r="L514" s="84"/>
      <c r="M514" s="84"/>
      <c r="N514" s="41"/>
      <c r="O514" s="41"/>
      <c r="P514" s="84"/>
      <c r="Q514" s="84"/>
      <c r="R514" s="84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  <c r="AO514" s="66"/>
      <c r="AP514" s="66"/>
      <c r="AQ514" s="66"/>
      <c r="AR514" s="66"/>
      <c r="AS514" s="66"/>
      <c r="AT514" s="66"/>
      <c r="AU514" s="66"/>
      <c r="AV514" s="65"/>
      <c r="AW514" s="66"/>
      <c r="AX514" s="66"/>
      <c r="AY514" s="106"/>
    </row>
    <row r="515" s="31" customFormat="1" spans="2:51">
      <c r="B515" s="65"/>
      <c r="C515" s="66"/>
      <c r="D515" s="66"/>
      <c r="E515" s="67"/>
      <c r="F515" s="66"/>
      <c r="G515" s="68"/>
      <c r="H515" s="66"/>
      <c r="I515" s="66"/>
      <c r="J515" s="66"/>
      <c r="K515" s="66"/>
      <c r="L515" s="84"/>
      <c r="M515" s="84"/>
      <c r="N515" s="41"/>
      <c r="O515" s="41"/>
      <c r="P515" s="84"/>
      <c r="Q515" s="84"/>
      <c r="R515" s="84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66"/>
      <c r="AU515" s="66"/>
      <c r="AV515" s="65"/>
      <c r="AW515" s="66"/>
      <c r="AX515" s="66"/>
      <c r="AY515" s="106"/>
    </row>
    <row r="516" s="31" customFormat="1" spans="2:51">
      <c r="B516" s="65"/>
      <c r="C516" s="66"/>
      <c r="D516" s="66"/>
      <c r="E516" s="67"/>
      <c r="F516" s="66"/>
      <c r="G516" s="68"/>
      <c r="H516" s="66"/>
      <c r="I516" s="66"/>
      <c r="J516" s="66"/>
      <c r="K516" s="66"/>
      <c r="L516" s="84"/>
      <c r="M516" s="84"/>
      <c r="N516" s="41"/>
      <c r="O516" s="41"/>
      <c r="P516" s="84"/>
      <c r="Q516" s="84"/>
      <c r="R516" s="84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66"/>
      <c r="AU516" s="66"/>
      <c r="AV516" s="65"/>
      <c r="AW516" s="66"/>
      <c r="AX516" s="66"/>
      <c r="AY516" s="106"/>
    </row>
    <row r="517" s="31" customFormat="1" spans="2:51">
      <c r="B517" s="65"/>
      <c r="C517" s="66"/>
      <c r="D517" s="66"/>
      <c r="E517" s="67"/>
      <c r="F517" s="66"/>
      <c r="G517" s="68"/>
      <c r="H517" s="66"/>
      <c r="I517" s="66"/>
      <c r="J517" s="66"/>
      <c r="K517" s="66"/>
      <c r="L517" s="84"/>
      <c r="M517" s="84"/>
      <c r="N517" s="41"/>
      <c r="O517" s="41"/>
      <c r="P517" s="84"/>
      <c r="Q517" s="84"/>
      <c r="R517" s="84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66"/>
      <c r="AU517" s="66"/>
      <c r="AV517" s="65"/>
      <c r="AW517" s="66"/>
      <c r="AX517" s="66"/>
      <c r="AY517" s="106"/>
    </row>
    <row r="518" s="31" customFormat="1" spans="2:51">
      <c r="B518" s="65"/>
      <c r="C518" s="66"/>
      <c r="D518" s="66"/>
      <c r="E518" s="67"/>
      <c r="F518" s="66"/>
      <c r="G518" s="68"/>
      <c r="H518" s="66"/>
      <c r="I518" s="66"/>
      <c r="J518" s="66"/>
      <c r="K518" s="66"/>
      <c r="L518" s="84"/>
      <c r="M518" s="84"/>
      <c r="N518" s="41"/>
      <c r="O518" s="41"/>
      <c r="P518" s="84"/>
      <c r="Q518" s="84"/>
      <c r="R518" s="84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66"/>
      <c r="AU518" s="66"/>
      <c r="AV518" s="65"/>
      <c r="AW518" s="66"/>
      <c r="AX518" s="66"/>
      <c r="AY518" s="106"/>
    </row>
    <row r="519" s="31" customFormat="1" spans="2:51">
      <c r="B519" s="65"/>
      <c r="C519" s="66"/>
      <c r="D519" s="66"/>
      <c r="E519" s="67"/>
      <c r="F519" s="66"/>
      <c r="G519" s="68"/>
      <c r="H519" s="66"/>
      <c r="I519" s="66"/>
      <c r="J519" s="66"/>
      <c r="K519" s="66"/>
      <c r="L519" s="84"/>
      <c r="M519" s="84"/>
      <c r="N519" s="41"/>
      <c r="O519" s="41"/>
      <c r="P519" s="84"/>
      <c r="Q519" s="84"/>
      <c r="R519" s="84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66"/>
      <c r="AU519" s="66"/>
      <c r="AV519" s="65"/>
      <c r="AW519" s="66"/>
      <c r="AX519" s="66"/>
      <c r="AY519" s="106"/>
    </row>
    <row r="520" s="31" customFormat="1" spans="2:51">
      <c r="B520" s="65"/>
      <c r="C520" s="66"/>
      <c r="D520" s="66"/>
      <c r="E520" s="67"/>
      <c r="F520" s="66"/>
      <c r="G520" s="68"/>
      <c r="H520" s="66"/>
      <c r="I520" s="66"/>
      <c r="J520" s="66"/>
      <c r="K520" s="66"/>
      <c r="L520" s="84"/>
      <c r="M520" s="84"/>
      <c r="N520" s="41"/>
      <c r="O520" s="41"/>
      <c r="P520" s="84"/>
      <c r="Q520" s="84"/>
      <c r="R520" s="84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  <c r="AO520" s="66"/>
      <c r="AP520" s="66"/>
      <c r="AQ520" s="66"/>
      <c r="AR520" s="66"/>
      <c r="AS520" s="66"/>
      <c r="AT520" s="66"/>
      <c r="AU520" s="66"/>
      <c r="AV520" s="65"/>
      <c r="AW520" s="66"/>
      <c r="AX520" s="66"/>
      <c r="AY520" s="106"/>
    </row>
    <row r="521" s="31" customFormat="1" spans="2:51">
      <c r="B521" s="65"/>
      <c r="C521" s="66"/>
      <c r="D521" s="66"/>
      <c r="E521" s="67"/>
      <c r="F521" s="66"/>
      <c r="G521" s="68"/>
      <c r="H521" s="66"/>
      <c r="I521" s="66"/>
      <c r="J521" s="66"/>
      <c r="K521" s="66"/>
      <c r="L521" s="84"/>
      <c r="M521" s="84"/>
      <c r="N521" s="41"/>
      <c r="O521" s="41"/>
      <c r="P521" s="84"/>
      <c r="Q521" s="84"/>
      <c r="R521" s="84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66"/>
      <c r="AU521" s="66"/>
      <c r="AV521" s="65"/>
      <c r="AW521" s="66"/>
      <c r="AX521" s="66"/>
      <c r="AY521" s="106"/>
    </row>
    <row r="522" s="31" customFormat="1" spans="2:51">
      <c r="B522" s="65"/>
      <c r="C522" s="66"/>
      <c r="D522" s="66"/>
      <c r="E522" s="67"/>
      <c r="F522" s="66"/>
      <c r="G522" s="68"/>
      <c r="H522" s="66"/>
      <c r="I522" s="66"/>
      <c r="J522" s="66"/>
      <c r="K522" s="66"/>
      <c r="L522" s="84"/>
      <c r="M522" s="84"/>
      <c r="N522" s="41"/>
      <c r="O522" s="41"/>
      <c r="P522" s="84"/>
      <c r="Q522" s="84"/>
      <c r="R522" s="84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66"/>
      <c r="AU522" s="66"/>
      <c r="AV522" s="65"/>
      <c r="AW522" s="66"/>
      <c r="AX522" s="66"/>
      <c r="AY522" s="106"/>
    </row>
    <row r="523" s="31" customFormat="1" spans="2:51">
      <c r="B523" s="65"/>
      <c r="C523" s="66"/>
      <c r="D523" s="66"/>
      <c r="E523" s="67"/>
      <c r="F523" s="66"/>
      <c r="G523" s="68"/>
      <c r="H523" s="66"/>
      <c r="I523" s="66"/>
      <c r="J523" s="66"/>
      <c r="K523" s="66"/>
      <c r="L523" s="84"/>
      <c r="M523" s="84"/>
      <c r="N523" s="41"/>
      <c r="O523" s="41"/>
      <c r="P523" s="84"/>
      <c r="Q523" s="84"/>
      <c r="R523" s="84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66"/>
      <c r="AU523" s="66"/>
      <c r="AV523" s="65"/>
      <c r="AW523" s="66"/>
      <c r="AX523" s="66"/>
      <c r="AY523" s="106"/>
    </row>
    <row r="524" s="31" customFormat="1" spans="2:51">
      <c r="B524" s="65"/>
      <c r="C524" s="66"/>
      <c r="D524" s="66"/>
      <c r="E524" s="67"/>
      <c r="F524" s="66"/>
      <c r="G524" s="68"/>
      <c r="H524" s="66"/>
      <c r="I524" s="66"/>
      <c r="J524" s="66"/>
      <c r="K524" s="66"/>
      <c r="L524" s="84"/>
      <c r="M524" s="84"/>
      <c r="N524" s="41"/>
      <c r="O524" s="41"/>
      <c r="P524" s="84"/>
      <c r="Q524" s="84"/>
      <c r="R524" s="84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66"/>
      <c r="AU524" s="66"/>
      <c r="AV524" s="65"/>
      <c r="AW524" s="66"/>
      <c r="AX524" s="66"/>
      <c r="AY524" s="106"/>
    </row>
    <row r="525" s="31" customFormat="1" spans="2:51">
      <c r="B525" s="65"/>
      <c r="C525" s="66"/>
      <c r="D525" s="66"/>
      <c r="E525" s="67"/>
      <c r="F525" s="66"/>
      <c r="G525" s="68"/>
      <c r="H525" s="66"/>
      <c r="I525" s="66"/>
      <c r="J525" s="66"/>
      <c r="K525" s="66"/>
      <c r="L525" s="84"/>
      <c r="M525" s="84"/>
      <c r="N525" s="41"/>
      <c r="O525" s="41"/>
      <c r="P525" s="84"/>
      <c r="Q525" s="84"/>
      <c r="R525" s="84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66"/>
      <c r="AU525" s="66"/>
      <c r="AV525" s="65"/>
      <c r="AW525" s="66"/>
      <c r="AX525" s="66"/>
      <c r="AY525" s="106"/>
    </row>
    <row r="526" s="31" customFormat="1" spans="2:51">
      <c r="B526" s="65"/>
      <c r="C526" s="66"/>
      <c r="D526" s="66"/>
      <c r="E526" s="67"/>
      <c r="F526" s="66"/>
      <c r="G526" s="68"/>
      <c r="H526" s="66"/>
      <c r="I526" s="66"/>
      <c r="J526" s="66"/>
      <c r="K526" s="66"/>
      <c r="L526" s="84"/>
      <c r="M526" s="84"/>
      <c r="N526" s="41"/>
      <c r="O526" s="41"/>
      <c r="P526" s="84"/>
      <c r="Q526" s="84"/>
      <c r="R526" s="84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66"/>
      <c r="AU526" s="66"/>
      <c r="AV526" s="65"/>
      <c r="AW526" s="66"/>
      <c r="AX526" s="66"/>
      <c r="AY526" s="106"/>
    </row>
    <row r="527" s="31" customFormat="1" spans="2:51">
      <c r="B527" s="65"/>
      <c r="C527" s="66"/>
      <c r="D527" s="66"/>
      <c r="E527" s="67"/>
      <c r="F527" s="66"/>
      <c r="G527" s="68"/>
      <c r="H527" s="66"/>
      <c r="I527" s="66"/>
      <c r="J527" s="66"/>
      <c r="K527" s="66"/>
      <c r="L527" s="84"/>
      <c r="M527" s="84"/>
      <c r="N527" s="41"/>
      <c r="O527" s="41"/>
      <c r="P527" s="84"/>
      <c r="Q527" s="84"/>
      <c r="R527" s="84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66"/>
      <c r="AU527" s="66"/>
      <c r="AV527" s="65"/>
      <c r="AW527" s="66"/>
      <c r="AX527" s="66"/>
      <c r="AY527" s="106"/>
    </row>
    <row r="528" s="31" customFormat="1" spans="2:51">
      <c r="B528" s="65"/>
      <c r="C528" s="66"/>
      <c r="D528" s="66"/>
      <c r="E528" s="67"/>
      <c r="F528" s="66"/>
      <c r="G528" s="68"/>
      <c r="H528" s="66"/>
      <c r="I528" s="66"/>
      <c r="J528" s="66"/>
      <c r="K528" s="66"/>
      <c r="L528" s="84"/>
      <c r="M528" s="84"/>
      <c r="N528" s="41"/>
      <c r="O528" s="41"/>
      <c r="P528" s="84"/>
      <c r="Q528" s="84"/>
      <c r="R528" s="84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  <c r="AO528" s="66"/>
      <c r="AP528" s="66"/>
      <c r="AQ528" s="66"/>
      <c r="AR528" s="66"/>
      <c r="AS528" s="66"/>
      <c r="AT528" s="66"/>
      <c r="AU528" s="66"/>
      <c r="AV528" s="65"/>
      <c r="AW528" s="66"/>
      <c r="AX528" s="66"/>
      <c r="AY528" s="106"/>
    </row>
    <row r="529" s="31" customFormat="1" spans="2:51">
      <c r="B529" s="65"/>
      <c r="C529" s="66"/>
      <c r="D529" s="66"/>
      <c r="E529" s="67"/>
      <c r="F529" s="66"/>
      <c r="G529" s="68"/>
      <c r="H529" s="66"/>
      <c r="I529" s="66"/>
      <c r="J529" s="66"/>
      <c r="K529" s="66"/>
      <c r="L529" s="84"/>
      <c r="M529" s="84"/>
      <c r="N529" s="41"/>
      <c r="O529" s="41"/>
      <c r="P529" s="84"/>
      <c r="Q529" s="84"/>
      <c r="R529" s="84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66"/>
      <c r="AU529" s="66"/>
      <c r="AV529" s="65"/>
      <c r="AW529" s="66"/>
      <c r="AX529" s="66"/>
      <c r="AY529" s="106"/>
    </row>
    <row r="530" s="31" customFormat="1" spans="2:51">
      <c r="B530" s="65"/>
      <c r="C530" s="66"/>
      <c r="D530" s="66"/>
      <c r="E530" s="67"/>
      <c r="F530" s="66"/>
      <c r="G530" s="68"/>
      <c r="H530" s="66"/>
      <c r="I530" s="66"/>
      <c r="J530" s="66"/>
      <c r="K530" s="66"/>
      <c r="L530" s="84"/>
      <c r="M530" s="84"/>
      <c r="N530" s="41"/>
      <c r="O530" s="41"/>
      <c r="P530" s="84"/>
      <c r="Q530" s="84"/>
      <c r="R530" s="84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66"/>
      <c r="AU530" s="66"/>
      <c r="AV530" s="65"/>
      <c r="AW530" s="66"/>
      <c r="AX530" s="66"/>
      <c r="AY530" s="106"/>
    </row>
    <row r="531" s="31" customFormat="1" spans="2:51">
      <c r="B531" s="65"/>
      <c r="C531" s="66"/>
      <c r="D531" s="66"/>
      <c r="E531" s="67"/>
      <c r="F531" s="66"/>
      <c r="G531" s="68"/>
      <c r="H531" s="66"/>
      <c r="I531" s="66"/>
      <c r="J531" s="66"/>
      <c r="K531" s="66"/>
      <c r="L531" s="84"/>
      <c r="M531" s="84"/>
      <c r="N531" s="41"/>
      <c r="O531" s="41"/>
      <c r="P531" s="84"/>
      <c r="Q531" s="84"/>
      <c r="R531" s="84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66"/>
      <c r="AU531" s="66"/>
      <c r="AV531" s="65"/>
      <c r="AW531" s="66"/>
      <c r="AX531" s="66"/>
      <c r="AY531" s="106"/>
    </row>
    <row r="532" s="31" customFormat="1" spans="2:51">
      <c r="B532" s="65"/>
      <c r="C532" s="66"/>
      <c r="D532" s="66"/>
      <c r="E532" s="67"/>
      <c r="F532" s="66"/>
      <c r="G532" s="68"/>
      <c r="H532" s="66"/>
      <c r="I532" s="66"/>
      <c r="J532" s="66"/>
      <c r="K532" s="66"/>
      <c r="L532" s="84"/>
      <c r="M532" s="84"/>
      <c r="N532" s="41"/>
      <c r="O532" s="41"/>
      <c r="P532" s="84"/>
      <c r="Q532" s="84"/>
      <c r="R532" s="84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66"/>
      <c r="AU532" s="66"/>
      <c r="AV532" s="65"/>
      <c r="AW532" s="66"/>
      <c r="AX532" s="66"/>
      <c r="AY532" s="106"/>
    </row>
    <row r="533" s="31" customFormat="1" spans="2:51">
      <c r="B533" s="65"/>
      <c r="C533" s="66"/>
      <c r="D533" s="66"/>
      <c r="E533" s="67"/>
      <c r="F533" s="66"/>
      <c r="G533" s="68"/>
      <c r="H533" s="66"/>
      <c r="I533" s="66"/>
      <c r="J533" s="66"/>
      <c r="K533" s="66"/>
      <c r="L533" s="84"/>
      <c r="M533" s="84"/>
      <c r="N533" s="41"/>
      <c r="O533" s="41"/>
      <c r="P533" s="84"/>
      <c r="Q533" s="84"/>
      <c r="R533" s="84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66"/>
      <c r="AU533" s="66"/>
      <c r="AV533" s="65"/>
      <c r="AW533" s="66"/>
      <c r="AX533" s="66"/>
      <c r="AY533" s="106"/>
    </row>
    <row r="534" s="31" customFormat="1" spans="2:51">
      <c r="B534" s="65"/>
      <c r="C534" s="66"/>
      <c r="D534" s="66"/>
      <c r="E534" s="67"/>
      <c r="F534" s="66"/>
      <c r="G534" s="68"/>
      <c r="H534" s="66"/>
      <c r="I534" s="66"/>
      <c r="J534" s="66"/>
      <c r="K534" s="66"/>
      <c r="L534" s="84"/>
      <c r="M534" s="84"/>
      <c r="N534" s="41"/>
      <c r="O534" s="41"/>
      <c r="P534" s="84"/>
      <c r="Q534" s="84"/>
      <c r="R534" s="84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66"/>
      <c r="AU534" s="66"/>
      <c r="AV534" s="65"/>
      <c r="AW534" s="66"/>
      <c r="AX534" s="66"/>
      <c r="AY534" s="106"/>
    </row>
    <row r="535" s="31" customFormat="1" spans="2:51">
      <c r="B535" s="65"/>
      <c r="C535" s="66"/>
      <c r="D535" s="66"/>
      <c r="E535" s="67"/>
      <c r="F535" s="66"/>
      <c r="G535" s="68"/>
      <c r="H535" s="66"/>
      <c r="I535" s="66"/>
      <c r="J535" s="66"/>
      <c r="K535" s="66"/>
      <c r="L535" s="84"/>
      <c r="M535" s="84"/>
      <c r="N535" s="41"/>
      <c r="O535" s="41"/>
      <c r="P535" s="84"/>
      <c r="Q535" s="84"/>
      <c r="R535" s="84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66"/>
      <c r="AU535" s="66"/>
      <c r="AV535" s="65"/>
      <c r="AW535" s="66"/>
      <c r="AX535" s="66"/>
      <c r="AY535" s="106"/>
    </row>
    <row r="536" s="31" customFormat="1" spans="2:51">
      <c r="B536" s="65"/>
      <c r="C536" s="66"/>
      <c r="D536" s="66"/>
      <c r="E536" s="67"/>
      <c r="F536" s="66"/>
      <c r="G536" s="68"/>
      <c r="H536" s="66"/>
      <c r="I536" s="66"/>
      <c r="J536" s="66"/>
      <c r="K536" s="66"/>
      <c r="L536" s="84"/>
      <c r="M536" s="84"/>
      <c r="N536" s="41"/>
      <c r="O536" s="41"/>
      <c r="P536" s="84"/>
      <c r="Q536" s="84"/>
      <c r="R536" s="84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66"/>
      <c r="AU536" s="66"/>
      <c r="AV536" s="65"/>
      <c r="AW536" s="66"/>
      <c r="AX536" s="66"/>
      <c r="AY536" s="106"/>
    </row>
    <row r="537" s="31" customFormat="1" spans="2:51">
      <c r="B537" s="65"/>
      <c r="C537" s="66"/>
      <c r="D537" s="66"/>
      <c r="E537" s="67"/>
      <c r="F537" s="66"/>
      <c r="G537" s="68"/>
      <c r="H537" s="66"/>
      <c r="I537" s="66"/>
      <c r="J537" s="66"/>
      <c r="K537" s="66"/>
      <c r="L537" s="84"/>
      <c r="M537" s="84"/>
      <c r="N537" s="41"/>
      <c r="O537" s="41"/>
      <c r="P537" s="84"/>
      <c r="Q537" s="84"/>
      <c r="R537" s="84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66"/>
      <c r="AU537" s="66"/>
      <c r="AV537" s="65"/>
      <c r="AW537" s="66"/>
      <c r="AX537" s="66"/>
      <c r="AY537" s="106"/>
    </row>
    <row r="538" s="31" customFormat="1" spans="2:51">
      <c r="B538" s="65"/>
      <c r="C538" s="66"/>
      <c r="D538" s="66"/>
      <c r="E538" s="67"/>
      <c r="F538" s="66"/>
      <c r="G538" s="68"/>
      <c r="H538" s="66"/>
      <c r="I538" s="66"/>
      <c r="J538" s="66"/>
      <c r="K538" s="66"/>
      <c r="L538" s="84"/>
      <c r="M538" s="84"/>
      <c r="N538" s="41"/>
      <c r="O538" s="41"/>
      <c r="P538" s="84"/>
      <c r="Q538" s="84"/>
      <c r="R538" s="84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66"/>
      <c r="AU538" s="66"/>
      <c r="AV538" s="65"/>
      <c r="AW538" s="66"/>
      <c r="AX538" s="66"/>
      <c r="AY538" s="106"/>
    </row>
    <row r="539" s="31" customFormat="1" spans="2:51">
      <c r="B539" s="65"/>
      <c r="C539" s="66"/>
      <c r="D539" s="66"/>
      <c r="E539" s="67"/>
      <c r="F539" s="66"/>
      <c r="G539" s="68"/>
      <c r="H539" s="66"/>
      <c r="I539" s="66"/>
      <c r="J539" s="66"/>
      <c r="K539" s="66"/>
      <c r="L539" s="84"/>
      <c r="M539" s="84"/>
      <c r="N539" s="41"/>
      <c r="O539" s="41"/>
      <c r="P539" s="84"/>
      <c r="Q539" s="84"/>
      <c r="R539" s="84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66"/>
      <c r="AU539" s="66"/>
      <c r="AV539" s="65"/>
      <c r="AW539" s="66"/>
      <c r="AX539" s="66"/>
      <c r="AY539" s="106"/>
    </row>
    <row r="540" s="31" customFormat="1" spans="2:51">
      <c r="B540" s="65"/>
      <c r="C540" s="66"/>
      <c r="D540" s="66"/>
      <c r="E540" s="67"/>
      <c r="F540" s="66"/>
      <c r="G540" s="68"/>
      <c r="H540" s="66"/>
      <c r="I540" s="66"/>
      <c r="J540" s="66"/>
      <c r="K540" s="66"/>
      <c r="L540" s="84"/>
      <c r="M540" s="84"/>
      <c r="N540" s="41"/>
      <c r="O540" s="41"/>
      <c r="P540" s="84"/>
      <c r="Q540" s="84"/>
      <c r="R540" s="84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66"/>
      <c r="AU540" s="66"/>
      <c r="AV540" s="65"/>
      <c r="AW540" s="66"/>
      <c r="AX540" s="66"/>
      <c r="AY540" s="106"/>
    </row>
    <row r="541" s="31" customFormat="1" spans="2:51">
      <c r="B541" s="65"/>
      <c r="C541" s="66"/>
      <c r="D541" s="66"/>
      <c r="E541" s="67"/>
      <c r="F541" s="66"/>
      <c r="G541" s="68"/>
      <c r="H541" s="66"/>
      <c r="I541" s="66"/>
      <c r="J541" s="66"/>
      <c r="K541" s="66"/>
      <c r="L541" s="84"/>
      <c r="M541" s="84"/>
      <c r="N541" s="41"/>
      <c r="O541" s="41"/>
      <c r="P541" s="84"/>
      <c r="Q541" s="84"/>
      <c r="R541" s="84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66"/>
      <c r="AU541" s="66"/>
      <c r="AV541" s="65"/>
      <c r="AW541" s="66"/>
      <c r="AX541" s="66"/>
      <c r="AY541" s="106"/>
    </row>
    <row r="542" s="31" customFormat="1" spans="2:51">
      <c r="B542" s="65"/>
      <c r="C542" s="66"/>
      <c r="D542" s="66"/>
      <c r="E542" s="67"/>
      <c r="F542" s="66"/>
      <c r="G542" s="68"/>
      <c r="H542" s="66"/>
      <c r="I542" s="66"/>
      <c r="J542" s="66"/>
      <c r="K542" s="66"/>
      <c r="L542" s="84"/>
      <c r="M542" s="84"/>
      <c r="N542" s="41"/>
      <c r="O542" s="41"/>
      <c r="P542" s="84"/>
      <c r="Q542" s="84"/>
      <c r="R542" s="84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66"/>
      <c r="AU542" s="66"/>
      <c r="AV542" s="65"/>
      <c r="AW542" s="66"/>
      <c r="AX542" s="66"/>
      <c r="AY542" s="106"/>
    </row>
    <row r="543" s="31" customFormat="1" spans="2:51">
      <c r="B543" s="65"/>
      <c r="C543" s="66"/>
      <c r="D543" s="66"/>
      <c r="E543" s="67"/>
      <c r="F543" s="66"/>
      <c r="G543" s="68"/>
      <c r="H543" s="66"/>
      <c r="I543" s="66"/>
      <c r="J543" s="66"/>
      <c r="K543" s="66"/>
      <c r="L543" s="84"/>
      <c r="M543" s="84"/>
      <c r="N543" s="41"/>
      <c r="O543" s="41"/>
      <c r="P543" s="84"/>
      <c r="Q543" s="84"/>
      <c r="R543" s="84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66"/>
      <c r="AU543" s="66"/>
      <c r="AV543" s="65"/>
      <c r="AW543" s="66"/>
      <c r="AX543" s="66"/>
      <c r="AY543" s="106"/>
    </row>
    <row r="544" s="31" customFormat="1" spans="2:51">
      <c r="B544" s="65"/>
      <c r="C544" s="66"/>
      <c r="D544" s="66"/>
      <c r="E544" s="67"/>
      <c r="F544" s="66"/>
      <c r="G544" s="68"/>
      <c r="H544" s="66"/>
      <c r="I544" s="66"/>
      <c r="J544" s="66"/>
      <c r="K544" s="66"/>
      <c r="L544" s="84"/>
      <c r="M544" s="84"/>
      <c r="N544" s="41"/>
      <c r="O544" s="41"/>
      <c r="P544" s="84"/>
      <c r="Q544" s="84"/>
      <c r="R544" s="84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66"/>
      <c r="AU544" s="66"/>
      <c r="AV544" s="65"/>
      <c r="AW544" s="66"/>
      <c r="AX544" s="66"/>
      <c r="AY544" s="106"/>
    </row>
    <row r="545" s="31" customFormat="1" spans="2:51">
      <c r="B545" s="65"/>
      <c r="C545" s="66"/>
      <c r="D545" s="66"/>
      <c r="E545" s="67"/>
      <c r="F545" s="66"/>
      <c r="G545" s="68"/>
      <c r="H545" s="66"/>
      <c r="I545" s="66"/>
      <c r="J545" s="66"/>
      <c r="K545" s="66"/>
      <c r="L545" s="84"/>
      <c r="M545" s="84"/>
      <c r="N545" s="41"/>
      <c r="O545" s="41"/>
      <c r="P545" s="84"/>
      <c r="Q545" s="84"/>
      <c r="R545" s="84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66"/>
      <c r="AU545" s="66"/>
      <c r="AV545" s="65"/>
      <c r="AW545" s="66"/>
      <c r="AX545" s="66"/>
      <c r="AY545" s="106"/>
    </row>
    <row r="546" s="31" customFormat="1" spans="2:51">
      <c r="B546" s="65"/>
      <c r="C546" s="66"/>
      <c r="D546" s="66"/>
      <c r="E546" s="67"/>
      <c r="F546" s="66"/>
      <c r="G546" s="68"/>
      <c r="H546" s="66"/>
      <c r="I546" s="66"/>
      <c r="J546" s="66"/>
      <c r="K546" s="66"/>
      <c r="L546" s="84"/>
      <c r="M546" s="84"/>
      <c r="N546" s="41"/>
      <c r="O546" s="41"/>
      <c r="P546" s="84"/>
      <c r="Q546" s="84"/>
      <c r="R546" s="84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66"/>
      <c r="AU546" s="66"/>
      <c r="AV546" s="65"/>
      <c r="AW546" s="66"/>
      <c r="AX546" s="66"/>
      <c r="AY546" s="106"/>
    </row>
    <row r="547" s="31" customFormat="1" spans="2:51">
      <c r="B547" s="65"/>
      <c r="C547" s="66"/>
      <c r="D547" s="66"/>
      <c r="E547" s="67"/>
      <c r="F547" s="66"/>
      <c r="G547" s="68"/>
      <c r="H547" s="66"/>
      <c r="I547" s="66"/>
      <c r="J547" s="66"/>
      <c r="K547" s="66"/>
      <c r="L547" s="84"/>
      <c r="M547" s="84"/>
      <c r="N547" s="41"/>
      <c r="O547" s="41"/>
      <c r="P547" s="84"/>
      <c r="Q547" s="84"/>
      <c r="R547" s="84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66"/>
      <c r="AU547" s="66"/>
      <c r="AV547" s="65"/>
      <c r="AW547" s="66"/>
      <c r="AX547" s="66"/>
      <c r="AY547" s="106"/>
    </row>
    <row r="548" s="31" customFormat="1" spans="2:51">
      <c r="B548" s="65"/>
      <c r="C548" s="66"/>
      <c r="D548" s="66"/>
      <c r="E548" s="67"/>
      <c r="F548" s="66"/>
      <c r="G548" s="68"/>
      <c r="H548" s="66"/>
      <c r="I548" s="66"/>
      <c r="J548" s="66"/>
      <c r="K548" s="66"/>
      <c r="L548" s="84"/>
      <c r="M548" s="84"/>
      <c r="N548" s="41"/>
      <c r="O548" s="41"/>
      <c r="P548" s="84"/>
      <c r="Q548" s="84"/>
      <c r="R548" s="84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66"/>
      <c r="AU548" s="66"/>
      <c r="AV548" s="65"/>
      <c r="AW548" s="66"/>
      <c r="AX548" s="66"/>
      <c r="AY548" s="106"/>
    </row>
    <row r="549" s="31" customFormat="1" spans="2:51">
      <c r="B549" s="65"/>
      <c r="C549" s="66"/>
      <c r="D549" s="66"/>
      <c r="E549" s="67"/>
      <c r="F549" s="66"/>
      <c r="G549" s="68"/>
      <c r="H549" s="66"/>
      <c r="I549" s="66"/>
      <c r="J549" s="66"/>
      <c r="K549" s="66"/>
      <c r="L549" s="84"/>
      <c r="M549" s="84"/>
      <c r="N549" s="41"/>
      <c r="O549" s="41"/>
      <c r="P549" s="84"/>
      <c r="Q549" s="84"/>
      <c r="R549" s="84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66"/>
      <c r="AU549" s="66"/>
      <c r="AV549" s="65"/>
      <c r="AW549" s="66"/>
      <c r="AX549" s="66"/>
      <c r="AY549" s="106"/>
    </row>
    <row r="550" s="31" customFormat="1" spans="2:51">
      <c r="B550" s="65"/>
      <c r="C550" s="66"/>
      <c r="D550" s="66"/>
      <c r="E550" s="67"/>
      <c r="F550" s="66"/>
      <c r="G550" s="68"/>
      <c r="H550" s="66"/>
      <c r="I550" s="66"/>
      <c r="J550" s="66"/>
      <c r="K550" s="66"/>
      <c r="L550" s="84"/>
      <c r="M550" s="84"/>
      <c r="N550" s="41"/>
      <c r="O550" s="41"/>
      <c r="P550" s="84"/>
      <c r="Q550" s="84"/>
      <c r="R550" s="84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66"/>
      <c r="AU550" s="66"/>
      <c r="AV550" s="65"/>
      <c r="AW550" s="66"/>
      <c r="AX550" s="66"/>
      <c r="AY550" s="106"/>
    </row>
    <row r="551" s="31" customFormat="1" spans="2:51">
      <c r="B551" s="65"/>
      <c r="C551" s="66"/>
      <c r="D551" s="66"/>
      <c r="E551" s="67"/>
      <c r="F551" s="66"/>
      <c r="G551" s="68"/>
      <c r="H551" s="66"/>
      <c r="I551" s="66"/>
      <c r="J551" s="66"/>
      <c r="K551" s="66"/>
      <c r="L551" s="84"/>
      <c r="M551" s="84"/>
      <c r="N551" s="41"/>
      <c r="O551" s="41"/>
      <c r="P551" s="84"/>
      <c r="Q551" s="84"/>
      <c r="R551" s="84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66"/>
      <c r="AU551" s="66"/>
      <c r="AV551" s="65"/>
      <c r="AW551" s="66"/>
      <c r="AX551" s="66"/>
      <c r="AY551" s="106"/>
    </row>
    <row r="552" s="31" customFormat="1" spans="2:51">
      <c r="B552" s="65"/>
      <c r="C552" s="66"/>
      <c r="D552" s="66"/>
      <c r="E552" s="67"/>
      <c r="F552" s="66"/>
      <c r="G552" s="68"/>
      <c r="H552" s="66"/>
      <c r="I552" s="66"/>
      <c r="J552" s="66"/>
      <c r="K552" s="66"/>
      <c r="L552" s="84"/>
      <c r="M552" s="84"/>
      <c r="N552" s="41"/>
      <c r="O552" s="41"/>
      <c r="P552" s="84"/>
      <c r="Q552" s="84"/>
      <c r="R552" s="84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66"/>
      <c r="AU552" s="66"/>
      <c r="AV552" s="65"/>
      <c r="AW552" s="66"/>
      <c r="AX552" s="66"/>
      <c r="AY552" s="106"/>
    </row>
    <row r="553" s="31" customFormat="1" spans="2:51">
      <c r="B553" s="65"/>
      <c r="C553" s="66"/>
      <c r="D553" s="66"/>
      <c r="E553" s="67"/>
      <c r="F553" s="66"/>
      <c r="G553" s="68"/>
      <c r="H553" s="66"/>
      <c r="I553" s="66"/>
      <c r="J553" s="66"/>
      <c r="K553" s="66"/>
      <c r="L553" s="84"/>
      <c r="M553" s="84"/>
      <c r="N553" s="41"/>
      <c r="O553" s="41"/>
      <c r="P553" s="84"/>
      <c r="Q553" s="84"/>
      <c r="R553" s="84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66"/>
      <c r="AU553" s="66"/>
      <c r="AV553" s="65"/>
      <c r="AW553" s="66"/>
      <c r="AX553" s="66"/>
      <c r="AY553" s="106"/>
    </row>
    <row r="554" s="31" customFormat="1" spans="2:51">
      <c r="B554" s="65"/>
      <c r="C554" s="66"/>
      <c r="D554" s="66"/>
      <c r="E554" s="67"/>
      <c r="F554" s="66"/>
      <c r="G554" s="68"/>
      <c r="H554" s="66"/>
      <c r="I554" s="66"/>
      <c r="J554" s="66"/>
      <c r="K554" s="66"/>
      <c r="L554" s="84"/>
      <c r="M554" s="84"/>
      <c r="N554" s="41"/>
      <c r="O554" s="41"/>
      <c r="P554" s="84"/>
      <c r="Q554" s="84"/>
      <c r="R554" s="84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66"/>
      <c r="AU554" s="66"/>
      <c r="AV554" s="65"/>
      <c r="AW554" s="66"/>
      <c r="AX554" s="66"/>
      <c r="AY554" s="106"/>
    </row>
    <row r="555" s="31" customFormat="1" spans="2:51">
      <c r="B555" s="65"/>
      <c r="C555" s="66"/>
      <c r="D555" s="66"/>
      <c r="E555" s="67"/>
      <c r="F555" s="66"/>
      <c r="G555" s="68"/>
      <c r="H555" s="66"/>
      <c r="I555" s="66"/>
      <c r="J555" s="66"/>
      <c r="K555" s="66"/>
      <c r="L555" s="84"/>
      <c r="M555" s="84"/>
      <c r="N555" s="41"/>
      <c r="O555" s="41"/>
      <c r="P555" s="84"/>
      <c r="Q555" s="84"/>
      <c r="R555" s="84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66"/>
      <c r="AU555" s="66"/>
      <c r="AV555" s="65"/>
      <c r="AW555" s="66"/>
      <c r="AX555" s="66"/>
      <c r="AY555" s="106"/>
    </row>
    <row r="556" s="31" customFormat="1" spans="2:51">
      <c r="B556" s="65"/>
      <c r="C556" s="66"/>
      <c r="D556" s="66"/>
      <c r="E556" s="67"/>
      <c r="F556" s="66"/>
      <c r="G556" s="68"/>
      <c r="H556" s="66"/>
      <c r="I556" s="66"/>
      <c r="J556" s="66"/>
      <c r="K556" s="66"/>
      <c r="L556" s="84"/>
      <c r="M556" s="84"/>
      <c r="N556" s="41"/>
      <c r="O556" s="41"/>
      <c r="P556" s="84"/>
      <c r="Q556" s="84"/>
      <c r="R556" s="84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66"/>
      <c r="AU556" s="66"/>
      <c r="AV556" s="65"/>
      <c r="AW556" s="66"/>
      <c r="AX556" s="66"/>
      <c r="AY556" s="106"/>
    </row>
    <row r="557" s="31" customFormat="1" spans="2:51">
      <c r="B557" s="65"/>
      <c r="C557" s="66"/>
      <c r="D557" s="66"/>
      <c r="E557" s="67"/>
      <c r="F557" s="66"/>
      <c r="G557" s="68"/>
      <c r="H557" s="66"/>
      <c r="I557" s="66"/>
      <c r="J557" s="66"/>
      <c r="K557" s="66"/>
      <c r="L557" s="84"/>
      <c r="M557" s="84"/>
      <c r="N557" s="41"/>
      <c r="O557" s="41"/>
      <c r="P557" s="84"/>
      <c r="Q557" s="84"/>
      <c r="R557" s="84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66"/>
      <c r="AU557" s="66"/>
      <c r="AV557" s="65"/>
      <c r="AW557" s="66"/>
      <c r="AX557" s="66"/>
      <c r="AY557" s="106"/>
    </row>
    <row r="558" s="31" customFormat="1" spans="2:51">
      <c r="B558" s="65"/>
      <c r="C558" s="66"/>
      <c r="D558" s="66"/>
      <c r="E558" s="67"/>
      <c r="F558" s="66"/>
      <c r="G558" s="68"/>
      <c r="H558" s="66"/>
      <c r="I558" s="66"/>
      <c r="J558" s="66"/>
      <c r="K558" s="66"/>
      <c r="L558" s="84"/>
      <c r="M558" s="84"/>
      <c r="N558" s="41"/>
      <c r="O558" s="41"/>
      <c r="P558" s="84"/>
      <c r="Q558" s="84"/>
      <c r="R558" s="84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66"/>
      <c r="AU558" s="66"/>
      <c r="AV558" s="65"/>
      <c r="AW558" s="66"/>
      <c r="AX558" s="66"/>
      <c r="AY558" s="106"/>
    </row>
    <row r="559" s="31" customFormat="1" spans="2:51">
      <c r="B559" s="65"/>
      <c r="C559" s="66"/>
      <c r="D559" s="66"/>
      <c r="E559" s="67"/>
      <c r="F559" s="66"/>
      <c r="G559" s="68"/>
      <c r="H559" s="66"/>
      <c r="I559" s="66"/>
      <c r="J559" s="66"/>
      <c r="K559" s="66"/>
      <c r="L559" s="84"/>
      <c r="M559" s="84"/>
      <c r="N559" s="41"/>
      <c r="O559" s="41"/>
      <c r="P559" s="84"/>
      <c r="Q559" s="84"/>
      <c r="R559" s="84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66"/>
      <c r="AU559" s="66"/>
      <c r="AV559" s="65"/>
      <c r="AW559" s="66"/>
      <c r="AX559" s="66"/>
      <c r="AY559" s="106"/>
    </row>
    <row r="560" s="31" customFormat="1" spans="2:51">
      <c r="B560" s="65"/>
      <c r="C560" s="66"/>
      <c r="D560" s="66"/>
      <c r="E560" s="67"/>
      <c r="F560" s="66"/>
      <c r="G560" s="68"/>
      <c r="H560" s="66"/>
      <c r="I560" s="66"/>
      <c r="J560" s="66"/>
      <c r="K560" s="66"/>
      <c r="L560" s="84"/>
      <c r="M560" s="84"/>
      <c r="N560" s="41"/>
      <c r="O560" s="41"/>
      <c r="P560" s="84"/>
      <c r="Q560" s="84"/>
      <c r="R560" s="84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66"/>
      <c r="AU560" s="66"/>
      <c r="AV560" s="65"/>
      <c r="AW560" s="66"/>
      <c r="AX560" s="66"/>
      <c r="AY560" s="106"/>
    </row>
    <row r="561" s="31" customFormat="1" spans="2:51">
      <c r="B561" s="65"/>
      <c r="C561" s="66"/>
      <c r="D561" s="66"/>
      <c r="E561" s="67"/>
      <c r="F561" s="66"/>
      <c r="G561" s="68"/>
      <c r="H561" s="66"/>
      <c r="I561" s="66"/>
      <c r="J561" s="66"/>
      <c r="K561" s="66"/>
      <c r="L561" s="84"/>
      <c r="M561" s="84"/>
      <c r="N561" s="41"/>
      <c r="O561" s="41"/>
      <c r="P561" s="84"/>
      <c r="Q561" s="84"/>
      <c r="R561" s="84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66"/>
      <c r="AU561" s="66"/>
      <c r="AV561" s="65"/>
      <c r="AW561" s="66"/>
      <c r="AX561" s="66"/>
      <c r="AY561" s="106"/>
    </row>
    <row r="562" s="31" customFormat="1" spans="2:51">
      <c r="B562" s="65"/>
      <c r="C562" s="66"/>
      <c r="D562" s="66"/>
      <c r="E562" s="67"/>
      <c r="F562" s="66"/>
      <c r="G562" s="68"/>
      <c r="H562" s="66"/>
      <c r="I562" s="66"/>
      <c r="J562" s="66"/>
      <c r="K562" s="66"/>
      <c r="L562" s="84"/>
      <c r="M562" s="84"/>
      <c r="N562" s="41"/>
      <c r="O562" s="41"/>
      <c r="P562" s="84"/>
      <c r="Q562" s="84"/>
      <c r="R562" s="84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66"/>
      <c r="AU562" s="66"/>
      <c r="AV562" s="65"/>
      <c r="AW562" s="66"/>
      <c r="AX562" s="66"/>
      <c r="AY562" s="106"/>
    </row>
    <row r="563" s="31" customFormat="1" spans="2:51">
      <c r="B563" s="65"/>
      <c r="C563" s="66"/>
      <c r="D563" s="66"/>
      <c r="E563" s="67"/>
      <c r="F563" s="66"/>
      <c r="G563" s="68"/>
      <c r="H563" s="66"/>
      <c r="I563" s="66"/>
      <c r="J563" s="66"/>
      <c r="K563" s="66"/>
      <c r="L563" s="84"/>
      <c r="M563" s="84"/>
      <c r="N563" s="41"/>
      <c r="O563" s="41"/>
      <c r="P563" s="84"/>
      <c r="Q563" s="84"/>
      <c r="R563" s="84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66"/>
      <c r="AU563" s="66"/>
      <c r="AV563" s="65"/>
      <c r="AW563" s="66"/>
      <c r="AX563" s="66"/>
      <c r="AY563" s="106"/>
    </row>
    <row r="564" s="31" customFormat="1" spans="2:51">
      <c r="B564" s="65"/>
      <c r="C564" s="66"/>
      <c r="D564" s="66"/>
      <c r="E564" s="67"/>
      <c r="F564" s="66"/>
      <c r="G564" s="68"/>
      <c r="H564" s="66"/>
      <c r="I564" s="66"/>
      <c r="J564" s="66"/>
      <c r="K564" s="66"/>
      <c r="L564" s="84"/>
      <c r="M564" s="84"/>
      <c r="N564" s="41"/>
      <c r="O564" s="41"/>
      <c r="P564" s="84"/>
      <c r="Q564" s="84"/>
      <c r="R564" s="84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66"/>
      <c r="AU564" s="66"/>
      <c r="AV564" s="65"/>
      <c r="AW564" s="66"/>
      <c r="AX564" s="66"/>
      <c r="AY564" s="106"/>
    </row>
    <row r="565" s="31" customFormat="1" spans="2:51">
      <c r="B565" s="65"/>
      <c r="C565" s="66"/>
      <c r="D565" s="66"/>
      <c r="E565" s="67"/>
      <c r="F565" s="66"/>
      <c r="G565" s="68"/>
      <c r="H565" s="66"/>
      <c r="I565" s="66"/>
      <c r="J565" s="66"/>
      <c r="K565" s="66"/>
      <c r="L565" s="84"/>
      <c r="M565" s="84"/>
      <c r="N565" s="41"/>
      <c r="O565" s="41"/>
      <c r="P565" s="84"/>
      <c r="Q565" s="84"/>
      <c r="R565" s="84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66"/>
      <c r="AU565" s="66"/>
      <c r="AV565" s="65"/>
      <c r="AW565" s="66"/>
      <c r="AX565" s="66"/>
      <c r="AY565" s="106"/>
    </row>
    <row r="566" s="31" customFormat="1" spans="2:51">
      <c r="B566" s="65"/>
      <c r="C566" s="66"/>
      <c r="D566" s="66"/>
      <c r="E566" s="67"/>
      <c r="F566" s="66"/>
      <c r="G566" s="68"/>
      <c r="H566" s="66"/>
      <c r="I566" s="66"/>
      <c r="J566" s="66"/>
      <c r="K566" s="66"/>
      <c r="L566" s="84"/>
      <c r="M566" s="84"/>
      <c r="N566" s="41"/>
      <c r="O566" s="41"/>
      <c r="P566" s="84"/>
      <c r="Q566" s="84"/>
      <c r="R566" s="84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66"/>
      <c r="AU566" s="66"/>
      <c r="AV566" s="65"/>
      <c r="AW566" s="66"/>
      <c r="AX566" s="66"/>
      <c r="AY566" s="106"/>
    </row>
    <row r="567" s="31" customFormat="1" spans="2:51">
      <c r="B567" s="65"/>
      <c r="C567" s="66"/>
      <c r="D567" s="66"/>
      <c r="E567" s="67"/>
      <c r="F567" s="66"/>
      <c r="G567" s="68"/>
      <c r="H567" s="66"/>
      <c r="I567" s="66"/>
      <c r="J567" s="66"/>
      <c r="K567" s="66"/>
      <c r="L567" s="84"/>
      <c r="M567" s="84"/>
      <c r="N567" s="41"/>
      <c r="O567" s="41"/>
      <c r="P567" s="84"/>
      <c r="Q567" s="84"/>
      <c r="R567" s="84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66"/>
      <c r="AU567" s="66"/>
      <c r="AV567" s="65"/>
      <c r="AW567" s="66"/>
      <c r="AX567" s="66"/>
      <c r="AY567" s="106"/>
    </row>
    <row r="568" s="31" customFormat="1" spans="2:51">
      <c r="B568" s="65"/>
      <c r="C568" s="66"/>
      <c r="D568" s="66"/>
      <c r="E568" s="67"/>
      <c r="F568" s="66"/>
      <c r="G568" s="68"/>
      <c r="H568" s="66"/>
      <c r="I568" s="66"/>
      <c r="J568" s="66"/>
      <c r="K568" s="66"/>
      <c r="L568" s="84"/>
      <c r="M568" s="84"/>
      <c r="N568" s="41"/>
      <c r="O568" s="41"/>
      <c r="P568" s="84"/>
      <c r="Q568" s="84"/>
      <c r="R568" s="84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66"/>
      <c r="AU568" s="66"/>
      <c r="AV568" s="65"/>
      <c r="AW568" s="66"/>
      <c r="AX568" s="66"/>
      <c r="AY568" s="106"/>
    </row>
    <row r="569" s="31" customFormat="1" spans="2:51">
      <c r="B569" s="65"/>
      <c r="C569" s="66"/>
      <c r="D569" s="66"/>
      <c r="E569" s="67"/>
      <c r="F569" s="66"/>
      <c r="G569" s="68"/>
      <c r="H569" s="66"/>
      <c r="I569" s="66"/>
      <c r="J569" s="66"/>
      <c r="K569" s="66"/>
      <c r="L569" s="84"/>
      <c r="M569" s="84"/>
      <c r="N569" s="41"/>
      <c r="O569" s="41"/>
      <c r="P569" s="84"/>
      <c r="Q569" s="84"/>
      <c r="R569" s="84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66"/>
      <c r="AU569" s="66"/>
      <c r="AV569" s="65"/>
      <c r="AW569" s="66"/>
      <c r="AX569" s="66"/>
      <c r="AY569" s="106"/>
    </row>
    <row r="570" s="31" customFormat="1" spans="2:51">
      <c r="B570" s="65"/>
      <c r="C570" s="66"/>
      <c r="D570" s="66"/>
      <c r="E570" s="67"/>
      <c r="F570" s="66"/>
      <c r="G570" s="68"/>
      <c r="H570" s="66"/>
      <c r="I570" s="66"/>
      <c r="J570" s="66"/>
      <c r="K570" s="66"/>
      <c r="L570" s="84"/>
      <c r="M570" s="84"/>
      <c r="N570" s="41"/>
      <c r="O570" s="41"/>
      <c r="P570" s="84"/>
      <c r="Q570" s="84"/>
      <c r="R570" s="84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66"/>
      <c r="AU570" s="66"/>
      <c r="AV570" s="65"/>
      <c r="AW570" s="66"/>
      <c r="AX570" s="66"/>
      <c r="AY570" s="106"/>
    </row>
    <row r="571" s="31" customFormat="1" spans="2:51">
      <c r="B571" s="65"/>
      <c r="C571" s="66"/>
      <c r="D571" s="66"/>
      <c r="E571" s="67"/>
      <c r="F571" s="66"/>
      <c r="G571" s="68"/>
      <c r="H571" s="66"/>
      <c r="I571" s="66"/>
      <c r="J571" s="66"/>
      <c r="K571" s="66"/>
      <c r="L571" s="84"/>
      <c r="M571" s="84"/>
      <c r="N571" s="41"/>
      <c r="O571" s="41"/>
      <c r="P571" s="84"/>
      <c r="Q571" s="84"/>
      <c r="R571" s="84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66"/>
      <c r="AU571" s="66"/>
      <c r="AV571" s="65"/>
      <c r="AW571" s="66"/>
      <c r="AX571" s="66"/>
      <c r="AY571" s="106"/>
    </row>
    <row r="572" s="31" customFormat="1" spans="2:51">
      <c r="B572" s="65"/>
      <c r="C572" s="66"/>
      <c r="D572" s="66"/>
      <c r="E572" s="67"/>
      <c r="F572" s="66"/>
      <c r="G572" s="68"/>
      <c r="H572" s="66"/>
      <c r="I572" s="66"/>
      <c r="J572" s="66"/>
      <c r="K572" s="66"/>
      <c r="L572" s="84"/>
      <c r="M572" s="84"/>
      <c r="N572" s="41"/>
      <c r="O572" s="41"/>
      <c r="P572" s="84"/>
      <c r="Q572" s="84"/>
      <c r="R572" s="84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66"/>
      <c r="AU572" s="66"/>
      <c r="AV572" s="65"/>
      <c r="AW572" s="66"/>
      <c r="AX572" s="66"/>
      <c r="AY572" s="106"/>
    </row>
    <row r="573" s="31" customFormat="1" spans="2:51">
      <c r="B573" s="65"/>
      <c r="C573" s="66"/>
      <c r="D573" s="66"/>
      <c r="E573" s="67"/>
      <c r="F573" s="66"/>
      <c r="G573" s="68"/>
      <c r="H573" s="66"/>
      <c r="I573" s="66"/>
      <c r="J573" s="66"/>
      <c r="K573" s="66"/>
      <c r="L573" s="84"/>
      <c r="M573" s="84"/>
      <c r="N573" s="41"/>
      <c r="O573" s="41"/>
      <c r="P573" s="84"/>
      <c r="Q573" s="84"/>
      <c r="R573" s="84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66"/>
      <c r="AU573" s="66"/>
      <c r="AV573" s="65"/>
      <c r="AW573" s="66"/>
      <c r="AX573" s="66"/>
      <c r="AY573" s="106"/>
    </row>
    <row r="574" s="31" customFormat="1" spans="2:51">
      <c r="B574" s="65"/>
      <c r="C574" s="66"/>
      <c r="D574" s="66"/>
      <c r="E574" s="67"/>
      <c r="F574" s="66"/>
      <c r="G574" s="68"/>
      <c r="H574" s="66"/>
      <c r="I574" s="66"/>
      <c r="J574" s="66"/>
      <c r="K574" s="66"/>
      <c r="L574" s="84"/>
      <c r="M574" s="84"/>
      <c r="N574" s="41"/>
      <c r="O574" s="41"/>
      <c r="P574" s="84"/>
      <c r="Q574" s="84"/>
      <c r="R574" s="84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66"/>
      <c r="AU574" s="66"/>
      <c r="AV574" s="65"/>
      <c r="AW574" s="66"/>
      <c r="AX574" s="66"/>
      <c r="AY574" s="106"/>
    </row>
    <row r="575" s="31" customFormat="1" spans="2:51">
      <c r="B575" s="65"/>
      <c r="C575" s="66"/>
      <c r="D575" s="66"/>
      <c r="E575" s="67"/>
      <c r="F575" s="66"/>
      <c r="G575" s="68"/>
      <c r="H575" s="66"/>
      <c r="I575" s="66"/>
      <c r="J575" s="66"/>
      <c r="K575" s="66"/>
      <c r="L575" s="84"/>
      <c r="M575" s="84"/>
      <c r="N575" s="41"/>
      <c r="O575" s="41"/>
      <c r="P575" s="84"/>
      <c r="Q575" s="84"/>
      <c r="R575" s="84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66"/>
      <c r="AU575" s="66"/>
      <c r="AV575" s="65"/>
      <c r="AW575" s="66"/>
      <c r="AX575" s="66"/>
      <c r="AY575" s="106"/>
    </row>
    <row r="576" s="31" customFormat="1" spans="2:51">
      <c r="B576" s="65"/>
      <c r="C576" s="66"/>
      <c r="D576" s="66"/>
      <c r="E576" s="67"/>
      <c r="F576" s="66"/>
      <c r="G576" s="68"/>
      <c r="H576" s="66"/>
      <c r="I576" s="66"/>
      <c r="J576" s="66"/>
      <c r="K576" s="66"/>
      <c r="L576" s="84"/>
      <c r="M576" s="84"/>
      <c r="N576" s="41"/>
      <c r="O576" s="41"/>
      <c r="P576" s="84"/>
      <c r="Q576" s="84"/>
      <c r="R576" s="84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66"/>
      <c r="AU576" s="66"/>
      <c r="AV576" s="65"/>
      <c r="AW576" s="66"/>
      <c r="AX576" s="66"/>
      <c r="AY576" s="106"/>
    </row>
    <row r="577" s="31" customFormat="1" spans="2:51">
      <c r="B577" s="65"/>
      <c r="C577" s="66"/>
      <c r="D577" s="66"/>
      <c r="E577" s="67"/>
      <c r="F577" s="66"/>
      <c r="G577" s="68"/>
      <c r="H577" s="66"/>
      <c r="I577" s="66"/>
      <c r="J577" s="66"/>
      <c r="K577" s="66"/>
      <c r="L577" s="84"/>
      <c r="M577" s="84"/>
      <c r="N577" s="41"/>
      <c r="O577" s="41"/>
      <c r="P577" s="84"/>
      <c r="Q577" s="84"/>
      <c r="R577" s="84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66"/>
      <c r="AU577" s="66"/>
      <c r="AV577" s="65"/>
      <c r="AW577" s="66"/>
      <c r="AX577" s="66"/>
      <c r="AY577" s="106"/>
    </row>
    <row r="578" s="31" customFormat="1" spans="2:51">
      <c r="B578" s="65"/>
      <c r="C578" s="66"/>
      <c r="D578" s="66"/>
      <c r="E578" s="67"/>
      <c r="F578" s="66"/>
      <c r="G578" s="68"/>
      <c r="H578" s="66"/>
      <c r="I578" s="66"/>
      <c r="J578" s="66"/>
      <c r="K578" s="66"/>
      <c r="L578" s="84"/>
      <c r="M578" s="84"/>
      <c r="N578" s="41"/>
      <c r="O578" s="41"/>
      <c r="P578" s="84"/>
      <c r="Q578" s="84"/>
      <c r="R578" s="84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66"/>
      <c r="AU578" s="66"/>
      <c r="AV578" s="65"/>
      <c r="AW578" s="66"/>
      <c r="AX578" s="66"/>
      <c r="AY578" s="106"/>
    </row>
    <row r="579" s="31" customFormat="1" spans="2:51">
      <c r="B579" s="65"/>
      <c r="C579" s="66"/>
      <c r="D579" s="66"/>
      <c r="E579" s="67"/>
      <c r="F579" s="66"/>
      <c r="G579" s="68"/>
      <c r="H579" s="66"/>
      <c r="I579" s="66"/>
      <c r="J579" s="66"/>
      <c r="K579" s="66"/>
      <c r="L579" s="84"/>
      <c r="M579" s="84"/>
      <c r="N579" s="41"/>
      <c r="O579" s="41"/>
      <c r="P579" s="84"/>
      <c r="Q579" s="84"/>
      <c r="R579" s="84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66"/>
      <c r="AU579" s="66"/>
      <c r="AV579" s="65"/>
      <c r="AW579" s="66"/>
      <c r="AX579" s="66"/>
      <c r="AY579" s="106"/>
    </row>
    <row r="580" s="31" customFormat="1" spans="2:51">
      <c r="B580" s="65"/>
      <c r="C580" s="66"/>
      <c r="D580" s="66"/>
      <c r="E580" s="67"/>
      <c r="F580" s="66"/>
      <c r="G580" s="68"/>
      <c r="H580" s="66"/>
      <c r="I580" s="66"/>
      <c r="J580" s="66"/>
      <c r="K580" s="66"/>
      <c r="L580" s="84"/>
      <c r="M580" s="84"/>
      <c r="N580" s="41"/>
      <c r="O580" s="41"/>
      <c r="P580" s="84"/>
      <c r="Q580" s="84"/>
      <c r="R580" s="84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66"/>
      <c r="AU580" s="66"/>
      <c r="AV580" s="65"/>
      <c r="AW580" s="66"/>
      <c r="AX580" s="66"/>
      <c r="AY580" s="106"/>
    </row>
    <row r="581" s="31" customFormat="1" spans="2:51">
      <c r="B581" s="65"/>
      <c r="C581" s="66"/>
      <c r="D581" s="66"/>
      <c r="E581" s="67"/>
      <c r="F581" s="66"/>
      <c r="G581" s="68"/>
      <c r="H581" s="66"/>
      <c r="I581" s="66"/>
      <c r="J581" s="66"/>
      <c r="K581" s="66"/>
      <c r="L581" s="84"/>
      <c r="M581" s="84"/>
      <c r="N581" s="41"/>
      <c r="O581" s="41"/>
      <c r="P581" s="84"/>
      <c r="Q581" s="84"/>
      <c r="R581" s="84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  <c r="AO581" s="66"/>
      <c r="AP581" s="66"/>
      <c r="AQ581" s="66"/>
      <c r="AR581" s="66"/>
      <c r="AS581" s="66"/>
      <c r="AT581" s="66"/>
      <c r="AU581" s="66"/>
      <c r="AV581" s="65"/>
      <c r="AW581" s="66"/>
      <c r="AX581" s="66"/>
      <c r="AY581" s="106"/>
    </row>
    <row r="582" s="31" customFormat="1" spans="2:51">
      <c r="B582" s="65"/>
      <c r="C582" s="66"/>
      <c r="D582" s="66"/>
      <c r="E582" s="67"/>
      <c r="F582" s="66"/>
      <c r="G582" s="68"/>
      <c r="H582" s="66"/>
      <c r="I582" s="66"/>
      <c r="J582" s="66"/>
      <c r="K582" s="66"/>
      <c r="L582" s="84"/>
      <c r="M582" s="84"/>
      <c r="N582" s="41"/>
      <c r="O582" s="41"/>
      <c r="P582" s="84"/>
      <c r="Q582" s="84"/>
      <c r="R582" s="84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  <c r="AO582" s="66"/>
      <c r="AP582" s="66"/>
      <c r="AQ582" s="66"/>
      <c r="AR582" s="66"/>
      <c r="AS582" s="66"/>
      <c r="AT582" s="66"/>
      <c r="AU582" s="66"/>
      <c r="AV582" s="65"/>
      <c r="AW582" s="66"/>
      <c r="AX582" s="66"/>
      <c r="AY582" s="106"/>
    </row>
    <row r="583" s="31" customFormat="1" spans="2:51">
      <c r="B583" s="65"/>
      <c r="C583" s="66"/>
      <c r="D583" s="66"/>
      <c r="E583" s="67"/>
      <c r="F583" s="66"/>
      <c r="G583" s="68"/>
      <c r="H583" s="66"/>
      <c r="I583" s="66"/>
      <c r="J583" s="66"/>
      <c r="K583" s="66"/>
      <c r="L583" s="84"/>
      <c r="M583" s="84"/>
      <c r="N583" s="41"/>
      <c r="O583" s="41"/>
      <c r="P583" s="84"/>
      <c r="Q583" s="84"/>
      <c r="R583" s="84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66"/>
      <c r="AU583" s="66"/>
      <c r="AV583" s="65"/>
      <c r="AW583" s="66"/>
      <c r="AX583" s="66"/>
      <c r="AY583" s="106"/>
    </row>
    <row r="584" s="31" customFormat="1" spans="2:51">
      <c r="B584" s="65"/>
      <c r="C584" s="66"/>
      <c r="D584" s="66"/>
      <c r="E584" s="67"/>
      <c r="F584" s="66"/>
      <c r="G584" s="68"/>
      <c r="H584" s="66"/>
      <c r="I584" s="66"/>
      <c r="J584" s="66"/>
      <c r="K584" s="66"/>
      <c r="L584" s="84"/>
      <c r="M584" s="84"/>
      <c r="N584" s="41"/>
      <c r="O584" s="41"/>
      <c r="P584" s="84"/>
      <c r="Q584" s="84"/>
      <c r="R584" s="84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66"/>
      <c r="AU584" s="66"/>
      <c r="AV584" s="65"/>
      <c r="AW584" s="66"/>
      <c r="AX584" s="66"/>
      <c r="AY584" s="106"/>
    </row>
    <row r="585" s="31" customFormat="1" spans="2:51">
      <c r="B585" s="65"/>
      <c r="C585" s="66"/>
      <c r="D585" s="66"/>
      <c r="E585" s="67"/>
      <c r="F585" s="66"/>
      <c r="G585" s="68"/>
      <c r="H585" s="66"/>
      <c r="I585" s="66"/>
      <c r="J585" s="66"/>
      <c r="K585" s="66"/>
      <c r="L585" s="84"/>
      <c r="M585" s="84"/>
      <c r="N585" s="41"/>
      <c r="O585" s="41"/>
      <c r="P585" s="84"/>
      <c r="Q585" s="84"/>
      <c r="R585" s="84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  <c r="AO585" s="66"/>
      <c r="AP585" s="66"/>
      <c r="AQ585" s="66"/>
      <c r="AR585" s="66"/>
      <c r="AS585" s="66"/>
      <c r="AT585" s="66"/>
      <c r="AU585" s="66"/>
      <c r="AV585" s="65"/>
      <c r="AW585" s="66"/>
      <c r="AX585" s="66"/>
      <c r="AY585" s="106"/>
    </row>
    <row r="586" s="31" customFormat="1" spans="2:51">
      <c r="B586" s="65"/>
      <c r="C586" s="66"/>
      <c r="D586" s="66"/>
      <c r="E586" s="67"/>
      <c r="F586" s="66"/>
      <c r="G586" s="68"/>
      <c r="H586" s="66"/>
      <c r="I586" s="66"/>
      <c r="J586" s="66"/>
      <c r="K586" s="66"/>
      <c r="L586" s="84"/>
      <c r="M586" s="84"/>
      <c r="N586" s="41"/>
      <c r="O586" s="41"/>
      <c r="P586" s="84"/>
      <c r="Q586" s="84"/>
      <c r="R586" s="84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66"/>
      <c r="AU586" s="66"/>
      <c r="AV586" s="65"/>
      <c r="AW586" s="66"/>
      <c r="AX586" s="66"/>
      <c r="AY586" s="106"/>
    </row>
    <row r="587" s="31" customFormat="1" spans="2:51">
      <c r="B587" s="65"/>
      <c r="C587" s="66"/>
      <c r="D587" s="66"/>
      <c r="E587" s="67"/>
      <c r="F587" s="66"/>
      <c r="G587" s="68"/>
      <c r="H587" s="66"/>
      <c r="I587" s="66"/>
      <c r="J587" s="66"/>
      <c r="K587" s="66"/>
      <c r="L587" s="84"/>
      <c r="M587" s="84"/>
      <c r="N587" s="41"/>
      <c r="O587" s="41"/>
      <c r="P587" s="84"/>
      <c r="Q587" s="84"/>
      <c r="R587" s="84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66"/>
      <c r="AU587" s="66"/>
      <c r="AV587" s="65"/>
      <c r="AW587" s="66"/>
      <c r="AX587" s="66"/>
      <c r="AY587" s="106"/>
    </row>
    <row r="588" s="31" customFormat="1" spans="2:51">
      <c r="B588" s="65"/>
      <c r="C588" s="66"/>
      <c r="D588" s="66"/>
      <c r="E588" s="67"/>
      <c r="F588" s="66"/>
      <c r="G588" s="68"/>
      <c r="H588" s="66"/>
      <c r="I588" s="66"/>
      <c r="J588" s="66"/>
      <c r="K588" s="66"/>
      <c r="L588" s="84"/>
      <c r="M588" s="84"/>
      <c r="N588" s="41"/>
      <c r="O588" s="41"/>
      <c r="P588" s="84"/>
      <c r="Q588" s="84"/>
      <c r="R588" s="84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66"/>
      <c r="AU588" s="66"/>
      <c r="AV588" s="65"/>
      <c r="AW588" s="66"/>
      <c r="AX588" s="66"/>
      <c r="AY588" s="106"/>
    </row>
    <row r="589" s="31" customFormat="1" spans="2:51">
      <c r="B589" s="65"/>
      <c r="C589" s="66"/>
      <c r="D589" s="66"/>
      <c r="E589" s="67"/>
      <c r="F589" s="66"/>
      <c r="G589" s="68"/>
      <c r="H589" s="66"/>
      <c r="I589" s="66"/>
      <c r="J589" s="66"/>
      <c r="K589" s="66"/>
      <c r="L589" s="84"/>
      <c r="M589" s="84"/>
      <c r="N589" s="41"/>
      <c r="O589" s="41"/>
      <c r="P589" s="84"/>
      <c r="Q589" s="84"/>
      <c r="R589" s="84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66"/>
      <c r="AU589" s="66"/>
      <c r="AV589" s="65"/>
      <c r="AW589" s="66"/>
      <c r="AX589" s="66"/>
      <c r="AY589" s="106"/>
    </row>
    <row r="590" s="31" customFormat="1" spans="2:51">
      <c r="B590" s="65"/>
      <c r="C590" s="66"/>
      <c r="D590" s="66"/>
      <c r="E590" s="67"/>
      <c r="F590" s="66"/>
      <c r="G590" s="68"/>
      <c r="H590" s="66"/>
      <c r="I590" s="66"/>
      <c r="J590" s="66"/>
      <c r="K590" s="66"/>
      <c r="L590" s="84"/>
      <c r="M590" s="84"/>
      <c r="N590" s="41"/>
      <c r="O590" s="41"/>
      <c r="P590" s="84"/>
      <c r="Q590" s="84"/>
      <c r="R590" s="84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66"/>
      <c r="AU590" s="66"/>
      <c r="AV590" s="65"/>
      <c r="AW590" s="66"/>
      <c r="AX590" s="66"/>
      <c r="AY590" s="106"/>
    </row>
    <row r="591" s="31" customFormat="1" spans="2:51">
      <c r="B591" s="65"/>
      <c r="C591" s="66"/>
      <c r="D591" s="66"/>
      <c r="E591" s="67"/>
      <c r="F591" s="66"/>
      <c r="G591" s="68"/>
      <c r="H591" s="66"/>
      <c r="I591" s="66"/>
      <c r="J591" s="66"/>
      <c r="K591" s="66"/>
      <c r="L591" s="84"/>
      <c r="M591" s="84"/>
      <c r="N591" s="41"/>
      <c r="O591" s="41"/>
      <c r="P591" s="84"/>
      <c r="Q591" s="84"/>
      <c r="R591" s="84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66"/>
      <c r="AU591" s="66"/>
      <c r="AV591" s="65"/>
      <c r="AW591" s="66"/>
      <c r="AX591" s="66"/>
      <c r="AY591" s="106"/>
    </row>
    <row r="592" s="31" customFormat="1" spans="2:51">
      <c r="B592" s="65"/>
      <c r="C592" s="66"/>
      <c r="D592" s="66"/>
      <c r="E592" s="67"/>
      <c r="F592" s="66"/>
      <c r="G592" s="68"/>
      <c r="H592" s="66"/>
      <c r="I592" s="66"/>
      <c r="J592" s="66"/>
      <c r="K592" s="66"/>
      <c r="L592" s="84"/>
      <c r="M592" s="84"/>
      <c r="N592" s="41"/>
      <c r="O592" s="41"/>
      <c r="P592" s="84"/>
      <c r="Q592" s="84"/>
      <c r="R592" s="84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66"/>
      <c r="AU592" s="66"/>
      <c r="AV592" s="65"/>
      <c r="AW592" s="66"/>
      <c r="AX592" s="66"/>
      <c r="AY592" s="106"/>
    </row>
    <row r="593" s="31" customFormat="1" spans="2:51">
      <c r="B593" s="65"/>
      <c r="C593" s="66"/>
      <c r="D593" s="66"/>
      <c r="E593" s="67"/>
      <c r="F593" s="66"/>
      <c r="G593" s="68"/>
      <c r="H593" s="66"/>
      <c r="I593" s="66"/>
      <c r="J593" s="66"/>
      <c r="K593" s="66"/>
      <c r="L593" s="84"/>
      <c r="M593" s="84"/>
      <c r="N593" s="41"/>
      <c r="O593" s="41"/>
      <c r="P593" s="84"/>
      <c r="Q593" s="84"/>
      <c r="R593" s="84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  <c r="AO593" s="66"/>
      <c r="AP593" s="66"/>
      <c r="AQ593" s="66"/>
      <c r="AR593" s="66"/>
      <c r="AS593" s="66"/>
      <c r="AT593" s="66"/>
      <c r="AU593" s="66"/>
      <c r="AV593" s="65"/>
      <c r="AW593" s="66"/>
      <c r="AX593" s="66"/>
      <c r="AY593" s="106"/>
    </row>
    <row r="594" s="31" customFormat="1" spans="2:51">
      <c r="B594" s="65"/>
      <c r="C594" s="66"/>
      <c r="D594" s="66"/>
      <c r="E594" s="67"/>
      <c r="F594" s="66"/>
      <c r="G594" s="68"/>
      <c r="H594" s="66"/>
      <c r="I594" s="66"/>
      <c r="J594" s="66"/>
      <c r="K594" s="66"/>
      <c r="L594" s="84"/>
      <c r="M594" s="84"/>
      <c r="N594" s="41"/>
      <c r="O594" s="41"/>
      <c r="P594" s="84"/>
      <c r="Q594" s="84"/>
      <c r="R594" s="84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66"/>
      <c r="AU594" s="66"/>
      <c r="AV594" s="65"/>
      <c r="AW594" s="66"/>
      <c r="AX594" s="66"/>
      <c r="AY594" s="106"/>
    </row>
    <row r="595" s="31" customFormat="1" spans="2:51">
      <c r="B595" s="65"/>
      <c r="C595" s="66"/>
      <c r="D595" s="66"/>
      <c r="E595" s="67"/>
      <c r="F595" s="66"/>
      <c r="G595" s="68"/>
      <c r="H595" s="66"/>
      <c r="I595" s="66"/>
      <c r="J595" s="66"/>
      <c r="K595" s="66"/>
      <c r="L595" s="84"/>
      <c r="M595" s="84"/>
      <c r="N595" s="41"/>
      <c r="O595" s="41"/>
      <c r="P595" s="84"/>
      <c r="Q595" s="84"/>
      <c r="R595" s="84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66"/>
      <c r="AU595" s="66"/>
      <c r="AV595" s="65"/>
      <c r="AW595" s="66"/>
      <c r="AX595" s="66"/>
      <c r="AY595" s="106"/>
    </row>
    <row r="596" s="31" customFormat="1" spans="2:51">
      <c r="B596" s="65"/>
      <c r="C596" s="66"/>
      <c r="D596" s="66"/>
      <c r="E596" s="67"/>
      <c r="F596" s="66"/>
      <c r="G596" s="68"/>
      <c r="H596" s="66"/>
      <c r="I596" s="66"/>
      <c r="J596" s="66"/>
      <c r="K596" s="66"/>
      <c r="L596" s="84"/>
      <c r="M596" s="84"/>
      <c r="N596" s="41"/>
      <c r="O596" s="41"/>
      <c r="P596" s="84"/>
      <c r="Q596" s="84"/>
      <c r="R596" s="84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66"/>
      <c r="AU596" s="66"/>
      <c r="AV596" s="65"/>
      <c r="AW596" s="66"/>
      <c r="AX596" s="66"/>
      <c r="AY596" s="106"/>
    </row>
    <row r="597" s="31" customFormat="1" spans="2:51">
      <c r="B597" s="65"/>
      <c r="C597" s="66"/>
      <c r="D597" s="66"/>
      <c r="E597" s="67"/>
      <c r="F597" s="66"/>
      <c r="G597" s="68"/>
      <c r="H597" s="66"/>
      <c r="I597" s="66"/>
      <c r="J597" s="66"/>
      <c r="K597" s="66"/>
      <c r="L597" s="84"/>
      <c r="M597" s="84"/>
      <c r="N597" s="41"/>
      <c r="O597" s="41"/>
      <c r="P597" s="84"/>
      <c r="Q597" s="84"/>
      <c r="R597" s="84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66"/>
      <c r="AU597" s="66"/>
      <c r="AV597" s="65"/>
      <c r="AW597" s="66"/>
      <c r="AX597" s="66"/>
      <c r="AY597" s="106"/>
    </row>
    <row r="598" s="31" customFormat="1" spans="2:51">
      <c r="B598" s="65"/>
      <c r="C598" s="66"/>
      <c r="D598" s="66"/>
      <c r="E598" s="67"/>
      <c r="F598" s="66"/>
      <c r="G598" s="68"/>
      <c r="H598" s="66"/>
      <c r="I598" s="66"/>
      <c r="J598" s="66"/>
      <c r="K598" s="66"/>
      <c r="L598" s="84"/>
      <c r="M598" s="84"/>
      <c r="N598" s="41"/>
      <c r="O598" s="41"/>
      <c r="P598" s="84"/>
      <c r="Q598" s="84"/>
      <c r="R598" s="84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66"/>
      <c r="AU598" s="66"/>
      <c r="AV598" s="65"/>
      <c r="AW598" s="66"/>
      <c r="AX598" s="66"/>
      <c r="AY598" s="106"/>
    </row>
    <row r="599" s="31" customFormat="1" spans="2:51">
      <c r="B599" s="65"/>
      <c r="C599" s="66"/>
      <c r="D599" s="66"/>
      <c r="E599" s="67"/>
      <c r="F599" s="66"/>
      <c r="G599" s="68"/>
      <c r="H599" s="66"/>
      <c r="I599" s="66"/>
      <c r="J599" s="66"/>
      <c r="K599" s="66"/>
      <c r="L599" s="84"/>
      <c r="M599" s="84"/>
      <c r="N599" s="41"/>
      <c r="O599" s="41"/>
      <c r="P599" s="84"/>
      <c r="Q599" s="84"/>
      <c r="R599" s="84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66"/>
      <c r="AU599" s="66"/>
      <c r="AV599" s="65"/>
      <c r="AW599" s="66"/>
      <c r="AX599" s="66"/>
      <c r="AY599" s="106"/>
    </row>
    <row r="600" s="31" customFormat="1" spans="2:51">
      <c r="B600" s="65"/>
      <c r="C600" s="66"/>
      <c r="D600" s="66"/>
      <c r="E600" s="67"/>
      <c r="F600" s="66"/>
      <c r="G600" s="68"/>
      <c r="H600" s="66"/>
      <c r="I600" s="66"/>
      <c r="J600" s="66"/>
      <c r="K600" s="66"/>
      <c r="L600" s="84"/>
      <c r="M600" s="84"/>
      <c r="N600" s="41"/>
      <c r="O600" s="41"/>
      <c r="P600" s="84"/>
      <c r="Q600" s="84"/>
      <c r="R600" s="84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66"/>
      <c r="AU600" s="66"/>
      <c r="AV600" s="65"/>
      <c r="AW600" s="66"/>
      <c r="AX600" s="66"/>
      <c r="AY600" s="106"/>
    </row>
    <row r="601" s="31" customFormat="1" spans="2:51">
      <c r="B601" s="65"/>
      <c r="C601" s="66"/>
      <c r="D601" s="66"/>
      <c r="E601" s="67"/>
      <c r="F601" s="66"/>
      <c r="G601" s="68"/>
      <c r="H601" s="66"/>
      <c r="I601" s="66"/>
      <c r="J601" s="66"/>
      <c r="K601" s="66"/>
      <c r="L601" s="84"/>
      <c r="M601" s="84"/>
      <c r="N601" s="41"/>
      <c r="O601" s="41"/>
      <c r="P601" s="84"/>
      <c r="Q601" s="84"/>
      <c r="R601" s="84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66"/>
      <c r="AU601" s="66"/>
      <c r="AV601" s="65"/>
      <c r="AW601" s="66"/>
      <c r="AX601" s="66"/>
      <c r="AY601" s="106"/>
    </row>
    <row r="602" s="31" customFormat="1" spans="2:51">
      <c r="B602" s="65"/>
      <c r="C602" s="66"/>
      <c r="D602" s="66"/>
      <c r="E602" s="67"/>
      <c r="F602" s="66"/>
      <c r="G602" s="68"/>
      <c r="H602" s="66"/>
      <c r="I602" s="66"/>
      <c r="J602" s="66"/>
      <c r="K602" s="66"/>
      <c r="L602" s="84"/>
      <c r="M602" s="84"/>
      <c r="N602" s="41"/>
      <c r="O602" s="41"/>
      <c r="P602" s="84"/>
      <c r="Q602" s="84"/>
      <c r="R602" s="84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66"/>
      <c r="AU602" s="66"/>
      <c r="AV602" s="65"/>
      <c r="AW602" s="66"/>
      <c r="AX602" s="66"/>
      <c r="AY602" s="106"/>
    </row>
    <row r="603" s="31" customFormat="1" spans="2:51">
      <c r="B603" s="65"/>
      <c r="C603" s="66"/>
      <c r="D603" s="66"/>
      <c r="E603" s="67"/>
      <c r="F603" s="66"/>
      <c r="G603" s="68"/>
      <c r="H603" s="66"/>
      <c r="I603" s="66"/>
      <c r="J603" s="66"/>
      <c r="K603" s="66"/>
      <c r="L603" s="84"/>
      <c r="M603" s="84"/>
      <c r="N603" s="41"/>
      <c r="O603" s="41"/>
      <c r="P603" s="84"/>
      <c r="Q603" s="84"/>
      <c r="R603" s="84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66"/>
      <c r="AU603" s="66"/>
      <c r="AV603" s="65"/>
      <c r="AW603" s="66"/>
      <c r="AX603" s="66"/>
      <c r="AY603" s="106"/>
    </row>
    <row r="604" s="31" customFormat="1" spans="2:51">
      <c r="B604" s="65"/>
      <c r="C604" s="66"/>
      <c r="D604" s="66"/>
      <c r="E604" s="67"/>
      <c r="F604" s="66"/>
      <c r="G604" s="68"/>
      <c r="H604" s="66"/>
      <c r="I604" s="66"/>
      <c r="J604" s="66"/>
      <c r="K604" s="66"/>
      <c r="L604" s="84"/>
      <c r="M604" s="84"/>
      <c r="N604" s="41"/>
      <c r="O604" s="41"/>
      <c r="P604" s="84"/>
      <c r="Q604" s="84"/>
      <c r="R604" s="84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66"/>
      <c r="AU604" s="66"/>
      <c r="AV604" s="65"/>
      <c r="AW604" s="66"/>
      <c r="AX604" s="66"/>
      <c r="AY604" s="106"/>
    </row>
    <row r="605" s="31" customFormat="1" spans="2:51">
      <c r="B605" s="65"/>
      <c r="C605" s="66"/>
      <c r="D605" s="66"/>
      <c r="E605" s="67"/>
      <c r="F605" s="66"/>
      <c r="G605" s="68"/>
      <c r="H605" s="66"/>
      <c r="I605" s="66"/>
      <c r="J605" s="66"/>
      <c r="K605" s="66"/>
      <c r="L605" s="84"/>
      <c r="M605" s="84"/>
      <c r="N605" s="41"/>
      <c r="O605" s="41"/>
      <c r="P605" s="84"/>
      <c r="Q605" s="84"/>
      <c r="R605" s="84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66"/>
      <c r="AU605" s="66"/>
      <c r="AV605" s="65"/>
      <c r="AW605" s="66"/>
      <c r="AX605" s="66"/>
      <c r="AY605" s="106"/>
    </row>
    <row r="1048571" spans="7:47">
      <c r="G1048571" s="107"/>
      <c r="AE1048571" s="108"/>
      <c r="AU1048571" s="109"/>
    </row>
  </sheetData>
  <mergeCells count="28">
    <mergeCell ref="A1:AY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Y3:AY5"/>
    <mergeCell ref="AW3:AX4"/>
  </mergeCells>
  <conditionalFormatting sqref="A1:AY43">
    <cfRule type="expression" dxfId="0" priority="1">
      <formula>MOD(ROW(),2)=0</formula>
    </cfRule>
  </conditionalFormatting>
  <pageMargins left="0.7" right="0.7" top="0.75" bottom="0.75" header="0.3" footer="0.3"/>
  <pageSetup paperSize="9" scale="27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E28"/>
  <sheetViews>
    <sheetView zoomScale="90" zoomScaleNormal="90" workbookViewId="0">
      <selection activeCell="B15" sqref="B15:B16"/>
    </sheetView>
  </sheetViews>
  <sheetFormatPr defaultColWidth="9.18095238095238" defaultRowHeight="12.75" outlineLevelCol="4"/>
  <cols>
    <col min="1" max="1" width="3.72380952380952" style="1" customWidth="1"/>
    <col min="2" max="2" width="16" style="1" customWidth="1"/>
    <col min="3" max="5" width="12" style="1" customWidth="1"/>
    <col min="6" max="16384" width="9.18095238095238" style="1"/>
  </cols>
  <sheetData>
    <row r="2" ht="13.5"/>
    <row r="3" spans="1:5">
      <c r="A3" s="2" t="s">
        <v>728</v>
      </c>
      <c r="B3" s="3" t="s">
        <v>729</v>
      </c>
      <c r="C3" s="4" t="s">
        <v>730</v>
      </c>
      <c r="D3" s="4"/>
      <c r="E3" s="5"/>
    </row>
    <row r="4" spans="1:5">
      <c r="A4" s="6"/>
      <c r="B4" s="7"/>
      <c r="C4" s="8" t="s">
        <v>731</v>
      </c>
      <c r="D4" s="8" t="s">
        <v>732</v>
      </c>
      <c r="E4" s="9" t="s">
        <v>733</v>
      </c>
    </row>
    <row r="5" spans="1:5">
      <c r="A5" s="10">
        <v>1</v>
      </c>
      <c r="B5" s="11" t="s">
        <v>734</v>
      </c>
      <c r="C5" s="12" t="s">
        <v>735</v>
      </c>
      <c r="D5" s="12" t="s">
        <v>79</v>
      </c>
      <c r="E5" s="13" t="s">
        <v>735</v>
      </c>
    </row>
    <row r="6" spans="1:5">
      <c r="A6" s="10"/>
      <c r="B6" s="14"/>
      <c r="C6" s="15"/>
      <c r="D6" s="15"/>
      <c r="E6" s="16"/>
    </row>
    <row r="7" spans="1:5">
      <c r="A7" s="10">
        <v>2</v>
      </c>
      <c r="B7" s="17" t="s">
        <v>102</v>
      </c>
      <c r="C7" s="18" t="s">
        <v>736</v>
      </c>
      <c r="D7" s="188" t="s">
        <v>79</v>
      </c>
      <c r="E7" s="189" t="s">
        <v>79</v>
      </c>
    </row>
    <row r="8" spans="1:5">
      <c r="A8" s="10"/>
      <c r="B8" s="14"/>
      <c r="C8" s="15"/>
      <c r="D8" s="21"/>
      <c r="E8" s="22"/>
    </row>
    <row r="9" spans="1:5">
      <c r="A9" s="10">
        <v>3</v>
      </c>
      <c r="B9" s="17" t="s">
        <v>737</v>
      </c>
      <c r="C9" s="18" t="s">
        <v>738</v>
      </c>
      <c r="D9" s="18" t="s">
        <v>739</v>
      </c>
      <c r="E9" s="23" t="s">
        <v>740</v>
      </c>
    </row>
    <row r="10" spans="1:5">
      <c r="A10" s="10"/>
      <c r="B10" s="14"/>
      <c r="C10" s="15"/>
      <c r="D10" s="15"/>
      <c r="E10" s="16"/>
    </row>
    <row r="11" spans="1:5">
      <c r="A11" s="10">
        <v>4</v>
      </c>
      <c r="B11" s="17" t="s">
        <v>741</v>
      </c>
      <c r="C11" s="18" t="s">
        <v>742</v>
      </c>
      <c r="D11" s="18" t="s">
        <v>743</v>
      </c>
      <c r="E11" s="23" t="s">
        <v>744</v>
      </c>
    </row>
    <row r="12" spans="1:5">
      <c r="A12" s="10"/>
      <c r="B12" s="14"/>
      <c r="C12" s="15"/>
      <c r="D12" s="15"/>
      <c r="E12" s="16"/>
    </row>
    <row r="13" spans="1:5">
      <c r="A13" s="10">
        <v>5</v>
      </c>
      <c r="B13" s="17" t="s">
        <v>745</v>
      </c>
      <c r="C13" s="18" t="s">
        <v>742</v>
      </c>
      <c r="D13" s="18" t="s">
        <v>746</v>
      </c>
      <c r="E13" s="23" t="s">
        <v>747</v>
      </c>
    </row>
    <row r="14" spans="1:5">
      <c r="A14" s="10"/>
      <c r="B14" s="14"/>
      <c r="C14" s="15"/>
      <c r="D14" s="15"/>
      <c r="E14" s="16"/>
    </row>
    <row r="15" spans="1:5">
      <c r="A15" s="10">
        <v>6</v>
      </c>
      <c r="B15" s="17" t="s">
        <v>123</v>
      </c>
      <c r="C15" s="18" t="s">
        <v>748</v>
      </c>
      <c r="D15" s="188" t="s">
        <v>79</v>
      </c>
      <c r="E15" s="23" t="s">
        <v>463</v>
      </c>
    </row>
    <row r="16" spans="1:5">
      <c r="A16" s="10"/>
      <c r="B16" s="14"/>
      <c r="C16" s="15"/>
      <c r="D16" s="21"/>
      <c r="E16" s="16"/>
    </row>
    <row r="17" spans="1:5">
      <c r="A17" s="10">
        <v>7</v>
      </c>
      <c r="B17" s="17" t="s">
        <v>749</v>
      </c>
      <c r="C17" s="18" t="s">
        <v>750</v>
      </c>
      <c r="D17" s="18" t="s">
        <v>751</v>
      </c>
      <c r="E17" s="23" t="s">
        <v>752</v>
      </c>
    </row>
    <row r="18" spans="1:5">
      <c r="A18" s="10"/>
      <c r="B18" s="14"/>
      <c r="C18" s="15"/>
      <c r="D18" s="15"/>
      <c r="E18" s="16"/>
    </row>
    <row r="19" spans="1:5">
      <c r="A19" s="10">
        <v>8</v>
      </c>
      <c r="B19" s="17" t="s">
        <v>223</v>
      </c>
      <c r="C19" s="18" t="s">
        <v>753</v>
      </c>
      <c r="D19" s="190" t="s">
        <v>79</v>
      </c>
      <c r="E19" s="23" t="s">
        <v>463</v>
      </c>
    </row>
    <row r="20" spans="1:5">
      <c r="A20" s="10"/>
      <c r="B20" s="14"/>
      <c r="C20" s="15"/>
      <c r="D20" s="15"/>
      <c r="E20" s="16"/>
    </row>
    <row r="21" spans="1:5">
      <c r="A21" s="10">
        <v>9</v>
      </c>
      <c r="B21" s="17" t="s">
        <v>67</v>
      </c>
      <c r="C21" s="18" t="s">
        <v>754</v>
      </c>
      <c r="D21" s="188" t="s">
        <v>79</v>
      </c>
      <c r="E21" s="20" t="s">
        <v>463</v>
      </c>
    </row>
    <row r="22" spans="1:5">
      <c r="A22" s="10"/>
      <c r="B22" s="14"/>
      <c r="C22" s="15"/>
      <c r="D22" s="21"/>
      <c r="E22" s="22"/>
    </row>
    <row r="23" spans="1:5">
      <c r="A23" s="10">
        <v>10</v>
      </c>
      <c r="B23" s="17" t="s">
        <v>755</v>
      </c>
      <c r="C23" s="18" t="s">
        <v>756</v>
      </c>
      <c r="D23" s="18" t="s">
        <v>757</v>
      </c>
      <c r="E23" s="23" t="s">
        <v>758</v>
      </c>
    </row>
    <row r="24" spans="1:5">
      <c r="A24" s="10"/>
      <c r="B24" s="14"/>
      <c r="C24" s="15"/>
      <c r="D24" s="15"/>
      <c r="E24" s="16"/>
    </row>
    <row r="25" spans="1:5">
      <c r="A25" s="10">
        <v>11</v>
      </c>
      <c r="B25" s="24" t="s">
        <v>749</v>
      </c>
      <c r="C25" s="25" t="s">
        <v>750</v>
      </c>
      <c r="D25" s="25" t="s">
        <v>751</v>
      </c>
      <c r="E25" s="26" t="s">
        <v>752</v>
      </c>
    </row>
    <row r="26" spans="1:5">
      <c r="A26" s="10"/>
      <c r="B26" s="24"/>
      <c r="C26" s="25"/>
      <c r="D26" s="25"/>
      <c r="E26" s="26"/>
    </row>
    <row r="27" spans="1:5">
      <c r="A27" s="10">
        <v>12</v>
      </c>
      <c r="B27" s="24" t="s">
        <v>759</v>
      </c>
      <c r="C27" s="25" t="s">
        <v>753</v>
      </c>
      <c r="D27" s="191" t="s">
        <v>79</v>
      </c>
      <c r="E27" s="26" t="s">
        <v>463</v>
      </c>
    </row>
    <row r="28" spans="1:5">
      <c r="A28" s="10"/>
      <c r="B28" s="24"/>
      <c r="C28" s="25"/>
      <c r="D28" s="25"/>
      <c r="E28" s="26"/>
    </row>
  </sheetData>
  <mergeCells count="63">
    <mergeCell ref="C3:E3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Parameter Setting</vt:lpstr>
      <vt:lpstr>Print</vt:lpstr>
      <vt:lpstr>Material Base On TSM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HERI14</dc:creator>
  <cp:lastModifiedBy>prabowo.vlt01565</cp:lastModifiedBy>
  <dcterms:created xsi:type="dcterms:W3CDTF">2016-01-08T09:11:00Z</dcterms:created>
  <cp:lastPrinted>2024-10-23T07:32:00Z</cp:lastPrinted>
  <dcterms:modified xsi:type="dcterms:W3CDTF">2026-05-08T02:18:55Z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1E8EE5AAF9FB4E309B9E08236C4CF54B_12</vt:lpwstr>
  </property>
  <property fmtid="{D5CDD505-2E9C-101B-9397-08002B2CF9AE}" pid="3" name="KSOProductBuildVer">
    <vt:lpwstr>1033-12.2.0.23196</vt:lpwstr>
  </property>
</Properties>
</file>