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rude\"/>
    </mc:Choice>
  </mc:AlternateContent>
  <xr:revisionPtr revIDLastSave="0" documentId="13_ncr:1_{74F1AE4B-1623-4F70-8095-1CEE54FC4E18}" xr6:coauthVersionLast="47" xr6:coauthVersionMax="47" xr10:uidLastSave="{00000000-0000-0000-0000-000000000000}"/>
  <bookViews>
    <workbookView minimized="1" xWindow="2340" yWindow="2340" windowWidth="21600" windowHeight="11295" xr2:uid="{00000000-000D-0000-FFFF-FFFF00000000}"/>
  </bookViews>
  <sheets>
    <sheet name="Parameter Setting" sheetId="2" r:id="rId1"/>
    <sheet name="Material Base On TSM" sheetId="1" r:id="rId2"/>
  </sheets>
  <definedNames>
    <definedName name="_xlnm._FilterDatabase" localSheetId="0" hidden="1">'Parameter Setting'!$A$6:$CK$83</definedName>
    <definedName name="_xlnm.Print_Area" localSheetId="0">'Parameter Setting'!$B$1:$BN$2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/>
  <c r="J7" i="2"/>
  <c r="BT7" i="2"/>
  <c r="BU7" i="2"/>
  <c r="BY7" i="2"/>
  <c r="BZ7" i="2"/>
  <c r="CA7" i="2"/>
  <c r="CD7" i="2" s="1"/>
  <c r="CF7" i="2"/>
  <c r="CG7" i="2"/>
  <c r="CI7" i="2" s="1"/>
  <c r="A8" i="2"/>
  <c r="J8" i="2"/>
  <c r="BT8" i="2"/>
  <c r="BU8" i="2"/>
  <c r="BY8" i="2"/>
  <c r="BZ8" i="2"/>
  <c r="CA8" i="2"/>
  <c r="CD8" i="2" s="1"/>
  <c r="CF8" i="2"/>
  <c r="CK8" i="2" s="1"/>
  <c r="CG8" i="2"/>
  <c r="CI8" i="2" s="1"/>
  <c r="A9" i="2"/>
  <c r="J9" i="2"/>
  <c r="BT9" i="2"/>
  <c r="BU9" i="2"/>
  <c r="BZ9" i="2"/>
  <c r="CE9" i="2" s="1"/>
  <c r="CA9" i="2"/>
  <c r="CC9" i="2"/>
  <c r="CF9" i="2"/>
  <c r="CG9" i="2"/>
  <c r="CK9" i="2"/>
  <c r="A10" i="2"/>
  <c r="J10" i="2"/>
  <c r="BT10" i="2"/>
  <c r="BU10" i="2"/>
  <c r="BZ10" i="2"/>
  <c r="CC10" i="2" s="1"/>
  <c r="CA10" i="2"/>
  <c r="CE10" i="2"/>
  <c r="CF10" i="2"/>
  <c r="CG10" i="2"/>
  <c r="CK10" i="2"/>
  <c r="A11" i="2"/>
  <c r="J11" i="2"/>
  <c r="BT11" i="2"/>
  <c r="BU11" i="2"/>
  <c r="BZ11" i="2"/>
  <c r="CA11" i="2"/>
  <c r="CF11" i="2"/>
  <c r="CG11" i="2"/>
  <c r="A12" i="2"/>
  <c r="J12" i="2"/>
  <c r="BT12" i="2"/>
  <c r="BU12" i="2"/>
  <c r="BZ12" i="2"/>
  <c r="CA12" i="2"/>
  <c r="CD12" i="2" s="1"/>
  <c r="CF12" i="2"/>
  <c r="CG12" i="2"/>
  <c r="CK12" i="2" s="1"/>
  <c r="A13" i="2"/>
  <c r="J13" i="2"/>
  <c r="BT13" i="2"/>
  <c r="BU13" i="2"/>
  <c r="BZ13" i="2"/>
  <c r="CA13" i="2"/>
  <c r="CD13" i="2" s="1"/>
  <c r="CC13" i="2"/>
  <c r="CF13" i="2"/>
  <c r="CK13" i="2" s="1"/>
  <c r="CG13" i="2"/>
  <c r="A14" i="2"/>
  <c r="J14" i="2"/>
  <c r="BT14" i="2"/>
  <c r="BU14" i="2"/>
  <c r="BZ14" i="2"/>
  <c r="CE14" i="2" s="1"/>
  <c r="CA14" i="2"/>
  <c r="CD14" i="2" s="1"/>
  <c r="CF14" i="2"/>
  <c r="CG14" i="2"/>
  <c r="CK14" i="2"/>
  <c r="A15" i="2"/>
  <c r="J15" i="2"/>
  <c r="BT15" i="2"/>
  <c r="BU15" i="2"/>
  <c r="BZ15" i="2"/>
  <c r="CB15" i="2" s="1"/>
  <c r="CA15" i="2"/>
  <c r="CF15" i="2"/>
  <c r="CK15" i="2" s="1"/>
  <c r="CG15" i="2"/>
  <c r="A16" i="2"/>
  <c r="J16" i="2"/>
  <c r="BT16" i="2"/>
  <c r="BU16" i="2"/>
  <c r="BZ16" i="2"/>
  <c r="CA16" i="2"/>
  <c r="CD16" i="2" s="1"/>
  <c r="CF16" i="2"/>
  <c r="CG16" i="2"/>
  <c r="A17" i="2"/>
  <c r="J17" i="2"/>
  <c r="BT17" i="2"/>
  <c r="BU17" i="2"/>
  <c r="BZ17" i="2"/>
  <c r="CB17" i="2" s="1"/>
  <c r="CA17" i="2"/>
  <c r="CF17" i="2"/>
  <c r="CG17" i="2"/>
  <c r="CK17" i="2"/>
  <c r="A18" i="2"/>
  <c r="J18" i="2"/>
  <c r="BT18" i="2"/>
  <c r="BU18" i="2"/>
  <c r="BZ18" i="2"/>
  <c r="CA18" i="2"/>
  <c r="CD18" i="2" s="1"/>
  <c r="CE18" i="2"/>
  <c r="CF18" i="2"/>
  <c r="CG18" i="2"/>
  <c r="A19" i="2"/>
  <c r="J19" i="2"/>
  <c r="BT19" i="2"/>
  <c r="BU19" i="2"/>
  <c r="BZ19" i="2"/>
  <c r="CA19" i="2"/>
  <c r="CF19" i="2"/>
  <c r="CG19" i="2"/>
  <c r="A20" i="2"/>
  <c r="J20" i="2"/>
  <c r="BT20" i="2"/>
  <c r="BU20" i="2"/>
  <c r="BZ20" i="2"/>
  <c r="CA20" i="2"/>
  <c r="CD20" i="2" s="1"/>
  <c r="CF20" i="2"/>
  <c r="CG20" i="2"/>
  <c r="A21" i="2"/>
  <c r="J21" i="2"/>
  <c r="BT21" i="2"/>
  <c r="BU21" i="2"/>
  <c r="BZ21" i="2"/>
  <c r="CA21" i="2"/>
  <c r="CC21" i="2"/>
  <c r="CF21" i="2"/>
  <c r="CG21" i="2"/>
  <c r="CK21" i="2" s="1"/>
  <c r="A22" i="2"/>
  <c r="J22" i="2"/>
  <c r="BT22" i="2"/>
  <c r="BU22" i="2"/>
  <c r="BZ22" i="2"/>
  <c r="CA22" i="2"/>
  <c r="CC22" i="2"/>
  <c r="CE22" i="2"/>
  <c r="CF22" i="2"/>
  <c r="CG22" i="2"/>
  <c r="CK22" i="2" s="1"/>
  <c r="A23" i="2"/>
  <c r="J23" i="2"/>
  <c r="BT23" i="2"/>
  <c r="BU23" i="2"/>
  <c r="BZ23" i="2"/>
  <c r="CB23" i="2" s="1"/>
  <c r="CA23" i="2"/>
  <c r="CF23" i="2"/>
  <c r="CG23" i="2"/>
  <c r="A24" i="2"/>
  <c r="J24" i="2"/>
  <c r="BT24" i="2"/>
  <c r="BU24" i="2"/>
  <c r="BZ24" i="2"/>
  <c r="CA24" i="2"/>
  <c r="CD24" i="2" s="1"/>
  <c r="CF24" i="2"/>
  <c r="CK24" i="2" s="1"/>
  <c r="CG24" i="2"/>
  <c r="A25" i="2"/>
  <c r="J25" i="2"/>
  <c r="BT25" i="2"/>
  <c r="BU25" i="2"/>
  <c r="BY25" i="2" s="1"/>
  <c r="BZ25" i="2"/>
  <c r="CA25" i="2"/>
  <c r="CD25" i="2" s="1"/>
  <c r="CC25" i="2"/>
  <c r="CF25" i="2"/>
  <c r="CG25" i="2"/>
  <c r="CK25" i="2"/>
  <c r="A26" i="2"/>
  <c r="J26" i="2"/>
  <c r="BT26" i="2"/>
  <c r="BU26" i="2"/>
  <c r="BY26" i="2" s="1"/>
  <c r="BZ26" i="2"/>
  <c r="CA26" i="2"/>
  <c r="CD26" i="2" s="1"/>
  <c r="CC26" i="2"/>
  <c r="CE26" i="2"/>
  <c r="CF26" i="2"/>
  <c r="CG26" i="2"/>
  <c r="CK26" i="2"/>
  <c r="A27" i="2"/>
  <c r="J27" i="2"/>
  <c r="BT27" i="2"/>
  <c r="BU27" i="2"/>
  <c r="BZ27" i="2"/>
  <c r="CA27" i="2"/>
  <c r="CC27" i="2"/>
  <c r="CF27" i="2"/>
  <c r="CI27" i="2" s="1"/>
  <c r="CG27" i="2"/>
  <c r="A28" i="2"/>
  <c r="J28" i="2"/>
  <c r="BT28" i="2"/>
  <c r="BU28" i="2"/>
  <c r="BY28" i="2" s="1"/>
  <c r="BZ28" i="2"/>
  <c r="CA28" i="2"/>
  <c r="CC28" i="2"/>
  <c r="CF28" i="2"/>
  <c r="CG28" i="2"/>
  <c r="CI28" i="2"/>
  <c r="A29" i="2"/>
  <c r="J29" i="2"/>
  <c r="BT29" i="2"/>
  <c r="BU29" i="2"/>
  <c r="BZ29" i="2"/>
  <c r="CA29" i="2"/>
  <c r="CD29" i="2" s="1"/>
  <c r="CF29" i="2"/>
  <c r="CG29" i="2"/>
  <c r="CI29" i="2"/>
  <c r="A30" i="2"/>
  <c r="J30" i="2"/>
  <c r="BT30" i="2"/>
  <c r="BU30" i="2"/>
  <c r="BW30" i="2" s="1"/>
  <c r="BZ30" i="2"/>
  <c r="CA30" i="2"/>
  <c r="CD30" i="2" s="1"/>
  <c r="CC30" i="2"/>
  <c r="CF30" i="2"/>
  <c r="CG30" i="2"/>
  <c r="A31" i="2"/>
  <c r="J31" i="2"/>
  <c r="BU31" i="2"/>
  <c r="BW31" i="2" s="1"/>
  <c r="BV31" i="2"/>
  <c r="BX31" i="2"/>
  <c r="BZ31" i="2"/>
  <c r="CA31" i="2"/>
  <c r="CF31" i="2"/>
  <c r="CG31" i="2"/>
  <c r="A32" i="2"/>
  <c r="J32" i="2"/>
  <c r="BU32" i="2"/>
  <c r="BW32" i="2" s="1"/>
  <c r="BZ32" i="2"/>
  <c r="CC32" i="2" s="1"/>
  <c r="CA32" i="2"/>
  <c r="CE32" i="2" s="1"/>
  <c r="CF32" i="2"/>
  <c r="CG32" i="2"/>
  <c r="CJ32" i="2" s="1"/>
  <c r="CK18" i="2" l="1"/>
  <c r="BW27" i="2"/>
  <c r="CB28" i="2"/>
  <c r="BW28" i="2"/>
  <c r="CC16" i="2"/>
  <c r="CD9" i="2"/>
  <c r="CK7" i="2"/>
  <c r="CI32" i="2"/>
  <c r="CB22" i="2"/>
  <c r="BV8" i="2"/>
  <c r="CE20" i="2"/>
  <c r="CK23" i="2"/>
  <c r="CC12" i="2"/>
  <c r="CC29" i="2"/>
  <c r="CB21" i="2"/>
  <c r="CB19" i="2"/>
  <c r="BV7" i="2"/>
  <c r="CI30" i="2"/>
  <c r="CK11" i="2"/>
  <c r="CK20" i="2"/>
  <c r="CE30" i="2"/>
  <c r="CC11" i="2"/>
  <c r="BY30" i="2"/>
  <c r="CK16" i="2"/>
  <c r="CC14" i="2"/>
  <c r="CC17" i="2"/>
  <c r="CK28" i="2"/>
  <c r="CC7" i="2"/>
  <c r="CK19" i="2"/>
  <c r="BW29" i="2"/>
  <c r="BY32" i="2"/>
  <c r="CK30" i="2"/>
  <c r="CC15" i="2"/>
  <c r="CE12" i="2"/>
  <c r="CE25" i="2"/>
  <c r="CB18" i="2"/>
  <c r="CD15" i="2"/>
  <c r="BW8" i="2"/>
  <c r="CE19" i="2"/>
  <c r="CB25" i="2"/>
  <c r="CD22" i="2"/>
  <c r="CC19" i="2"/>
  <c r="CE16" i="2"/>
  <c r="CD19" i="2"/>
  <c r="CE13" i="2"/>
  <c r="CB16" i="2"/>
  <c r="CH7" i="2"/>
  <c r="CE23" i="2"/>
  <c r="CK32" i="2"/>
  <c r="CB26" i="2"/>
  <c r="CC23" i="2"/>
  <c r="CB13" i="2"/>
  <c r="CD10" i="2"/>
  <c r="CE7" i="2"/>
  <c r="CB30" i="2"/>
  <c r="BY31" i="2"/>
  <c r="CD23" i="2"/>
  <c r="CC20" i="2"/>
  <c r="CE17" i="2"/>
  <c r="CH32" i="2"/>
  <c r="CD27" i="2"/>
  <c r="CB20" i="2"/>
  <c r="CD17" i="2"/>
  <c r="CE11" i="2"/>
  <c r="CH8" i="2"/>
  <c r="CE8" i="2"/>
  <c r="CE28" i="2"/>
  <c r="CC24" i="2"/>
  <c r="CE21" i="2"/>
  <c r="CB14" i="2"/>
  <c r="CD11" i="2"/>
  <c r="CC8" i="2"/>
  <c r="BX7" i="2"/>
  <c r="CD28" i="2"/>
  <c r="CB24" i="2"/>
  <c r="CD21" i="2"/>
  <c r="CC18" i="2"/>
  <c r="CE15" i="2"/>
  <c r="BV24" i="2"/>
  <c r="BW24" i="2"/>
  <c r="BX24" i="2"/>
  <c r="BV20" i="2"/>
  <c r="BW20" i="2"/>
  <c r="BX20" i="2"/>
  <c r="BV18" i="2"/>
  <c r="BW18" i="2"/>
  <c r="BX18" i="2"/>
  <c r="BV14" i="2"/>
  <c r="BW14" i="2"/>
  <c r="BX14" i="2"/>
  <c r="BW12" i="2"/>
  <c r="BX12" i="2"/>
  <c r="BW10" i="2"/>
  <c r="BX10" i="2"/>
  <c r="CI31" i="2"/>
  <c r="CK31" i="2"/>
  <c r="CE31" i="2"/>
  <c r="CC31" i="2"/>
  <c r="BV26" i="2"/>
  <c r="BW26" i="2"/>
  <c r="BX26" i="2"/>
  <c r="CH23" i="2"/>
  <c r="CI23" i="2"/>
  <c r="CJ23" i="2"/>
  <c r="CH20" i="2"/>
  <c r="CI20" i="2"/>
  <c r="CJ20" i="2"/>
  <c r="CH19" i="2"/>
  <c r="CI19" i="2"/>
  <c r="CJ19" i="2"/>
  <c r="CH16" i="2"/>
  <c r="CI16" i="2"/>
  <c r="CJ16" i="2"/>
  <c r="CH15" i="2"/>
  <c r="CI15" i="2"/>
  <c r="CJ15" i="2"/>
  <c r="CH14" i="2"/>
  <c r="CI14" i="2"/>
  <c r="CJ14" i="2"/>
  <c r="CI13" i="2"/>
  <c r="CJ13" i="2"/>
  <c r="BV13" i="2"/>
  <c r="CI12" i="2"/>
  <c r="CJ12" i="2"/>
  <c r="BV12" i="2"/>
  <c r="CI11" i="2"/>
  <c r="CJ11" i="2"/>
  <c r="BV11" i="2"/>
  <c r="CI10" i="2"/>
  <c r="CJ10" i="2"/>
  <c r="BV10" i="2"/>
  <c r="CI9" i="2"/>
  <c r="CJ9" i="2"/>
  <c r="BV9" i="2"/>
  <c r="BV22" i="2"/>
  <c r="BW22" i="2"/>
  <c r="BX22" i="2"/>
  <c r="BV19" i="2"/>
  <c r="BW19" i="2"/>
  <c r="BX19" i="2"/>
  <c r="BV16" i="2"/>
  <c r="BW16" i="2"/>
  <c r="BX16" i="2"/>
  <c r="BW13" i="2"/>
  <c r="BX13" i="2"/>
  <c r="BW9" i="2"/>
  <c r="BX9" i="2"/>
  <c r="BV29" i="2"/>
  <c r="BX29" i="2"/>
  <c r="BV27" i="2"/>
  <c r="BX27" i="2"/>
  <c r="BV25" i="2"/>
  <c r="BW25" i="2"/>
  <c r="BX25" i="2"/>
  <c r="CH22" i="2"/>
  <c r="CI22" i="2"/>
  <c r="CJ22" i="2"/>
  <c r="CH18" i="2"/>
  <c r="CI18" i="2"/>
  <c r="CJ18" i="2"/>
  <c r="CB29" i="2"/>
  <c r="CH25" i="2"/>
  <c r="CI25" i="2"/>
  <c r="CJ25" i="2"/>
  <c r="CH24" i="2"/>
  <c r="CI24" i="2"/>
  <c r="CJ24" i="2"/>
  <c r="CH13" i="2"/>
  <c r="CH12" i="2"/>
  <c r="CH11" i="2"/>
  <c r="CH10" i="2"/>
  <c r="CH9" i="2"/>
  <c r="BV23" i="2"/>
  <c r="BW23" i="2"/>
  <c r="BX23" i="2"/>
  <c r="BV21" i="2"/>
  <c r="BW21" i="2"/>
  <c r="BX21" i="2"/>
  <c r="BV17" i="2"/>
  <c r="BW17" i="2"/>
  <c r="BX17" i="2"/>
  <c r="BV15" i="2"/>
  <c r="BW15" i="2"/>
  <c r="BX15" i="2"/>
  <c r="BW11" i="2"/>
  <c r="BX11" i="2"/>
  <c r="CH29" i="2"/>
  <c r="CJ29" i="2"/>
  <c r="CH27" i="2"/>
  <c r="CJ27" i="2"/>
  <c r="CH21" i="2"/>
  <c r="CI21" i="2"/>
  <c r="CJ21" i="2"/>
  <c r="CH17" i="2"/>
  <c r="CI17" i="2"/>
  <c r="CJ17" i="2"/>
  <c r="CJ31" i="2"/>
  <c r="CD31" i="2"/>
  <c r="CB27" i="2"/>
  <c r="CH26" i="2"/>
  <c r="CI26" i="2"/>
  <c r="CJ26" i="2"/>
  <c r="CB32" i="2"/>
  <c r="CD32" i="2"/>
  <c r="BX32" i="2"/>
  <c r="BV32" i="2"/>
  <c r="CH31" i="2"/>
  <c r="CB31" i="2"/>
  <c r="CH30" i="2"/>
  <c r="CJ30" i="2"/>
  <c r="BV30" i="2"/>
  <c r="BX30" i="2"/>
  <c r="CK29" i="2"/>
  <c r="CE29" i="2"/>
  <c r="BY29" i="2"/>
  <c r="CH28" i="2"/>
  <c r="CJ28" i="2"/>
  <c r="BV28" i="2"/>
  <c r="BX28" i="2"/>
  <c r="CK27" i="2"/>
  <c r="CE27" i="2"/>
  <c r="BY27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CB12" i="2"/>
  <c r="CB11" i="2"/>
  <c r="CB10" i="2"/>
  <c r="CB9" i="2"/>
  <c r="CJ8" i="2"/>
  <c r="CB8" i="2"/>
  <c r="BX8" i="2"/>
  <c r="CJ7" i="2"/>
  <c r="CB7" i="2"/>
  <c r="CE24" i="2"/>
  <c r="BW7" i="2"/>
  <c r="CG83" i="2"/>
  <c r="CF83" i="2"/>
  <c r="BZ83" i="2"/>
  <c r="CE83" i="2" s="1"/>
  <c r="BU83" i="2"/>
  <c r="BT83" i="2"/>
  <c r="J83" i="2"/>
  <c r="A83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CI83" i="2" l="1"/>
  <c r="BV83" i="2"/>
  <c r="BW83" i="2"/>
  <c r="CC83" i="2"/>
  <c r="CB83" i="2"/>
  <c r="CK83" i="2"/>
  <c r="BY83" i="2"/>
  <c r="CD83" i="2"/>
  <c r="CH83" i="2"/>
  <c r="CJ83" i="2"/>
  <c r="BX83" i="2"/>
  <c r="CH82" i="2" l="1"/>
  <c r="BU82" i="2"/>
  <c r="CI82" i="2" l="1"/>
  <c r="BZ82" i="2"/>
  <c r="CE82" i="2" s="1"/>
  <c r="BW82" i="2"/>
  <c r="BV82" i="2"/>
  <c r="BY82" i="2"/>
  <c r="J82" i="2"/>
  <c r="A82" i="2"/>
  <c r="CB82" i="2" l="1"/>
  <c r="CJ82" i="2"/>
  <c r="BX82" i="2"/>
  <c r="CC82" i="2"/>
  <c r="CK82" i="2"/>
  <c r="CD82" i="2"/>
  <c r="BU81" i="2"/>
  <c r="CG81" i="2"/>
  <c r="CF81" i="2"/>
  <c r="CA81" i="2"/>
  <c r="BZ81" i="2"/>
  <c r="BT81" i="2"/>
  <c r="J81" i="2"/>
  <c r="A81" i="2"/>
  <c r="BU80" i="2"/>
  <c r="BX80" i="2" s="1"/>
  <c r="CG80" i="2"/>
  <c r="CF80" i="2"/>
  <c r="CA80" i="2"/>
  <c r="BZ80" i="2"/>
  <c r="J80" i="2"/>
  <c r="A80" i="2"/>
  <c r="CG79" i="2"/>
  <c r="CF79" i="2"/>
  <c r="CA79" i="2"/>
  <c r="BZ79" i="2"/>
  <c r="BU79" i="2"/>
  <c r="BV79" i="2" s="1"/>
  <c r="A79" i="2"/>
  <c r="BX79" i="2" l="1"/>
  <c r="CD80" i="2"/>
  <c r="CH79" i="2"/>
  <c r="CB79" i="2"/>
  <c r="CJ80" i="2"/>
  <c r="CE80" i="2"/>
  <c r="CK81" i="2"/>
  <c r="CC79" i="2"/>
  <c r="CB80" i="2"/>
  <c r="CJ79" i="2"/>
  <c r="CC80" i="2"/>
  <c r="BV81" i="2"/>
  <c r="BY81" i="2"/>
  <c r="CH81" i="2"/>
  <c r="CC81" i="2"/>
  <c r="BW81" i="2"/>
  <c r="CE81" i="2"/>
  <c r="CI81" i="2"/>
  <c r="BX81" i="2"/>
  <c r="CB81" i="2"/>
  <c r="CJ81" i="2"/>
  <c r="CD81" i="2"/>
  <c r="BY80" i="2"/>
  <c r="CK80" i="2"/>
  <c r="BV80" i="2"/>
  <c r="CH80" i="2"/>
  <c r="BW80" i="2"/>
  <c r="CI80" i="2"/>
  <c r="CK79" i="2"/>
  <c r="CD79" i="2"/>
  <c r="BW79" i="2"/>
  <c r="CE79" i="2"/>
  <c r="CI79" i="2"/>
  <c r="BY79" i="2"/>
  <c r="CG78" i="2" l="1"/>
  <c r="CF78" i="2"/>
  <c r="CA78" i="2"/>
  <c r="BZ78" i="2"/>
  <c r="BU78" i="2"/>
  <c r="BY78" i="2" s="1"/>
  <c r="A78" i="2"/>
  <c r="CC78" i="2" l="1"/>
  <c r="CJ78" i="2"/>
  <c r="BX78" i="2"/>
  <c r="BV78" i="2"/>
  <c r="CK78" i="2"/>
  <c r="CH78" i="2"/>
  <c r="CD78" i="2"/>
  <c r="BW78" i="2"/>
  <c r="CE78" i="2"/>
  <c r="CI78" i="2"/>
  <c r="CB78" i="2"/>
  <c r="CG77" i="2" l="1"/>
  <c r="CK77" i="2" s="1"/>
  <c r="CA77" i="2"/>
  <c r="CE77" i="2" s="1"/>
  <c r="BU77" i="2"/>
  <c r="BW77" i="2" s="1"/>
  <c r="A77" i="2"/>
  <c r="CH77" i="2" l="1"/>
  <c r="CB77" i="2"/>
  <c r="CC77" i="2"/>
  <c r="BY77" i="2"/>
  <c r="CD77" i="2"/>
  <c r="CI77" i="2"/>
  <c r="BV77" i="2"/>
  <c r="CJ77" i="2"/>
  <c r="BX77" i="2"/>
  <c r="CG76" i="2"/>
  <c r="CI76" i="2" s="1"/>
  <c r="CA76" i="2"/>
  <c r="CC76" i="2" s="1"/>
  <c r="BU76" i="2"/>
  <c r="BT76" i="2"/>
  <c r="A76" i="2"/>
  <c r="BV76" i="2" l="1"/>
  <c r="BW76" i="2"/>
  <c r="CD76" i="2"/>
  <c r="CE76" i="2"/>
  <c r="BX76" i="2"/>
  <c r="CB76" i="2"/>
  <c r="CJ76" i="2"/>
  <c r="BY76" i="2"/>
  <c r="CK76" i="2"/>
  <c r="CH76" i="2"/>
  <c r="CG75" i="2"/>
  <c r="CF75" i="2"/>
  <c r="CI75" i="2" s="1"/>
  <c r="BZ75" i="2"/>
  <c r="CE75" i="2" s="1"/>
  <c r="BU75" i="2"/>
  <c r="BV75" i="2" s="1"/>
  <c r="A75" i="2"/>
  <c r="CG74" i="2"/>
  <c r="CF74" i="2"/>
  <c r="BZ74" i="2"/>
  <c r="BU74" i="2"/>
  <c r="BX74" i="2" s="1"/>
  <c r="A74" i="2"/>
  <c r="CG73" i="2"/>
  <c r="CF73" i="2"/>
  <c r="BZ73" i="2"/>
  <c r="CB73" i="2" s="1"/>
  <c r="BU73" i="2"/>
  <c r="BX73" i="2" s="1"/>
  <c r="A73" i="2"/>
  <c r="CG72" i="2"/>
  <c r="CF72" i="2"/>
  <c r="CA72" i="2"/>
  <c r="BZ72" i="2"/>
  <c r="BU72" i="2"/>
  <c r="BT72" i="2"/>
  <c r="A72" i="2"/>
  <c r="CG71" i="2"/>
  <c r="CF71" i="2"/>
  <c r="CA71" i="2"/>
  <c r="BZ71" i="2"/>
  <c r="BU71" i="2"/>
  <c r="BT71" i="2"/>
  <c r="A71" i="2"/>
  <c r="CG70" i="2"/>
  <c r="CF70" i="2"/>
  <c r="CA70" i="2"/>
  <c r="BZ70" i="2"/>
  <c r="BV70" i="2"/>
  <c r="A70" i="2"/>
  <c r="A69" i="2"/>
  <c r="BY69" i="2"/>
  <c r="BZ69" i="2"/>
  <c r="CA69" i="2"/>
  <c r="CF69" i="2"/>
  <c r="CG69" i="2"/>
  <c r="CG68" i="2"/>
  <c r="CF68" i="2"/>
  <c r="CA68" i="2"/>
  <c r="BZ68" i="2"/>
  <c r="BU68" i="2"/>
  <c r="BT68" i="2"/>
  <c r="A68" i="2"/>
  <c r="CG67" i="2"/>
  <c r="CF67" i="2"/>
  <c r="BU67" i="2"/>
  <c r="BY67" i="2" s="1"/>
  <c r="A67" i="2"/>
  <c r="CG66" i="2"/>
  <c r="CF66" i="2"/>
  <c r="CA66" i="2"/>
  <c r="BZ66" i="2"/>
  <c r="BU66" i="2"/>
  <c r="BT66" i="2"/>
  <c r="A66" i="2"/>
  <c r="CG65" i="2"/>
  <c r="CF65" i="2"/>
  <c r="CA65" i="2"/>
  <c r="BZ65" i="2"/>
  <c r="BU65" i="2"/>
  <c r="BT65" i="2"/>
  <c r="A65" i="2"/>
  <c r="CG64" i="2"/>
  <c r="CF64" i="2"/>
  <c r="CA64" i="2"/>
  <c r="BZ64" i="2"/>
  <c r="CC64" i="2" s="1"/>
  <c r="BU64" i="2"/>
  <c r="BT64" i="2"/>
  <c r="J64" i="2"/>
  <c r="A64" i="2"/>
  <c r="CC70" i="2" l="1"/>
  <c r="CJ72" i="2"/>
  <c r="CC71" i="2"/>
  <c r="BV65" i="2"/>
  <c r="CC66" i="2"/>
  <c r="CB69" i="2"/>
  <c r="CH64" i="2"/>
  <c r="CB65" i="2"/>
  <c r="BW71" i="2"/>
  <c r="CJ73" i="2"/>
  <c r="CC69" i="2"/>
  <c r="BW72" i="2"/>
  <c r="CB74" i="2"/>
  <c r="CD74" i="2"/>
  <c r="CC74" i="2"/>
  <c r="CJ66" i="2"/>
  <c r="CD69" i="2"/>
  <c r="CB72" i="2"/>
  <c r="CJ74" i="2"/>
  <c r="CC75" i="2"/>
  <c r="CB75" i="2"/>
  <c r="CD75" i="2"/>
  <c r="BY64" i="2"/>
  <c r="CK64" i="2"/>
  <c r="CK70" i="2"/>
  <c r="CK69" i="2"/>
  <c r="CB71" i="2"/>
  <c r="CI72" i="2"/>
  <c r="CK73" i="2"/>
  <c r="CK74" i="2"/>
  <c r="BW75" i="2"/>
  <c r="CH69" i="2"/>
  <c r="BV69" i="2"/>
  <c r="CH70" i="2"/>
  <c r="BX75" i="2"/>
  <c r="CJ67" i="2"/>
  <c r="BX68" i="2"/>
  <c r="CJ68" i="2"/>
  <c r="CE69" i="2"/>
  <c r="BY70" i="2"/>
  <c r="CE71" i="2"/>
  <c r="CJ71" i="2"/>
  <c r="BX72" i="2"/>
  <c r="CC72" i="2"/>
  <c r="CC73" i="2"/>
  <c r="CJ75" i="2"/>
  <c r="BY75" i="2"/>
  <c r="CK75" i="2"/>
  <c r="CH75" i="2"/>
  <c r="BV74" i="2"/>
  <c r="CH74" i="2"/>
  <c r="BY74" i="2"/>
  <c r="BW74" i="2"/>
  <c r="CE74" i="2"/>
  <c r="CI74" i="2"/>
  <c r="BY73" i="2"/>
  <c r="BV73" i="2"/>
  <c r="CD73" i="2"/>
  <c r="CH73" i="2"/>
  <c r="BW73" i="2"/>
  <c r="CE73" i="2"/>
  <c r="CI73" i="2"/>
  <c r="BY72" i="2"/>
  <c r="CK72" i="2"/>
  <c r="BV72" i="2"/>
  <c r="CD72" i="2"/>
  <c r="CH72" i="2"/>
  <c r="CE72" i="2"/>
  <c r="CK71" i="2"/>
  <c r="BV71" i="2"/>
  <c r="CD71" i="2"/>
  <c r="CH71" i="2"/>
  <c r="BX71" i="2"/>
  <c r="BY71" i="2"/>
  <c r="CI71" i="2"/>
  <c r="BW70" i="2"/>
  <c r="CE70" i="2"/>
  <c r="CI70" i="2"/>
  <c r="CD70" i="2"/>
  <c r="BX70" i="2"/>
  <c r="CB70" i="2"/>
  <c r="CJ70" i="2"/>
  <c r="BX67" i="2"/>
  <c r="CC68" i="2"/>
  <c r="CJ69" i="2"/>
  <c r="BX69" i="2"/>
  <c r="CI69" i="2"/>
  <c r="BW69" i="2"/>
  <c r="CJ65" i="2"/>
  <c r="BX66" i="2"/>
  <c r="CK68" i="2"/>
  <c r="CH65" i="2"/>
  <c r="BV64" i="2"/>
  <c r="CB66" i="2"/>
  <c r="CK66" i="2"/>
  <c r="BV67" i="2"/>
  <c r="CK67" i="2"/>
  <c r="BW68" i="2"/>
  <c r="BY66" i="2"/>
  <c r="BW64" i="2"/>
  <c r="BX65" i="2"/>
  <c r="CC65" i="2"/>
  <c r="BW67" i="2"/>
  <c r="CB68" i="2"/>
  <c r="BY68" i="2"/>
  <c r="BV68" i="2"/>
  <c r="CD68" i="2"/>
  <c r="CH68" i="2"/>
  <c r="CE68" i="2"/>
  <c r="CI68" i="2"/>
  <c r="CH67" i="2"/>
  <c r="CI67" i="2"/>
  <c r="BV66" i="2"/>
  <c r="CH66" i="2"/>
  <c r="BW66" i="2"/>
  <c r="CE66" i="2"/>
  <c r="CI66" i="2"/>
  <c r="CD66" i="2"/>
  <c r="BY65" i="2"/>
  <c r="BW65" i="2"/>
  <c r="CE65" i="2"/>
  <c r="CI65" i="2"/>
  <c r="CK65" i="2"/>
  <c r="CD65" i="2"/>
  <c r="CE64" i="2"/>
  <c r="CI64" i="2"/>
  <c r="CD64" i="2"/>
  <c r="CJ64" i="2"/>
  <c r="BX64" i="2"/>
  <c r="CB64" i="2"/>
  <c r="CG63" i="2"/>
  <c r="CF63" i="2"/>
  <c r="CA63" i="2"/>
  <c r="BZ63" i="2"/>
  <c r="BU63" i="2"/>
  <c r="BT63" i="2"/>
  <c r="J63" i="2"/>
  <c r="A63" i="2"/>
  <c r="BY63" i="2" l="1"/>
  <c r="BW63" i="2"/>
  <c r="CC63" i="2"/>
  <c r="BV63" i="2"/>
  <c r="CK63" i="2"/>
  <c r="CI63" i="2"/>
  <c r="CH63" i="2"/>
  <c r="CD63" i="2"/>
  <c r="CE63" i="2"/>
  <c r="BX63" i="2"/>
  <c r="CB63" i="2"/>
  <c r="CJ63" i="2"/>
  <c r="CG62" i="2"/>
  <c r="CF62" i="2"/>
  <c r="CA62" i="2"/>
  <c r="BZ62" i="2"/>
  <c r="CC62" i="2" s="1"/>
  <c r="BU62" i="2"/>
  <c r="BY62" i="2" s="1"/>
  <c r="J62" i="2"/>
  <c r="A62" i="2"/>
  <c r="CK62" i="2" l="1"/>
  <c r="CH62" i="2"/>
  <c r="BV62" i="2"/>
  <c r="BW62" i="2"/>
  <c r="CE62" i="2"/>
  <c r="CI62" i="2"/>
  <c r="CD62" i="2"/>
  <c r="BX62" i="2"/>
  <c r="CB62" i="2"/>
  <c r="CJ62" i="2"/>
  <c r="CG61" i="2"/>
  <c r="CF61" i="2"/>
  <c r="CA61" i="2"/>
  <c r="BZ61" i="2"/>
  <c r="CC61" i="2" s="1"/>
  <c r="BU61" i="2"/>
  <c r="BY61" i="2" s="1"/>
  <c r="J61" i="2"/>
  <c r="A61" i="2"/>
  <c r="CK61" i="2" l="1"/>
  <c r="BV61" i="2"/>
  <c r="CH61" i="2"/>
  <c r="BW61" i="2"/>
  <c r="CE61" i="2"/>
  <c r="CI61" i="2"/>
  <c r="CD61" i="2"/>
  <c r="BX61" i="2"/>
  <c r="CB61" i="2"/>
  <c r="CJ61" i="2"/>
  <c r="CG60" i="2" l="1"/>
  <c r="CF60" i="2"/>
  <c r="CA60" i="2"/>
  <c r="BZ60" i="2"/>
  <c r="CC60" i="2" s="1"/>
  <c r="BU60" i="2"/>
  <c r="BY60" i="2" s="1"/>
  <c r="J60" i="2"/>
  <c r="A60" i="2"/>
  <c r="CK60" i="2" l="1"/>
  <c r="BV60" i="2"/>
  <c r="CH60" i="2"/>
  <c r="BW60" i="2"/>
  <c r="CE60" i="2"/>
  <c r="CI60" i="2"/>
  <c r="CD60" i="2"/>
  <c r="BX60" i="2"/>
  <c r="CB60" i="2"/>
  <c r="CJ60" i="2"/>
  <c r="CG59" i="2"/>
  <c r="CF59" i="2"/>
  <c r="CA59" i="2"/>
  <c r="BZ59" i="2"/>
  <c r="CC59" i="2" s="1"/>
  <c r="BU59" i="2"/>
  <c r="BY59" i="2" s="1"/>
  <c r="J59" i="2"/>
  <c r="A59" i="2"/>
  <c r="CK59" i="2" l="1"/>
  <c r="BV59" i="2"/>
  <c r="BW59" i="2"/>
  <c r="CH59" i="2"/>
  <c r="CI59" i="2"/>
  <c r="CD59" i="2"/>
  <c r="CE59" i="2"/>
  <c r="BX59" i="2"/>
  <c r="CB59" i="2"/>
  <c r="CJ59" i="2"/>
  <c r="BT56" i="2"/>
  <c r="BU58" i="2"/>
  <c r="BX58" i="2" s="1"/>
  <c r="CF58" i="2"/>
  <c r="CG58" i="2"/>
  <c r="J58" i="2"/>
  <c r="A58" i="2"/>
  <c r="CJ58" i="2" l="1"/>
  <c r="BW58" i="2"/>
  <c r="BV58" i="2"/>
  <c r="BY58" i="2"/>
  <c r="CI58" i="2"/>
  <c r="CK58" i="2"/>
  <c r="CH58" i="2"/>
  <c r="CG57" i="2" l="1"/>
  <c r="CF57" i="2"/>
  <c r="BU57" i="2"/>
  <c r="BY57" i="2" s="1"/>
  <c r="J57" i="2"/>
  <c r="A57" i="2"/>
  <c r="CJ57" i="2" l="1"/>
  <c r="BW57" i="2"/>
  <c r="BX57" i="2"/>
  <c r="BV57" i="2"/>
  <c r="CK57" i="2"/>
  <c r="CH57" i="2"/>
  <c r="CI57" i="2"/>
  <c r="CG56" i="2"/>
  <c r="CF56" i="2"/>
  <c r="BZ56" i="2"/>
  <c r="CB56" i="2" s="1"/>
  <c r="BU56" i="2"/>
  <c r="J56" i="2"/>
  <c r="A56" i="2"/>
  <c r="CG55" i="2"/>
  <c r="CF55" i="2"/>
  <c r="CA55" i="2"/>
  <c r="BZ55" i="2"/>
  <c r="BU55" i="2"/>
  <c r="BT55" i="2"/>
  <c r="J55" i="2"/>
  <c r="A55" i="2"/>
  <c r="CG54" i="2"/>
  <c r="CF54" i="2"/>
  <c r="CA54" i="2"/>
  <c r="BZ54" i="2"/>
  <c r="CC54" i="2" s="1"/>
  <c r="BU54" i="2"/>
  <c r="BW54" i="2" s="1"/>
  <c r="J54" i="2"/>
  <c r="A54" i="2"/>
  <c r="CG53" i="2"/>
  <c r="CF53" i="2"/>
  <c r="CA53" i="2"/>
  <c r="BZ53" i="2"/>
  <c r="CC53" i="2" s="1"/>
  <c r="BU53" i="2"/>
  <c r="BW53" i="2" s="1"/>
  <c r="J53" i="2"/>
  <c r="A53" i="2"/>
  <c r="CG52" i="2"/>
  <c r="CF52" i="2"/>
  <c r="CA52" i="2"/>
  <c r="BZ52" i="2"/>
  <c r="BU52" i="2"/>
  <c r="BT52" i="2"/>
  <c r="J52" i="2"/>
  <c r="A52" i="2"/>
  <c r="CG51" i="2"/>
  <c r="CF51" i="2"/>
  <c r="CA51" i="2"/>
  <c r="BZ51" i="2"/>
  <c r="BU51" i="2"/>
  <c r="BT51" i="2"/>
  <c r="J51" i="2"/>
  <c r="A51" i="2"/>
  <c r="CG50" i="2"/>
  <c r="CF50" i="2"/>
  <c r="CA50" i="2"/>
  <c r="BZ50" i="2"/>
  <c r="BU50" i="2"/>
  <c r="BT50" i="2"/>
  <c r="J50" i="2"/>
  <c r="A50" i="2"/>
  <c r="CG49" i="2"/>
  <c r="CF49" i="2"/>
  <c r="CA49" i="2"/>
  <c r="BZ49" i="2"/>
  <c r="BU49" i="2"/>
  <c r="BT49" i="2"/>
  <c r="J49" i="2"/>
  <c r="A49" i="2"/>
  <c r="CG48" i="2"/>
  <c r="CF48" i="2"/>
  <c r="CA48" i="2"/>
  <c r="BZ48" i="2"/>
  <c r="BU48" i="2"/>
  <c r="BT48" i="2"/>
  <c r="J48" i="2"/>
  <c r="A48" i="2"/>
  <c r="CJ54" i="2" l="1"/>
  <c r="CJ56" i="2"/>
  <c r="BX55" i="2"/>
  <c r="CB55" i="2"/>
  <c r="BW48" i="2"/>
  <c r="CK48" i="2"/>
  <c r="CC52" i="2"/>
  <c r="CI48" i="2"/>
  <c r="BY49" i="2"/>
  <c r="CK50" i="2"/>
  <c r="BV51" i="2"/>
  <c r="CI51" i="2"/>
  <c r="CJ52" i="2"/>
  <c r="CE54" i="2"/>
  <c r="CC50" i="2"/>
  <c r="CE52" i="2"/>
  <c r="CK53" i="2"/>
  <c r="BX54" i="2"/>
  <c r="CB50" i="2"/>
  <c r="CH48" i="2"/>
  <c r="BV49" i="2"/>
  <c r="CK49" i="2"/>
  <c r="BX50" i="2"/>
  <c r="BW51" i="2"/>
  <c r="CK51" i="2"/>
  <c r="CB53" i="2"/>
  <c r="CC55" i="2"/>
  <c r="BV48" i="2"/>
  <c r="CI56" i="2"/>
  <c r="CC49" i="2"/>
  <c r="CH49" i="2"/>
  <c r="CK52" i="2"/>
  <c r="BX53" i="2"/>
  <c r="CK54" i="2"/>
  <c r="CC56" i="2"/>
  <c r="BY48" i="2"/>
  <c r="CC48" i="2"/>
  <c r="BX49" i="2"/>
  <c r="CE50" i="2"/>
  <c r="CJ50" i="2"/>
  <c r="BY51" i="2"/>
  <c r="CC51" i="2"/>
  <c r="CH51" i="2"/>
  <c r="BX52" i="2"/>
  <c r="CB52" i="2"/>
  <c r="CE53" i="2"/>
  <c r="CJ53" i="2"/>
  <c r="CB54" i="2"/>
  <c r="CE55" i="2"/>
  <c r="CK55" i="2"/>
  <c r="BW56" i="2"/>
  <c r="CD56" i="2"/>
  <c r="CK56" i="2"/>
  <c r="BY56" i="2"/>
  <c r="BX56" i="2"/>
  <c r="CH56" i="2"/>
  <c r="BV56" i="2"/>
  <c r="CE56" i="2"/>
  <c r="BY55" i="2"/>
  <c r="BV55" i="2"/>
  <c r="CD55" i="2"/>
  <c r="CH55" i="2"/>
  <c r="BW55" i="2"/>
  <c r="CI55" i="2"/>
  <c r="CJ55" i="2"/>
  <c r="BY54" i="2"/>
  <c r="BV54" i="2"/>
  <c r="CD54" i="2"/>
  <c r="CH54" i="2"/>
  <c r="CI54" i="2"/>
  <c r="BY53" i="2"/>
  <c r="BV53" i="2"/>
  <c r="CD53" i="2"/>
  <c r="CH53" i="2"/>
  <c r="CI53" i="2"/>
  <c r="BV52" i="2"/>
  <c r="CD52" i="2"/>
  <c r="CH52" i="2"/>
  <c r="BY52" i="2"/>
  <c r="BW52" i="2"/>
  <c r="CI52" i="2"/>
  <c r="BX51" i="2"/>
  <c r="CB51" i="2"/>
  <c r="CJ51" i="2"/>
  <c r="CD51" i="2"/>
  <c r="CE51" i="2"/>
  <c r="BY50" i="2"/>
  <c r="BV50" i="2"/>
  <c r="CD50" i="2"/>
  <c r="CH50" i="2"/>
  <c r="BW50" i="2"/>
  <c r="CI50" i="2"/>
  <c r="BW49" i="2"/>
  <c r="CE49" i="2"/>
  <c r="CI49" i="2"/>
  <c r="CD49" i="2"/>
  <c r="CB49" i="2"/>
  <c r="CJ49" i="2"/>
  <c r="CD48" i="2"/>
  <c r="BX48" i="2"/>
  <c r="CB48" i="2"/>
  <c r="CJ48" i="2"/>
  <c r="CE48" i="2"/>
  <c r="BU47" i="2"/>
  <c r="BW47" i="2" s="1"/>
  <c r="CG47" i="2"/>
  <c r="CF47" i="2"/>
  <c r="J47" i="2"/>
  <c r="A47" i="2"/>
  <c r="CK47" i="2" l="1"/>
  <c r="CH47" i="2"/>
  <c r="CI47" i="2"/>
  <c r="BY47" i="2"/>
  <c r="BV47" i="2"/>
  <c r="CJ47" i="2"/>
  <c r="BX47" i="2"/>
  <c r="CG46" i="2"/>
  <c r="CF46" i="2"/>
  <c r="CA46" i="2"/>
  <c r="BZ46" i="2"/>
  <c r="CC46" i="2" s="1"/>
  <c r="BU46" i="2"/>
  <c r="BY46" i="2" s="1"/>
  <c r="J46" i="2"/>
  <c r="A46" i="2"/>
  <c r="CG45" i="2"/>
  <c r="CF45" i="2"/>
  <c r="CA45" i="2"/>
  <c r="BZ45" i="2"/>
  <c r="BU45" i="2"/>
  <c r="BT45" i="2"/>
  <c r="J45" i="2"/>
  <c r="A45" i="2"/>
  <c r="CG44" i="2"/>
  <c r="CF44" i="2"/>
  <c r="BZ44" i="2"/>
  <c r="CC44" i="2" s="1"/>
  <c r="BU44" i="2"/>
  <c r="BT44" i="2"/>
  <c r="J44" i="2"/>
  <c r="A44" i="2"/>
  <c r="CH46" i="2" l="1"/>
  <c r="CK46" i="2"/>
  <c r="BY45" i="2"/>
  <c r="BV46" i="2"/>
  <c r="BV44" i="2"/>
  <c r="BW46" i="2"/>
  <c r="BY44" i="2"/>
  <c r="BX45" i="2"/>
  <c r="CK45" i="2"/>
  <c r="CI46" i="2"/>
  <c r="CB45" i="2"/>
  <c r="CE46" i="2"/>
  <c r="BX46" i="2"/>
  <c r="CB46" i="2"/>
  <c r="CJ46" i="2"/>
  <c r="CD46" i="2"/>
  <c r="CC45" i="2"/>
  <c r="BV45" i="2"/>
  <c r="CD45" i="2"/>
  <c r="CH45" i="2"/>
  <c r="BW45" i="2"/>
  <c r="CE45" i="2"/>
  <c r="CI45" i="2"/>
  <c r="CJ45" i="2"/>
  <c r="CK44" i="2"/>
  <c r="CH44" i="2"/>
  <c r="BW44" i="2"/>
  <c r="CE44" i="2"/>
  <c r="CI44" i="2"/>
  <c r="CD44" i="2"/>
  <c r="BX44" i="2"/>
  <c r="CB44" i="2"/>
  <c r="CJ44" i="2"/>
  <c r="CG43" i="2"/>
  <c r="CF43" i="2"/>
  <c r="BU43" i="2"/>
  <c r="BY43" i="2" s="1"/>
  <c r="J43" i="2"/>
  <c r="A43" i="2"/>
  <c r="CK43" i="2" l="1"/>
  <c r="BW43" i="2"/>
  <c r="BX43" i="2"/>
  <c r="BV43" i="2"/>
  <c r="CH43" i="2"/>
  <c r="CI43" i="2"/>
  <c r="CJ43" i="2"/>
  <c r="CG42" i="2"/>
  <c r="CF42" i="2"/>
  <c r="BU42" i="2"/>
  <c r="BW42" i="2" s="1"/>
  <c r="J42" i="2"/>
  <c r="A42" i="2"/>
  <c r="CK42" i="2" l="1"/>
  <c r="BX42" i="2"/>
  <c r="BV42" i="2"/>
  <c r="CH42" i="2"/>
  <c r="BY42" i="2"/>
  <c r="CI42" i="2"/>
  <c r="CJ42" i="2"/>
  <c r="CG41" i="2"/>
  <c r="CF41" i="2"/>
  <c r="CA41" i="2"/>
  <c r="BZ41" i="2"/>
  <c r="BU41" i="2"/>
  <c r="BT41" i="2"/>
  <c r="J41" i="2"/>
  <c r="A41" i="2"/>
  <c r="CG40" i="2"/>
  <c r="CF40" i="2"/>
  <c r="CA40" i="2"/>
  <c r="BZ40" i="2"/>
  <c r="BU40" i="2"/>
  <c r="BT40" i="2"/>
  <c r="J40" i="2"/>
  <c r="A40" i="2"/>
  <c r="CG39" i="2"/>
  <c r="CF39" i="2"/>
  <c r="CA39" i="2"/>
  <c r="BZ39" i="2"/>
  <c r="BU39" i="2"/>
  <c r="BT39" i="2"/>
  <c r="J39" i="2"/>
  <c r="A39" i="2"/>
  <c r="CG38" i="2"/>
  <c r="CF38" i="2"/>
  <c r="CA38" i="2"/>
  <c r="BZ38" i="2"/>
  <c r="BU38" i="2"/>
  <c r="BT38" i="2"/>
  <c r="J38" i="2"/>
  <c r="A38" i="2"/>
  <c r="CG37" i="2"/>
  <c r="CF37" i="2"/>
  <c r="CA37" i="2"/>
  <c r="BZ37" i="2"/>
  <c r="BU37" i="2"/>
  <c r="BT37" i="2"/>
  <c r="J37" i="2"/>
  <c r="A37" i="2"/>
  <c r="CG36" i="2"/>
  <c r="CF36" i="2"/>
  <c r="CA36" i="2"/>
  <c r="BZ36" i="2"/>
  <c r="BU36" i="2"/>
  <c r="BT36" i="2"/>
  <c r="J36" i="2"/>
  <c r="A36" i="2"/>
  <c r="CG35" i="2"/>
  <c r="CF35" i="2"/>
  <c r="CA35" i="2"/>
  <c r="BZ35" i="2"/>
  <c r="BU35" i="2"/>
  <c r="BT35" i="2"/>
  <c r="J35" i="2"/>
  <c r="A35" i="2"/>
  <c r="CG34" i="2"/>
  <c r="CF34" i="2"/>
  <c r="CA34" i="2"/>
  <c r="BZ34" i="2"/>
  <c r="BU34" i="2"/>
  <c r="BT34" i="2"/>
  <c r="J34" i="2"/>
  <c r="A34" i="2"/>
  <c r="CG33" i="2"/>
  <c r="CF33" i="2"/>
  <c r="CA33" i="2"/>
  <c r="BZ33" i="2"/>
  <c r="BU33" i="2"/>
  <c r="BY33" i="2" s="1"/>
  <c r="J33" i="2"/>
  <c r="A33" i="2"/>
  <c r="CH36" i="2" l="1"/>
  <c r="BV33" i="2"/>
  <c r="CB34" i="2"/>
  <c r="CD39" i="2"/>
  <c r="CC41" i="2"/>
  <c r="CH33" i="2"/>
  <c r="CK34" i="2"/>
  <c r="BX35" i="2"/>
  <c r="BV36" i="2"/>
  <c r="BW39" i="2"/>
  <c r="BW40" i="2"/>
  <c r="CK40" i="2"/>
  <c r="BY41" i="2"/>
  <c r="CI41" i="2"/>
  <c r="CC35" i="2"/>
  <c r="CC36" i="2"/>
  <c r="CI39" i="2"/>
  <c r="CH41" i="2"/>
  <c r="CD34" i="2"/>
  <c r="CD33" i="2"/>
  <c r="BV34" i="2"/>
  <c r="CH35" i="2"/>
  <c r="BY37" i="2"/>
  <c r="CK37" i="2"/>
  <c r="BV38" i="2"/>
  <c r="CK38" i="2"/>
  <c r="CB40" i="2"/>
  <c r="CC34" i="2"/>
  <c r="CK33" i="2"/>
  <c r="CH34" i="2"/>
  <c r="BV35" i="2"/>
  <c r="CJ35" i="2"/>
  <c r="BY36" i="2"/>
  <c r="CC37" i="2"/>
  <c r="BY39" i="2"/>
  <c r="CC39" i="2"/>
  <c r="CE33" i="2"/>
  <c r="CE34" i="2"/>
  <c r="BY34" i="2"/>
  <c r="CB35" i="2"/>
  <c r="CK36" i="2"/>
  <c r="CC38" i="2"/>
  <c r="CH38" i="2"/>
  <c r="CK39" i="2"/>
  <c r="CC40" i="2"/>
  <c r="BV41" i="2"/>
  <c r="CK41" i="2"/>
  <c r="CB33" i="2"/>
  <c r="BY38" i="2"/>
  <c r="BY40" i="2"/>
  <c r="BW41" i="2"/>
  <c r="CC33" i="2"/>
  <c r="BX41" i="2"/>
  <c r="CB41" i="2"/>
  <c r="CJ41" i="2"/>
  <c r="CD41" i="2"/>
  <c r="CE41" i="2"/>
  <c r="BV40" i="2"/>
  <c r="CD40" i="2"/>
  <c r="CH40" i="2"/>
  <c r="CE40" i="2"/>
  <c r="CI40" i="2"/>
  <c r="BX40" i="2"/>
  <c r="CJ40" i="2"/>
  <c r="BV39" i="2"/>
  <c r="CH39" i="2"/>
  <c r="BX39" i="2"/>
  <c r="CB39" i="2"/>
  <c r="CJ39" i="2"/>
  <c r="CE39" i="2"/>
  <c r="BW38" i="2"/>
  <c r="CE38" i="2"/>
  <c r="CI38" i="2"/>
  <c r="BX38" i="2"/>
  <c r="CB38" i="2"/>
  <c r="CJ38" i="2"/>
  <c r="CD38" i="2"/>
  <c r="BV37" i="2"/>
  <c r="CD37" i="2"/>
  <c r="CH37" i="2"/>
  <c r="BW37" i="2"/>
  <c r="CE37" i="2"/>
  <c r="CI37" i="2"/>
  <c r="BX37" i="2"/>
  <c r="CB37" i="2"/>
  <c r="CJ37" i="2"/>
  <c r="BW36" i="2"/>
  <c r="CE36" i="2"/>
  <c r="CI36" i="2"/>
  <c r="BX36" i="2"/>
  <c r="CB36" i="2"/>
  <c r="CJ36" i="2"/>
  <c r="CD36" i="2"/>
  <c r="CK35" i="2"/>
  <c r="CD35" i="2"/>
  <c r="BW35" i="2"/>
  <c r="CE35" i="2"/>
  <c r="CI35" i="2"/>
  <c r="BY35" i="2"/>
  <c r="BW34" i="2"/>
  <c r="CI34" i="2"/>
  <c r="BX34" i="2"/>
  <c r="CJ34" i="2"/>
  <c r="BW33" i="2"/>
  <c r="CI33" i="2"/>
  <c r="BX33" i="2"/>
  <c r="CJ33" i="2"/>
</calcChain>
</file>

<file path=xl/sharedStrings.xml><?xml version="1.0" encoding="utf-8"?>
<sst xmlns="http://schemas.openxmlformats.org/spreadsheetml/2006/main" count="5363" uniqueCount="730">
  <si>
    <t>No.</t>
  </si>
  <si>
    <t>Standard</t>
  </si>
  <si>
    <t>Combinasi Compound</t>
  </si>
  <si>
    <t>TSB5501G-1E</t>
  </si>
  <si>
    <t>E1690</t>
  </si>
  <si>
    <t>-</t>
  </si>
  <si>
    <t>TSM1656G-2</t>
  </si>
  <si>
    <t>PE1755</t>
  </si>
  <si>
    <t>TSM1652G-6</t>
  </si>
  <si>
    <t>N1774</t>
  </si>
  <si>
    <t>H1607</t>
  </si>
  <si>
    <t>C1653</t>
  </si>
  <si>
    <t>TSM1652G-6A</t>
  </si>
  <si>
    <t>N1752</t>
  </si>
  <si>
    <t>C1651</t>
  </si>
  <si>
    <t>C1654</t>
  </si>
  <si>
    <t>TSM1652G-7</t>
  </si>
  <si>
    <t>K1652</t>
  </si>
  <si>
    <t>K1653</t>
  </si>
  <si>
    <t>TSM1651G-2</t>
  </si>
  <si>
    <t>N1715</t>
  </si>
  <si>
    <t>H1603</t>
  </si>
  <si>
    <t>TSM1644G-7</t>
  </si>
  <si>
    <t>N1791</t>
  </si>
  <si>
    <t>N1780</t>
  </si>
  <si>
    <t>K1638</t>
  </si>
  <si>
    <t>TSM1671G-1A</t>
  </si>
  <si>
    <t>N1663</t>
  </si>
  <si>
    <t>TSM1649G-1</t>
  </si>
  <si>
    <t>K1654</t>
  </si>
  <si>
    <t>TSM1644G-5</t>
  </si>
  <si>
    <t>F1735</t>
  </si>
  <si>
    <t>N1760</t>
  </si>
  <si>
    <t>K1708</t>
  </si>
  <si>
    <t>TSM1670G-1A</t>
  </si>
  <si>
    <t>No</t>
  </si>
  <si>
    <t>Formulasi</t>
  </si>
  <si>
    <t>Machine</t>
  </si>
  <si>
    <t>No. Document</t>
  </si>
  <si>
    <t>(Ømm)</t>
  </si>
  <si>
    <t>#Outer</t>
  </si>
  <si>
    <t>(rpm)</t>
  </si>
  <si>
    <t>(mpa)</t>
  </si>
  <si>
    <t>Use limits of the material</t>
  </si>
  <si>
    <t>#Inner</t>
  </si>
  <si>
    <t>(mm)</t>
  </si>
  <si>
    <t>#material 1</t>
  </si>
  <si>
    <t>#material 2</t>
  </si>
  <si>
    <t>#material</t>
  </si>
  <si>
    <t>± Inner</t>
  </si>
  <si>
    <t>± Outer</t>
  </si>
  <si>
    <t>Dimensi</t>
  </si>
  <si>
    <t>Material</t>
  </si>
  <si>
    <t>#cover</t>
  </si>
  <si>
    <t>Nipple</t>
  </si>
  <si>
    <t>Mesh screen</t>
  </si>
  <si>
    <t>Text marking mt'l</t>
  </si>
  <si>
    <t>Customer</t>
  </si>
  <si>
    <t>Hose Type</t>
  </si>
  <si>
    <t>Screw Speed</t>
  </si>
  <si>
    <t>TSM</t>
  </si>
  <si>
    <t>VI-SOP-PROD-###</t>
  </si>
  <si>
    <t>(Ømm)-(Ømm)</t>
  </si>
  <si>
    <t>Inner</t>
  </si>
  <si>
    <t>Outer</t>
  </si>
  <si>
    <t>compound</t>
  </si>
  <si>
    <t>Head Temp.</t>
  </si>
  <si>
    <t>Cylinder 1</t>
  </si>
  <si>
    <t>Cylinder 2</t>
  </si>
  <si>
    <t>Screw Temp.</t>
  </si>
  <si>
    <t>Pressure</t>
  </si>
  <si>
    <t>Marking Sort</t>
  </si>
  <si>
    <t>Am meter</t>
  </si>
  <si>
    <t>A</t>
  </si>
  <si>
    <t>(m/min)</t>
  </si>
  <si>
    <t>70±5</t>
  </si>
  <si>
    <t>60±5</t>
  </si>
  <si>
    <t>PT. TMMIN</t>
  </si>
  <si>
    <t>7.3±0.1</t>
  </si>
  <si>
    <t>80±5</t>
  </si>
  <si>
    <t>Putih</t>
  </si>
  <si>
    <t>3.8±0.1</t>
  </si>
  <si>
    <t>ID</t>
  </si>
  <si>
    <t>0.20±0.02</t>
  </si>
  <si>
    <t>VI-SOP-PROD-###-HOSE-F1</t>
  </si>
  <si>
    <t>VI-SOP-PROD-###-HOSE-F2</t>
  </si>
  <si>
    <t>Middle</t>
  </si>
  <si>
    <t>Tube</t>
  </si>
  <si>
    <t>Cover</t>
  </si>
  <si>
    <t>Spacer</t>
  </si>
  <si>
    <t>Yarn</t>
  </si>
  <si>
    <t>Tension Yarn</t>
  </si>
  <si>
    <t>A distance</t>
  </si>
  <si>
    <t>105±45 g</t>
  </si>
  <si>
    <t>95±45 g</t>
  </si>
  <si>
    <t>dim.(mm)</t>
  </si>
  <si>
    <t>Screen</t>
  </si>
  <si>
    <t>#10×#40</t>
  </si>
  <si>
    <t>Cylinder 3</t>
  </si>
  <si>
    <t>Feed Roll Ratio (%)</t>
  </si>
  <si>
    <t>Preset Value</t>
  </si>
  <si>
    <t>Control Value</t>
  </si>
  <si>
    <t>Spiral Pitch</t>
  </si>
  <si>
    <t>Setting</t>
  </si>
  <si>
    <t>Display</t>
  </si>
  <si>
    <t>Hose Speed</t>
  </si>
  <si>
    <t>(m/min.)</t>
  </si>
  <si>
    <t>Unsmooth Surface</t>
  </si>
  <si>
    <t>Max. 15</t>
  </si>
  <si>
    <t>100%</t>
  </si>
  <si>
    <t>Roll Marking</t>
  </si>
  <si>
    <t>14 hari dari proses mixing</t>
  </si>
  <si>
    <t>50±5</t>
  </si>
  <si>
    <t>Spiral Speed</t>
  </si>
  <si>
    <t>4.3±0.1</t>
  </si>
  <si>
    <t>Conveyor
Ratio</t>
  </si>
  <si>
    <t>No.
Rev.</t>
  </si>
  <si>
    <t>Revision
Date</t>
  </si>
  <si>
    <r>
      <t>(</t>
    </r>
    <r>
      <rPr>
        <sz val="28"/>
        <color rgb="FFFFFF00"/>
        <rFont val="Arial"/>
        <family val="2"/>
      </rPr>
      <t>◦</t>
    </r>
    <r>
      <rPr>
        <sz val="10"/>
        <color rgb="FFFFFF00"/>
        <rFont val="Arial"/>
        <family val="2"/>
      </rPr>
      <t>C)</t>
    </r>
  </si>
  <si>
    <t>N-1708</t>
  </si>
  <si>
    <t>K-1655</t>
  </si>
  <si>
    <t>TSE7151G-2</t>
  </si>
  <si>
    <t>ISA-A-021Y</t>
  </si>
  <si>
    <t>F-1758A</t>
  </si>
  <si>
    <t>K-1787</t>
  </si>
  <si>
    <t>7.4±0.1</t>
  </si>
  <si>
    <t>12±1</t>
  </si>
  <si>
    <t>09-04-18</t>
  </si>
  <si>
    <t>Marking
Colour</t>
  </si>
  <si>
    <t>Chiller
water temp.</t>
  </si>
  <si>
    <t>Caterpillar
gap</t>
  </si>
  <si>
    <t>Take Up 
Conveyor Speed</t>
  </si>
  <si>
    <t>10±1</t>
  </si>
  <si>
    <t>CHS 2 Layer</t>
  </si>
  <si>
    <t>#tube</t>
  </si>
  <si>
    <t>Pitch Yarn</t>
  </si>
  <si>
    <t>VI-SOP-PROD-133</t>
  </si>
  <si>
    <t>VI-SOP-PROD-133-HOSE-F1</t>
  </si>
  <si>
    <t>VI-SOP-PROD-133-HOSE-F2</t>
  </si>
  <si>
    <t>29-04-17</t>
  </si>
  <si>
    <t>Hose, Radiator</t>
  </si>
  <si>
    <t>Ø 37 mm × 47 mm</t>
  </si>
  <si>
    <t>E-1690</t>
  </si>
  <si>
    <t>PA66 1400//2</t>
  </si>
  <si>
    <t>73.6±0.1</t>
  </si>
  <si>
    <t>30.8±0.1</t>
  </si>
  <si>
    <t>35±0.1</t>
  </si>
  <si>
    <t>37.4±0.1</t>
  </si>
  <si>
    <t>39.6±0.1</t>
  </si>
  <si>
    <t>0.9±0.1</t>
  </si>
  <si>
    <t>14.9±0.5</t>
  </si>
  <si>
    <t>29.1±2.5</t>
  </si>
  <si>
    <t>107±10</t>
  </si>
  <si>
    <t>64±10</t>
  </si>
  <si>
    <t>18±5</t>
  </si>
  <si>
    <t>28±8</t>
  </si>
  <si>
    <t>50±1</t>
  </si>
  <si>
    <t>40±1</t>
  </si>
  <si>
    <t>46±0.2</t>
  </si>
  <si>
    <t>46±0.05</t>
  </si>
  <si>
    <t>Current
Value</t>
  </si>
  <si>
    <t>52±15</t>
  </si>
  <si>
    <t>IP WATER &gt; EPDM &lt; DATE</t>
  </si>
  <si>
    <t>45±1</t>
  </si>
  <si>
    <t>Dancer Position</t>
  </si>
  <si>
    <t>46±1</t>
  </si>
  <si>
    <t>3.85±0.1</t>
  </si>
  <si>
    <t>3.86±0.1</t>
  </si>
  <si>
    <t>2.2±0.1</t>
  </si>
  <si>
    <t>5.2±0.1</t>
  </si>
  <si>
    <t>VI-SOP-PROD-132</t>
  </si>
  <si>
    <t>VI-SOP-PROD-132-HOSE-F1</t>
  </si>
  <si>
    <t>VI-SOP-PROD-132-HOSE-F2</t>
  </si>
  <si>
    <t>Ø 33 mm × 42 mm</t>
  </si>
  <si>
    <t>72.2±0.1</t>
  </si>
  <si>
    <t>27.5±0.1</t>
  </si>
  <si>
    <t>30.9±0.1</t>
  </si>
  <si>
    <t>33.3±0.1</t>
  </si>
  <si>
    <t>35.4±0.1</t>
  </si>
  <si>
    <t>10.5±0.5</t>
  </si>
  <si>
    <t>17.9±2.5</t>
  </si>
  <si>
    <t>76±10</t>
  </si>
  <si>
    <t>40.5±0.2</t>
  </si>
  <si>
    <t>40.5±0.05</t>
  </si>
  <si>
    <t>53±15</t>
  </si>
  <si>
    <t>3.7±0.1</t>
  </si>
  <si>
    <t>3.91±0.1</t>
  </si>
  <si>
    <t>2.0±0.1</t>
  </si>
  <si>
    <t>VI-SOP-PROD-135</t>
  </si>
  <si>
    <t>VI-SOP-PROD-135-HOSE-F1</t>
  </si>
  <si>
    <t>VI-SOP-PROD-135-HOSE-F2</t>
  </si>
  <si>
    <t>PT. ADM</t>
  </si>
  <si>
    <t>Ø 31 mm × 39 mm</t>
  </si>
  <si>
    <t>TSB5501G-1F</t>
  </si>
  <si>
    <t>E-1790</t>
  </si>
  <si>
    <t>72.9±0.1</t>
  </si>
  <si>
    <t>25±0.1</t>
  </si>
  <si>
    <t>27.8±0.1</t>
  </si>
  <si>
    <t>30.2±0.1</t>
  </si>
  <si>
    <t>32.2±0.1</t>
  </si>
  <si>
    <t>10.0±0.5</t>
  </si>
  <si>
    <t>14.0±2.5</t>
  </si>
  <si>
    <t>70±10</t>
  </si>
  <si>
    <t>21.6±5</t>
  </si>
  <si>
    <t>33±8</t>
  </si>
  <si>
    <t>55±1</t>
  </si>
  <si>
    <t>57.9±15</t>
  </si>
  <si>
    <t>4.2±0.1</t>
  </si>
  <si>
    <t>37±1</t>
  </si>
  <si>
    <t>4.24±0.1</t>
  </si>
  <si>
    <t>Cool Conveyor Speed</t>
  </si>
  <si>
    <t>29.6±0.1</t>
  </si>
  <si>
    <t>1.9-0/+0.1</t>
  </si>
  <si>
    <t>37±0.1</t>
  </si>
  <si>
    <t>VI-SOP-PROD-134</t>
  </si>
  <si>
    <t>VI-SOP-PROD-134-HOSE-F1</t>
  </si>
  <si>
    <t>VI-SOP-PROD-134-HOSE-F2</t>
  </si>
  <si>
    <t>Ø 30 mm × 38 mm</t>
  </si>
  <si>
    <t>77±0.1</t>
  </si>
  <si>
    <t>04-11-16</t>
  </si>
  <si>
    <t>25.2±0.1</t>
  </si>
  <si>
    <t>33.1±0.1</t>
  </si>
  <si>
    <t>7.6±0.1</t>
  </si>
  <si>
    <t>17.2±2.5</t>
  </si>
  <si>
    <t>106±5</t>
  </si>
  <si>
    <t>69.1±15</t>
  </si>
  <si>
    <t>5.0±0.1</t>
  </si>
  <si>
    <t>36±1</t>
  </si>
  <si>
    <t>5.05±0.1</t>
  </si>
  <si>
    <t>1.7-0/+0.1</t>
  </si>
  <si>
    <t>VI-SOP-PROD-136</t>
  </si>
  <si>
    <t>VI-SOP-PROD-136-HOSE-F1</t>
  </si>
  <si>
    <t>VI-SOP-PROD-136-HOSE-F2</t>
  </si>
  <si>
    <t>Ø 24 mm × 31 mm</t>
  </si>
  <si>
    <t>70.9±0.1</t>
  </si>
  <si>
    <t>19.9±0.1</t>
  </si>
  <si>
    <t>22.3±0.1</t>
  </si>
  <si>
    <t>24.7±0.1</t>
  </si>
  <si>
    <t>26.5±0.1</t>
  </si>
  <si>
    <t>7.0±0.5</t>
  </si>
  <si>
    <t>10.0±2.5</t>
  </si>
  <si>
    <t>106±10</t>
  </si>
  <si>
    <t>23±5</t>
  </si>
  <si>
    <t>37±8</t>
  </si>
  <si>
    <t>55.5±15</t>
  </si>
  <si>
    <t>3.9±0.1</t>
  </si>
  <si>
    <t>31±1</t>
  </si>
  <si>
    <t>4.03±0.1</t>
  </si>
  <si>
    <t>4.05±0.1</t>
  </si>
  <si>
    <t>1.8-0/+0.1</t>
  </si>
  <si>
    <t>3.5±0.1</t>
  </si>
  <si>
    <t>30.4±0.1</t>
  </si>
  <si>
    <t>VI-SOP-PROD-129</t>
  </si>
  <si>
    <t>VI-SOP-PROD-129-HOSE-F1</t>
  </si>
  <si>
    <t>VI-SOP-PROD-129-HOSE-F2</t>
  </si>
  <si>
    <t>Hose, Water By-Pass</t>
  </si>
  <si>
    <t>Ø 21 mm × 29 mm</t>
  </si>
  <si>
    <t>PA66 940/2</t>
  </si>
  <si>
    <t>50.0±0.1</t>
  </si>
  <si>
    <t>17.4±0.1</t>
  </si>
  <si>
    <t>20.4±0.1</t>
  </si>
  <si>
    <t>22.8±0.1</t>
  </si>
  <si>
    <t>24.8±0.1</t>
  </si>
  <si>
    <t>14.2±0.5</t>
  </si>
  <si>
    <t>28.8±0.2</t>
  </si>
  <si>
    <t>28.8±0.05</t>
  </si>
  <si>
    <t>129±15</t>
  </si>
  <si>
    <t>6.8±0.1</t>
  </si>
  <si>
    <t>28±1</t>
  </si>
  <si>
    <t>6.85±0.1</t>
  </si>
  <si>
    <t>4.0±0.1</t>
  </si>
  <si>
    <t>VI-SOP-PROD-385</t>
  </si>
  <si>
    <t>VI-SOP-PROD-385-HOSE-F1</t>
  </si>
  <si>
    <t>VI-SOP-PROD-385-HOSE-F2</t>
  </si>
  <si>
    <t>Ø 16 mm × 24 mm</t>
  </si>
  <si>
    <t>50.6±0.1</t>
  </si>
  <si>
    <t>12.7±0.1</t>
  </si>
  <si>
    <t>15.5±0.1</t>
  </si>
  <si>
    <t>17.7±0.1</t>
  </si>
  <si>
    <t>19.7±0.1</t>
  </si>
  <si>
    <t>5.7±0.5</t>
  </si>
  <si>
    <t>11.7±2.5</t>
  </si>
  <si>
    <t>103±10</t>
  </si>
  <si>
    <t>19.5±5</t>
  </si>
  <si>
    <t>27.8±8</t>
  </si>
  <si>
    <t>22.9±0.2</t>
  </si>
  <si>
    <t>22.9±0.05</t>
  </si>
  <si>
    <t>127.9±15</t>
  </si>
  <si>
    <t>6.3±0.1</t>
  </si>
  <si>
    <t>22±1</t>
  </si>
  <si>
    <t>6.41±0.1</t>
  </si>
  <si>
    <t>15.7±0.1</t>
  </si>
  <si>
    <t>1.8±0.1</t>
  </si>
  <si>
    <t>VI-SOP-PROD-131</t>
  </si>
  <si>
    <t>VI-SOP-PROD-131-HOSE-F1</t>
  </si>
  <si>
    <t>VI-SOP-PROD-131-HOSE-F2</t>
  </si>
  <si>
    <t>17.5±0.1</t>
  </si>
  <si>
    <t>22±5</t>
  </si>
  <si>
    <t>35±8</t>
  </si>
  <si>
    <t>119±15</t>
  </si>
  <si>
    <t>6.0±0.1</t>
  </si>
  <si>
    <t>VI-SOP-PROD-137</t>
  </si>
  <si>
    <t>VI-SOP-PROD-137-HOSE-F1</t>
  </si>
  <si>
    <t>VI-SOP-PROD-137-HOSE-F2</t>
  </si>
  <si>
    <t>PT. ADM &amp; PT. TMMIN</t>
  </si>
  <si>
    <t>Ø 13 mm × 21 mm</t>
  </si>
  <si>
    <t>45.6±0.1</t>
  </si>
  <si>
    <t>10.5±0.1</t>
  </si>
  <si>
    <t>13.0±0.1</t>
  </si>
  <si>
    <t>4.0±0.5</t>
  </si>
  <si>
    <t>8.0±2.5</t>
  </si>
  <si>
    <t>24±5</t>
  </si>
  <si>
    <t>34.6±8</t>
  </si>
  <si>
    <t>20.4±0.2</t>
  </si>
  <si>
    <t>20.4±0.05</t>
  </si>
  <si>
    <t>118.9±15</t>
  </si>
  <si>
    <t>19±1</t>
  </si>
  <si>
    <t>5.36±0.1</t>
  </si>
  <si>
    <t>1.9±0.1</t>
  </si>
  <si>
    <t>6.0±0.5</t>
  </si>
  <si>
    <t>22.4±5</t>
  </si>
  <si>
    <t>VI-SOP-PROD-130</t>
  </si>
  <si>
    <t>VI-SOP-PROD-130-HOSE-F1</t>
  </si>
  <si>
    <t>VI-SOP-PROD-130-HOSE-F2</t>
  </si>
  <si>
    <t>Ø 11 mm × 18 mm</t>
  </si>
  <si>
    <t>PA66 1400/1</t>
  </si>
  <si>
    <t>33.5±0.1</t>
  </si>
  <si>
    <t>8.8±0.1</t>
  </si>
  <si>
    <t>11.5±0.1</t>
  </si>
  <si>
    <t>13.7±0.1</t>
  </si>
  <si>
    <t>15.1±0.1</t>
  </si>
  <si>
    <t>4.5±0.5</t>
  </si>
  <si>
    <t>105±10</t>
  </si>
  <si>
    <t>20.3±5</t>
  </si>
  <si>
    <t>25.8±8</t>
  </si>
  <si>
    <t>14±1</t>
  </si>
  <si>
    <t>17.5±0.2</t>
  </si>
  <si>
    <t>17.5±0.05</t>
  </si>
  <si>
    <t>203.7±15</t>
  </si>
  <si>
    <t>6.4±0.1</t>
  </si>
  <si>
    <t>48±1</t>
  </si>
  <si>
    <t>16±1</t>
  </si>
  <si>
    <t>6.7±0.1</t>
  </si>
  <si>
    <t>3.4±0.1</t>
  </si>
  <si>
    <t>Ø 7.5 mm × 14.5 mm</t>
  </si>
  <si>
    <t>31±2</t>
  </si>
  <si>
    <t>8.5±0.1</t>
  </si>
  <si>
    <t>11.1±0.1</t>
  </si>
  <si>
    <t>12.2±0.1</t>
  </si>
  <si>
    <t>7.9±0.1</t>
  </si>
  <si>
    <t>0.4±0.1</t>
  </si>
  <si>
    <t>3.5±0.5</t>
  </si>
  <si>
    <t>6.5±2.5</t>
  </si>
  <si>
    <t>14.2±0.2</t>
  </si>
  <si>
    <t>14.2±0.05</t>
  </si>
  <si>
    <t>230±15</t>
  </si>
  <si>
    <t>7.8±0.1</t>
  </si>
  <si>
    <t>13±1</t>
  </si>
  <si>
    <t>8.0±0.1</t>
  </si>
  <si>
    <t>7.5±0.1</t>
  </si>
  <si>
    <t>1.6±0.1</t>
  </si>
  <si>
    <t>3.3±0.1</t>
  </si>
  <si>
    <t>14.1±0.1</t>
  </si>
  <si>
    <t>55±5</t>
  </si>
  <si>
    <t>60±15</t>
  </si>
  <si>
    <t>5.4±0.3</t>
  </si>
  <si>
    <t>5.2±0.3</t>
  </si>
  <si>
    <t>25.8±0.1</t>
  </si>
  <si>
    <t>28.2±0.1</t>
  </si>
  <si>
    <t>31±0.1</t>
  </si>
  <si>
    <t>7.7±0.1</t>
  </si>
  <si>
    <t>75±5</t>
  </si>
  <si>
    <t>65±5</t>
  </si>
  <si>
    <t>4.5±0.3</t>
  </si>
  <si>
    <t>4.8±0.3</t>
  </si>
  <si>
    <t>27.4±0.1</t>
  </si>
  <si>
    <t>10±2.5</t>
  </si>
  <si>
    <t>5.0±0.5</t>
  </si>
  <si>
    <t>5.05±0.5</t>
  </si>
  <si>
    <t>17.3±0.1</t>
  </si>
  <si>
    <t>20.2±0.1</t>
  </si>
  <si>
    <t>160±15</t>
  </si>
  <si>
    <t>8.7±0.1</t>
  </si>
  <si>
    <t>8.6±0.1</t>
  </si>
  <si>
    <t>15.4±0.1</t>
  </si>
  <si>
    <t>17.9±0.1</t>
  </si>
  <si>
    <t>28±5</t>
  </si>
  <si>
    <t>6.2±0.5</t>
  </si>
  <si>
    <t>5.5±0.5</t>
  </si>
  <si>
    <t>12-05-18</t>
  </si>
  <si>
    <t>13.9±0.1</t>
  </si>
  <si>
    <t>178.4±15</t>
  </si>
  <si>
    <t>6.4±0.2</t>
  </si>
  <si>
    <t>6.2±0.2</t>
  </si>
  <si>
    <t>11.4±0.1</t>
  </si>
  <si>
    <t>225±15</t>
  </si>
  <si>
    <t>7.2±0.1</t>
  </si>
  <si>
    <t>7.0±0.1</t>
  </si>
  <si>
    <t>4.9±0.1</t>
  </si>
  <si>
    <t>47±0.1</t>
  </si>
  <si>
    <t>42±0.1</t>
  </si>
  <si>
    <t>29.6±0.2</t>
  </si>
  <si>
    <t>37.2±0.1</t>
  </si>
  <si>
    <t>23.9±0.2</t>
  </si>
  <si>
    <t>21.0±0.2</t>
  </si>
  <si>
    <t>15.9±0.1</t>
  </si>
  <si>
    <t>23.5±0.1</t>
  </si>
  <si>
    <t>12.9±0.1</t>
  </si>
  <si>
    <t>20.7±0.1</t>
  </si>
  <si>
    <t>17.8±0.1</t>
  </si>
  <si>
    <t>Toleransi</t>
  </si>
  <si>
    <t>LCL</t>
  </si>
  <si>
    <t>UCL</t>
  </si>
  <si>
    <t>Inner Thickness</t>
  </si>
  <si>
    <t>Min</t>
  </si>
  <si>
    <t>Max</t>
  </si>
  <si>
    <t>Total
Thickness</t>
  </si>
  <si>
    <t>37.0±0.2</t>
  </si>
  <si>
    <t>33.0±0.2</t>
  </si>
  <si>
    <t>11.0±0.1</t>
  </si>
  <si>
    <t>Tol.</t>
  </si>
  <si>
    <t>Tebal 
Total</t>
  </si>
  <si>
    <t>Tebal 
Inner</t>
  </si>
  <si>
    <t>Selisih 
tebal</t>
  </si>
  <si>
    <t>Roll Emboss</t>
  </si>
  <si>
    <t>04-09-18</t>
  </si>
  <si>
    <t>VIN WATER &gt; EPDM &lt; DATE</t>
  </si>
  <si>
    <t>VI-SOP-PROD-461</t>
  </si>
  <si>
    <t>VI-SOP-PROD-461-HOSE-F1</t>
  </si>
  <si>
    <t>VI-SOP-PROD-461-HOSE-F2</t>
  </si>
  <si>
    <t>VI-SOP-PROD-460</t>
  </si>
  <si>
    <t>VI-SOP-PROD-460-HOSE-F1</t>
  </si>
  <si>
    <t>VI-SOP-PROD-460-HOSE-F2</t>
  </si>
  <si>
    <t>VI-SOP-PROD-459</t>
  </si>
  <si>
    <t>VI-SOP-PROD-459-HOSE-F1</t>
  </si>
  <si>
    <t>VI-SOP-PROD-459-HOSE-F2</t>
  </si>
  <si>
    <t>30±0.1</t>
  </si>
  <si>
    <t>38±0.1</t>
  </si>
  <si>
    <t>31±0.2</t>
  </si>
  <si>
    <t>39±0.1</t>
  </si>
  <si>
    <t>73±5</t>
  </si>
  <si>
    <t>77±5</t>
  </si>
  <si>
    <t>51±5</t>
  </si>
  <si>
    <t>45±5</t>
  </si>
  <si>
    <t>33±5</t>
  </si>
  <si>
    <t>31±5</t>
  </si>
  <si>
    <t>53±5</t>
  </si>
  <si>
    <t>35±5</t>
  </si>
  <si>
    <t>30±0.2</t>
  </si>
  <si>
    <t>27-11-18</t>
  </si>
  <si>
    <t>Hose, Fuel Tank</t>
  </si>
  <si>
    <t>Ø 34 mm × 42 mm</t>
  </si>
  <si>
    <t>DTSE7351G-1</t>
  </si>
  <si>
    <t>N-1733</t>
  </si>
  <si>
    <t>30.3±0.1</t>
  </si>
  <si>
    <t>14±0.5</t>
  </si>
  <si>
    <t>111±10</t>
  </si>
  <si>
    <t>16±5</t>
  </si>
  <si>
    <t>39.2±0.2</t>
  </si>
  <si>
    <t>4.5±0.1</t>
  </si>
  <si>
    <t>VIN &gt; NBR-PVC &lt; DATE</t>
  </si>
  <si>
    <t>41±1</t>
  </si>
  <si>
    <t>3.0±0.1</t>
  </si>
  <si>
    <t>98%</t>
  </si>
  <si>
    <t>32.3±0.1</t>
  </si>
  <si>
    <t>41.0±0.1</t>
  </si>
  <si>
    <t>PT. AHI</t>
  </si>
  <si>
    <t>21-01-19</t>
  </si>
  <si>
    <t>Ø 34 mm × 44 mm</t>
  </si>
  <si>
    <t>N-1728</t>
  </si>
  <si>
    <t>TSM1647G-1C</t>
  </si>
  <si>
    <t>17.8±0.5</t>
  </si>
  <si>
    <t>110±10</t>
  </si>
  <si>
    <t>15.8±5</t>
  </si>
  <si>
    <t>43±1</t>
  </si>
  <si>
    <t>42±0.2</t>
  </si>
  <si>
    <t>33.8±0.1</t>
  </si>
  <si>
    <t>32.5±0.1</t>
  </si>
  <si>
    <t>41.5±0.1</t>
  </si>
  <si>
    <t>22-05-19</t>
  </si>
  <si>
    <t>4.9±0.2</t>
  </si>
  <si>
    <t>2.0±0.2</t>
  </si>
  <si>
    <t>4.3±0.2</t>
  </si>
  <si>
    <t>1.9-0/+0.2</t>
  </si>
  <si>
    <t>3.8±0.2</t>
  </si>
  <si>
    <t>03-07-19</t>
  </si>
  <si>
    <t>32.4±0.2</t>
  </si>
  <si>
    <t>39.3±0.2</t>
  </si>
  <si>
    <t>3.7±0.2</t>
  </si>
  <si>
    <t>16-07-19</t>
  </si>
  <si>
    <t>7.6±0.3</t>
  </si>
  <si>
    <t>235±15</t>
  </si>
  <si>
    <t>100±10</t>
  </si>
  <si>
    <t>7.7±0.3</t>
  </si>
  <si>
    <t>190±15</t>
  </si>
  <si>
    <t>6.7±0.3</t>
  </si>
  <si>
    <t>9.0±0.3</t>
  </si>
  <si>
    <t>9.1±0.3</t>
  </si>
  <si>
    <t>5.1±0.3</t>
  </si>
  <si>
    <t>58±15</t>
  </si>
  <si>
    <t>5.0±0.3</t>
  </si>
  <si>
    <t>CHS 2 Layer Parameter Setting</t>
  </si>
  <si>
    <t>62±15</t>
  </si>
  <si>
    <t>10-10-24</t>
  </si>
  <si>
    <t>Hose, Ventilation</t>
  </si>
  <si>
    <t>DTSM1662G-2A</t>
  </si>
  <si>
    <t>P-1765</t>
  </si>
  <si>
    <t>35±2</t>
  </si>
  <si>
    <t>AS18900</t>
  </si>
  <si>
    <t>14.2±0.1</t>
  </si>
  <si>
    <t>13±0.1</t>
  </si>
  <si>
    <t>Ø100</t>
  </si>
  <si>
    <t>90±5</t>
  </si>
  <si>
    <t>4±2.5</t>
  </si>
  <si>
    <t>8.2±2.5</t>
  </si>
  <si>
    <t>Max 120</t>
  </si>
  <si>
    <t>Max 50</t>
  </si>
  <si>
    <t>18.5±0.2</t>
  </si>
  <si>
    <t>98±2</t>
  </si>
  <si>
    <t>3.4±2</t>
  </si>
  <si>
    <t>18.2±1</t>
  </si>
  <si>
    <t>11.3±0.1</t>
  </si>
  <si>
    <t>18±0.2</t>
  </si>
  <si>
    <t>3.6±0.2</t>
  </si>
  <si>
    <t>1.4±0.2</t>
  </si>
  <si>
    <t>17-10-24</t>
  </si>
  <si>
    <t>DTSM1677G-1F</t>
  </si>
  <si>
    <t>VI-SOP-PROD-401-HOSE-F1</t>
  </si>
  <si>
    <t>VI-SOP-PROD-401-HOSE-F2</t>
  </si>
  <si>
    <t>VI-SOP-PROD-402-HOSE-F1</t>
  </si>
  <si>
    <t>VI-SOP-PROD-402-HOSE-F2</t>
  </si>
  <si>
    <t>SOP/PROD/HOSE/24/10/038</t>
  </si>
  <si>
    <t>SOP/PROD/HOSE/24/10/039</t>
  </si>
  <si>
    <t>SOP/PROD/HOSE/24/10/040</t>
  </si>
  <si>
    <t>SOP/PROD/HOSE/24/10/041</t>
  </si>
  <si>
    <t>SOP/PROD/HOSE/24/10/042</t>
  </si>
  <si>
    <t>SOP/PROD/HOSE/24/10/043</t>
  </si>
  <si>
    <t>SOP/PROD/HOSE/24/10/044</t>
  </si>
  <si>
    <t>SOP/PROD/HOSE/24/10/045</t>
  </si>
  <si>
    <t>SOP/PROD/HOSE/24/10/046</t>
  </si>
  <si>
    <t>SOP/PROD/HOSE/24/10/047</t>
  </si>
  <si>
    <t>SOP/PROD/HOSE/24/10/048</t>
  </si>
  <si>
    <t>SOP/PROD/HOSE/24/10/049</t>
  </si>
  <si>
    <t>SOP/PROD/HOSE/24/10/050</t>
  </si>
  <si>
    <t>SOP/PROD/HOSE/24/10/051</t>
  </si>
  <si>
    <t>SOP/PROD/HOSE/24/10/052</t>
  </si>
  <si>
    <t>SOP/PROD/HOSE/24/10/053</t>
  </si>
  <si>
    <t>SOP/PROD/HOSE/24/10/054</t>
  </si>
  <si>
    <t>SOP/PROD/HOSE/24/10/055</t>
  </si>
  <si>
    <t>Item</t>
  </si>
  <si>
    <t>SOP/PROD</t>
  </si>
  <si>
    <t>VI-SOP-PROD</t>
  </si>
  <si>
    <t>VI-SOP-PROD-</t>
  </si>
  <si>
    <t>23-01-25</t>
  </si>
  <si>
    <t>Ø 26.5 mm × 34.5 mm</t>
  </si>
  <si>
    <t>24.1±0.1</t>
  </si>
  <si>
    <t>27.7±0.1</t>
  </si>
  <si>
    <t>31.9±0.1</t>
  </si>
  <si>
    <t>7.5±3</t>
  </si>
  <si>
    <t>10.5±3</t>
  </si>
  <si>
    <t>76.9±15</t>
  </si>
  <si>
    <t>5.4±2</t>
  </si>
  <si>
    <t>5.2±2</t>
  </si>
  <si>
    <t>26.5±0.2</t>
  </si>
  <si>
    <t>34.5±0.2</t>
  </si>
  <si>
    <t>1.8 ± 0.2</t>
  </si>
  <si>
    <t>SOP/ENG/25/02/12</t>
  </si>
  <si>
    <t>19-02-25</t>
  </si>
  <si>
    <t>68±5</t>
  </si>
  <si>
    <t>27.9±0.1</t>
  </si>
  <si>
    <t>14±2.5</t>
  </si>
  <si>
    <t>18±2.5</t>
  </si>
  <si>
    <t>PA66 1400/2</t>
  </si>
  <si>
    <t>37.45±0.2</t>
  </si>
  <si>
    <t>100±20</t>
  </si>
  <si>
    <t>7±2</t>
  </si>
  <si>
    <r>
      <t>100%</t>
    </r>
    <r>
      <rPr>
        <sz val="20"/>
        <color theme="0"/>
        <rFont val="Calibri"/>
        <family val="2"/>
      </rPr>
      <t>±10</t>
    </r>
  </si>
  <si>
    <t>30.1±0.2</t>
  </si>
  <si>
    <t>0.19±0.02</t>
  </si>
  <si>
    <t>TA3060</t>
  </si>
  <si>
    <t>16±2.5</t>
  </si>
  <si>
    <t>21-04-25</t>
  </si>
  <si>
    <t>30.8±0.2</t>
  </si>
  <si>
    <t>12.8±0.1</t>
  </si>
  <si>
    <t>16.3±0.1</t>
  </si>
  <si>
    <t>8.2±0.1</t>
  </si>
  <si>
    <t>6.0±2.5</t>
  </si>
  <si>
    <t>11.6±2.5</t>
  </si>
  <si>
    <t>20.7±0.2</t>
  </si>
  <si>
    <t>45±3</t>
  </si>
  <si>
    <t>170±15</t>
  </si>
  <si>
    <t>6±2.5</t>
  </si>
  <si>
    <t>7±2.5</t>
  </si>
  <si>
    <t>13.2±0.1</t>
  </si>
  <si>
    <t>3.9±0.2</t>
  </si>
  <si>
    <t>34±0.2</t>
  </si>
  <si>
    <t>250±15</t>
  </si>
  <si>
    <t>7.6±2.5</t>
  </si>
  <si>
    <t>8.3±2</t>
  </si>
  <si>
    <t>7±0.1</t>
  </si>
  <si>
    <t>11.7±0.1</t>
  </si>
  <si>
    <t>08-11-25</t>
  </si>
  <si>
    <t>180±15</t>
  </si>
  <si>
    <t>5±2</t>
  </si>
  <si>
    <t>20.75±0.2</t>
  </si>
  <si>
    <t>23.2±0.2</t>
  </si>
  <si>
    <t>6.5±2</t>
  </si>
  <si>
    <t>6.2±2</t>
  </si>
  <si>
    <t>20.5±0.1</t>
  </si>
  <si>
    <t>8±2</t>
  </si>
  <si>
    <t>12.2±2.5</t>
  </si>
  <si>
    <t>28.3±0.2</t>
  </si>
  <si>
    <t>28.3±0.05</t>
  </si>
  <si>
    <t>58±5</t>
  </si>
  <si>
    <t>15.2±2.5</t>
  </si>
  <si>
    <t>34.3±0.2</t>
  </si>
  <si>
    <t>7.1±0.1</t>
  </si>
  <si>
    <t>64.5±15</t>
  </si>
  <si>
    <t>31.2±0.1</t>
  </si>
  <si>
    <t>33.2±0.1</t>
  </si>
  <si>
    <t>20.2±2.5</t>
  </si>
  <si>
    <t>Max 51</t>
  </si>
  <si>
    <t>37.75±0.2</t>
  </si>
  <si>
    <t>87.9±15</t>
  </si>
  <si>
    <r>
      <t>1.9</t>
    </r>
    <r>
      <rPr>
        <sz val="20"/>
        <color theme="0"/>
        <rFont val="Calibri"/>
        <family val="2"/>
      </rPr>
      <t>±</t>
    </r>
    <r>
      <rPr>
        <sz val="20"/>
        <color theme="0"/>
        <rFont val="Calibri"/>
        <family val="2"/>
        <scheme val="minor"/>
      </rPr>
      <t>0.2</t>
    </r>
  </si>
  <si>
    <t>0.6±0.1</t>
  </si>
  <si>
    <t>11-11-25</t>
  </si>
  <si>
    <t>7.4±0.2</t>
  </si>
  <si>
    <t>36.0±0.1</t>
  </si>
  <si>
    <t>0.15±0.2</t>
  </si>
  <si>
    <t>13.2±2.5</t>
  </si>
  <si>
    <t>23.2±2.5</t>
  </si>
  <si>
    <t>41.4±0.2</t>
  </si>
  <si>
    <t>75±15</t>
  </si>
  <si>
    <t>5.5±2.5</t>
  </si>
  <si>
    <t>29±1</t>
  </si>
  <si>
    <t>33.2±0.2</t>
  </si>
  <si>
    <t>7.6±0.2</t>
  </si>
  <si>
    <t>2.3±0.2</t>
  </si>
  <si>
    <t>4.7±0.2</t>
  </si>
  <si>
    <t>25-11-25</t>
  </si>
  <si>
    <t>33.3±0.2</t>
  </si>
  <si>
    <t>26-11-25</t>
  </si>
  <si>
    <t>16.6±0.1</t>
  </si>
  <si>
    <t>28-11-25</t>
  </si>
  <si>
    <t>19.8±0.2</t>
  </si>
  <si>
    <t>17.3±0.2</t>
  </si>
  <si>
    <t>23.3±0.2</t>
  </si>
  <si>
    <t>24.7±0.2</t>
  </si>
  <si>
    <t>0.9±0.2</t>
  </si>
  <si>
    <t>7.3±0.3</t>
  </si>
  <si>
    <t>160±20</t>
  </si>
  <si>
    <t>8±2.5</t>
  </si>
  <si>
    <t>23±1</t>
  </si>
  <si>
    <t>4.0±0.2</t>
  </si>
  <si>
    <t>32±5</t>
  </si>
  <si>
    <t>6.0±0.2</t>
  </si>
  <si>
    <t>8.5±0.2</t>
  </si>
  <si>
    <t>12±0.2</t>
  </si>
  <si>
    <t>12.4±0.2</t>
  </si>
  <si>
    <t>7±0.3</t>
  </si>
  <si>
    <t>0.4±0.3</t>
  </si>
  <si>
    <t>14.1±0.2</t>
  </si>
  <si>
    <t>250±25</t>
  </si>
  <si>
    <t>3.2±0.2</t>
  </si>
  <si>
    <t>38±5</t>
  </si>
  <si>
    <t>8.8±0.2</t>
  </si>
  <si>
    <t>11.1±0.2</t>
  </si>
  <si>
    <t>15.1±0.2</t>
  </si>
  <si>
    <t>0.9±0.3</t>
  </si>
  <si>
    <t>4.5±2.5</t>
  </si>
  <si>
    <t>190±25</t>
  </si>
  <si>
    <t>11.0±0.2</t>
  </si>
  <si>
    <t>1.8±0.2</t>
  </si>
  <si>
    <t>3.3±0.2</t>
  </si>
  <si>
    <t>PT. IAMI</t>
  </si>
  <si>
    <t>04-12-25</t>
  </si>
  <si>
    <t>95±5</t>
  </si>
  <si>
    <t>34.4±0.2</t>
  </si>
  <si>
    <t>37.2±0.2</t>
  </si>
  <si>
    <t>39.6±0.2</t>
  </si>
  <si>
    <t>20±2.5</t>
  </si>
  <si>
    <t>21±2.5</t>
  </si>
  <si>
    <t>46.5±0.3</t>
  </si>
  <si>
    <t>73±20</t>
  </si>
  <si>
    <t>30±3</t>
  </si>
  <si>
    <t>39.0±0.1</t>
  </si>
  <si>
    <t>5±0.2</t>
  </si>
  <si>
    <t>2.5±0.5</t>
  </si>
  <si>
    <t>9.0±2.5</t>
  </si>
  <si>
    <t>21±3</t>
  </si>
  <si>
    <t xml:space="preserve"> -</t>
  </si>
  <si>
    <t>7.5±0.3</t>
  </si>
  <si>
    <t>5.7±2.5</t>
  </si>
  <si>
    <t>16.1±0.2</t>
  </si>
  <si>
    <t>23.3±0.1</t>
  </si>
  <si>
    <t>33.7±0.1</t>
  </si>
  <si>
    <t>35.9±0.1</t>
  </si>
  <si>
    <t>130±15</t>
  </si>
  <si>
    <t>05-12-25</t>
  </si>
  <si>
    <t>34.4±0.1</t>
  </si>
  <si>
    <t>39.8±0.1</t>
  </si>
  <si>
    <t>1.0±0.2</t>
  </si>
  <si>
    <t>17.5±2.5</t>
  </si>
  <si>
    <t>26.5±2.5</t>
  </si>
  <si>
    <t>46±0.3</t>
  </si>
  <si>
    <t>70±20</t>
  </si>
  <si>
    <t>5±2.5</t>
  </si>
  <si>
    <t>2.2±0.2</t>
  </si>
  <si>
    <t>4.8±0.2</t>
  </si>
  <si>
    <t>NA2900,NA1580,NA1610</t>
  </si>
  <si>
    <t>TA0570</t>
  </si>
  <si>
    <t>NA1420,NA1480</t>
  </si>
  <si>
    <t>NA3080,NA3110</t>
  </si>
  <si>
    <t>TA1780,TA2120</t>
  </si>
  <si>
    <t>NA1450,NA1860,TA1790,TA300,TA3100,TA3050,TA3060</t>
  </si>
  <si>
    <t>NA1440,NA1430</t>
  </si>
  <si>
    <t>TA1340,TA1350,TA1420,TA1450,TA2633,TA2634,TA2640,TA2650,TA2660</t>
  </si>
  <si>
    <t>PM1270,PM1230,PM1280</t>
  </si>
  <si>
    <t>TA1440,TA1470,TA1430,TA1460</t>
  </si>
  <si>
    <t>NA3340</t>
  </si>
  <si>
    <t>TA1330</t>
  </si>
  <si>
    <t>NA1460,NA1470,NA1870,NA1880,NA1900,NA1910,NA1890,NA1920,NA2090,NA2100,NA2150,NA2190,NA2200,NA2210,NA2230,NA2240,NA2250,NA2320,NA2330,NA2400,NA2410,TA2770,NA2800,NA2830,NA2920,NA2930,NA2950,NA2960,NA2970,NA3070,NA3090,NA3120,NA3150,NA3280,NA3291,NA3292,NA3300,NA3301,NA3320,NA3370,TA1040,TA1050,TA2750,TA2770,TA2830,TA2840,TA2850,TA2860,TA2870,TA2880</t>
  </si>
  <si>
    <t>TA1773,TA1774,TA1890,TA2631,TA2632,TA2670,TA2680,TA2690,TA2700,TA2711,TA2712</t>
  </si>
  <si>
    <t>TA1771,TA1772</t>
  </si>
  <si>
    <t>NA1830,NA2180,NA2630,NA2680,NA2740,NA2750,NA3000,NA3030,NA3040,TA1830</t>
  </si>
  <si>
    <t>TA1670</t>
  </si>
  <si>
    <t>NA1850</t>
  </si>
  <si>
    <t>TA1680,TA1690</t>
  </si>
  <si>
    <t>NA1840,NA2720,NA3330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</si>
</sst>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 &quot;;[Red]&quot;(&quot;0.0&quot;)&quot;"/>
    <numFmt numFmtId="165" formatCode="[$$-409]#,##0.00;[Red]&quot;-&quot;[$$-409]#,##0.00"/>
    <numFmt numFmtId="166" formatCode="0;[Red]0"/>
    <numFmt numFmtId="167" formatCode="dd/mm/yyyy;@"/>
    <numFmt numFmtId="168" formatCode="0.0"/>
  </numFmts>
  <fonts count="22">
    <font>
      <sz val="10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color indexed="8"/>
      <name val="ＭＳ Ｐゴシック"/>
      <family val="3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u/>
      <sz val="3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20"/>
      <color theme="0"/>
      <name val="Calibri"/>
      <family val="2"/>
    </font>
    <font>
      <sz val="28"/>
      <color rgb="FFFFFF00"/>
      <name val="Arial"/>
      <family val="2"/>
    </font>
    <font>
      <sz val="1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 applyBorder="0" applyProtection="0">
      <alignment vertical="center"/>
    </xf>
    <xf numFmtId="0" fontId="7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</cellStyleXfs>
  <cellXfs count="131">
    <xf numFmtId="0" fontId="0" fillId="0" borderId="0" xfId="0"/>
    <xf numFmtId="0" fontId="1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10" fillId="3" borderId="0" xfId="3" applyFont="1" applyFill="1" applyBorder="1" applyAlignment="1">
      <alignment vertical="center"/>
    </xf>
    <xf numFmtId="0" fontId="11" fillId="3" borderId="0" xfId="3" applyFont="1" applyFill="1" applyBorder="1" applyAlignment="1">
      <alignment horizontal="left" vertical="center"/>
    </xf>
    <xf numFmtId="0" fontId="12" fillId="3" borderId="0" xfId="3" applyFont="1" applyFill="1" applyBorder="1" applyAlignment="1">
      <alignment vertical="center"/>
    </xf>
    <xf numFmtId="164" fontId="13" fillId="3" borderId="0" xfId="3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0" fontId="10" fillId="3" borderId="0" xfId="3" applyFont="1" applyFill="1" applyAlignment="1">
      <alignment vertical="center"/>
    </xf>
    <xf numFmtId="0" fontId="15" fillId="3" borderId="0" xfId="3" applyFont="1" applyFill="1" applyBorder="1" applyAlignment="1">
      <alignment horizontal="left" vertical="center"/>
    </xf>
    <xf numFmtId="0" fontId="12" fillId="3" borderId="0" xfId="3" applyFont="1" applyFill="1" applyAlignment="1">
      <alignment vertical="center"/>
    </xf>
    <xf numFmtId="164" fontId="13" fillId="3" borderId="0" xfId="3" applyNumberFormat="1" applyFont="1" applyFill="1" applyBorder="1" applyAlignment="1">
      <alignment horizontal="center" vertical="center" wrapText="1"/>
    </xf>
    <xf numFmtId="164" fontId="14" fillId="3" borderId="0" xfId="0" applyNumberFormat="1" applyFont="1" applyFill="1" applyAlignment="1">
      <alignment horizontal="center"/>
    </xf>
    <xf numFmtId="0" fontId="17" fillId="3" borderId="5" xfId="0" applyFont="1" applyFill="1" applyBorder="1" applyAlignment="1">
      <alignment horizontal="center" vertical="center" wrapText="1"/>
    </xf>
    <xf numFmtId="0" fontId="18" fillId="3" borderId="0" xfId="3" applyFont="1" applyFill="1" applyBorder="1"/>
    <xf numFmtId="0" fontId="17" fillId="3" borderId="5" xfId="0" applyFont="1" applyFill="1" applyBorder="1" applyAlignment="1">
      <alignment horizontal="center" vertical="center"/>
    </xf>
    <xf numFmtId="0" fontId="18" fillId="3" borderId="5" xfId="3" applyFont="1" applyFill="1" applyBorder="1"/>
    <xf numFmtId="0" fontId="17" fillId="3" borderId="5" xfId="3" applyFont="1" applyFill="1" applyBorder="1" applyAlignment="1">
      <alignment horizontal="center" vertical="center"/>
    </xf>
    <xf numFmtId="0" fontId="14" fillId="3" borderId="5" xfId="3" applyFont="1" applyFill="1" applyBorder="1"/>
    <xf numFmtId="0" fontId="14" fillId="3" borderId="5" xfId="3" applyFont="1" applyFill="1" applyBorder="1" applyAlignment="1">
      <alignment horizontal="center" vertical="center"/>
    </xf>
    <xf numFmtId="164" fontId="14" fillId="3" borderId="5" xfId="3" applyNumberFormat="1" applyFont="1" applyFill="1" applyBorder="1" applyAlignment="1">
      <alignment horizontal="center" vertical="center"/>
    </xf>
    <xf numFmtId="166" fontId="14" fillId="3" borderId="5" xfId="3" applyNumberFormat="1" applyFont="1" applyFill="1" applyBorder="1" applyAlignment="1">
      <alignment horizontal="center" vertical="center"/>
    </xf>
    <xf numFmtId="164" fontId="14" fillId="3" borderId="5" xfId="3" applyNumberFormat="1" applyFont="1" applyFill="1" applyBorder="1" applyAlignment="1">
      <alignment horizontal="left" vertical="center"/>
    </xf>
    <xf numFmtId="167" fontId="14" fillId="3" borderId="5" xfId="3" quotePrefix="1" applyNumberFormat="1" applyFont="1" applyFill="1" applyBorder="1" applyAlignment="1">
      <alignment horizontal="center" vertical="center"/>
    </xf>
    <xf numFmtId="164" fontId="14" fillId="3" borderId="13" xfId="0" applyNumberFormat="1" applyFont="1" applyFill="1" applyBorder="1" applyAlignment="1">
      <alignment horizontal="center" vertical="center"/>
    </xf>
    <xf numFmtId="164" fontId="19" fillId="3" borderId="5" xfId="3" applyNumberFormat="1" applyFont="1" applyFill="1" applyBorder="1" applyAlignment="1">
      <alignment horizontal="center" vertical="center"/>
    </xf>
    <xf numFmtId="168" fontId="14" fillId="3" borderId="5" xfId="3" applyNumberFormat="1" applyFont="1" applyFill="1" applyBorder="1" applyAlignment="1">
      <alignment horizontal="center" vertical="center"/>
    </xf>
    <xf numFmtId="0" fontId="14" fillId="3" borderId="0" xfId="3" applyFont="1" applyFill="1" applyBorder="1"/>
    <xf numFmtId="0" fontId="14" fillId="3" borderId="0" xfId="3" applyFont="1" applyFill="1"/>
    <xf numFmtId="164" fontId="14" fillId="3" borderId="0" xfId="3" applyNumberFormat="1" applyFont="1" applyFill="1" applyAlignment="1">
      <alignment horizontal="center"/>
    </xf>
    <xf numFmtId="0" fontId="14" fillId="3" borderId="5" xfId="3" applyFont="1" applyFill="1" applyBorder="1" applyAlignment="1">
      <alignment horizontal="center"/>
    </xf>
    <xf numFmtId="166" fontId="14" fillId="3" borderId="0" xfId="3" applyNumberFormat="1" applyFont="1" applyFill="1"/>
    <xf numFmtId="167" fontId="14" fillId="3" borderId="0" xfId="3" applyNumberFormat="1" applyFont="1" applyFill="1"/>
    <xf numFmtId="0" fontId="10" fillId="3" borderId="0" xfId="3" applyFont="1" applyFill="1"/>
    <xf numFmtId="0" fontId="12" fillId="3" borderId="0" xfId="3" applyFont="1" applyFill="1"/>
    <xf numFmtId="164" fontId="13" fillId="3" borderId="0" xfId="3" applyNumberFormat="1" applyFont="1" applyFill="1" applyAlignment="1">
      <alignment horizontal="center"/>
    </xf>
    <xf numFmtId="0" fontId="10" fillId="3" borderId="0" xfId="3" applyFont="1" applyFill="1" applyBorder="1"/>
    <xf numFmtId="166" fontId="10" fillId="3" borderId="0" xfId="3" applyNumberFormat="1" applyFont="1" applyFill="1"/>
    <xf numFmtId="167" fontId="10" fillId="3" borderId="0" xfId="3" applyNumberFormat="1" applyFont="1" applyFill="1"/>
    <xf numFmtId="164" fontId="14" fillId="3" borderId="5" xfId="0" applyNumberFormat="1" applyFont="1" applyFill="1" applyBorder="1" applyAlignment="1">
      <alignment horizontal="center" vertical="center"/>
    </xf>
    <xf numFmtId="168" fontId="14" fillId="3" borderId="5" xfId="3" quotePrefix="1" applyNumberFormat="1" applyFont="1" applyFill="1" applyBorder="1" applyAlignment="1">
      <alignment horizontal="center" vertical="center"/>
    </xf>
    <xf numFmtId="0" fontId="17" fillId="3" borderId="0" xfId="3" applyFont="1" applyFill="1" applyBorder="1" applyAlignment="1">
      <alignment horizontal="center" vertical="center"/>
    </xf>
    <xf numFmtId="0" fontId="10" fillId="3" borderId="0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/>
    </xf>
    <xf numFmtId="0" fontId="14" fillId="3" borderId="0" xfId="3" applyFont="1" applyFill="1" applyBorder="1" applyAlignment="1">
      <alignment horizontal="center"/>
    </xf>
    <xf numFmtId="0" fontId="10" fillId="3" borderId="0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166" fontId="14" fillId="3" borderId="0" xfId="3" applyNumberFormat="1" applyFont="1" applyFill="1" applyAlignment="1">
      <alignment horizontal="center"/>
    </xf>
    <xf numFmtId="0" fontId="14" fillId="4" borderId="0" xfId="3" applyFont="1" applyFill="1" applyBorder="1"/>
    <xf numFmtId="0" fontId="14" fillId="3" borderId="0" xfId="3" applyFont="1" applyFill="1" applyAlignment="1">
      <alignment horizontal="center" vertical="center"/>
    </xf>
    <xf numFmtId="166" fontId="14" fillId="3" borderId="0" xfId="3" applyNumberFormat="1" applyFont="1" applyFill="1" applyAlignment="1">
      <alignment horizontal="center" vertical="center"/>
    </xf>
    <xf numFmtId="0" fontId="14" fillId="3" borderId="0" xfId="3" applyFont="1" applyFill="1" applyBorder="1" applyAlignment="1">
      <alignment horizontal="center" vertical="center"/>
    </xf>
    <xf numFmtId="167" fontId="14" fillId="3" borderId="0" xfId="3" applyNumberFormat="1" applyFont="1" applyFill="1" applyAlignment="1">
      <alignment horizontal="center" vertical="center"/>
    </xf>
    <xf numFmtId="164" fontId="14" fillId="3" borderId="0" xfId="3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0" fontId="14" fillId="3" borderId="0" xfId="3" applyFont="1" applyFill="1" applyAlignment="1">
      <alignment horizontal="left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9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/>
    </xf>
    <xf numFmtId="0" fontId="14" fillId="5" borderId="0" xfId="3" applyFont="1" applyFill="1" applyBorder="1"/>
    <xf numFmtId="0" fontId="14" fillId="6" borderId="5" xfId="3" applyFont="1" applyFill="1" applyBorder="1"/>
    <xf numFmtId="0" fontId="14" fillId="6" borderId="5" xfId="3" applyFont="1" applyFill="1" applyBorder="1" applyAlignment="1">
      <alignment horizontal="center" vertical="center"/>
    </xf>
    <xf numFmtId="164" fontId="14" fillId="6" borderId="5" xfId="3" applyNumberFormat="1" applyFont="1" applyFill="1" applyBorder="1" applyAlignment="1">
      <alignment horizontal="center" vertical="center"/>
    </xf>
    <xf numFmtId="166" fontId="14" fillId="6" borderId="5" xfId="3" applyNumberFormat="1" applyFont="1" applyFill="1" applyBorder="1" applyAlignment="1">
      <alignment horizontal="center" vertical="center"/>
    </xf>
    <xf numFmtId="164" fontId="14" fillId="6" borderId="5" xfId="3" applyNumberFormat="1" applyFont="1" applyFill="1" applyBorder="1" applyAlignment="1">
      <alignment horizontal="left" vertical="center"/>
    </xf>
    <xf numFmtId="167" fontId="14" fillId="6" borderId="5" xfId="3" quotePrefix="1" applyNumberFormat="1" applyFont="1" applyFill="1" applyBorder="1" applyAlignment="1">
      <alignment horizontal="center" vertical="center"/>
    </xf>
    <xf numFmtId="164" fontId="14" fillId="6" borderId="13" xfId="0" applyNumberFormat="1" applyFont="1" applyFill="1" applyBorder="1" applyAlignment="1">
      <alignment horizontal="center" vertical="center"/>
    </xf>
    <xf numFmtId="164" fontId="14" fillId="6" borderId="5" xfId="0" applyNumberFormat="1" applyFont="1" applyFill="1" applyBorder="1" applyAlignment="1">
      <alignment horizontal="center" vertical="center"/>
    </xf>
    <xf numFmtId="164" fontId="19" fillId="6" borderId="5" xfId="3" applyNumberFormat="1" applyFont="1" applyFill="1" applyBorder="1" applyAlignment="1">
      <alignment horizontal="center" vertical="center"/>
    </xf>
    <xf numFmtId="168" fontId="14" fillId="6" borderId="5" xfId="3" applyNumberFormat="1" applyFont="1" applyFill="1" applyBorder="1" applyAlignment="1">
      <alignment horizontal="center" vertical="center"/>
    </xf>
    <xf numFmtId="168" fontId="14" fillId="6" borderId="5" xfId="3" quotePrefix="1" applyNumberFormat="1" applyFont="1" applyFill="1" applyBorder="1" applyAlignment="1">
      <alignment horizontal="center" vertical="center"/>
    </xf>
    <xf numFmtId="0" fontId="14" fillId="6" borderId="5" xfId="3" applyFont="1" applyFill="1" applyBorder="1" applyAlignment="1">
      <alignment horizontal="center"/>
    </xf>
    <xf numFmtId="0" fontId="14" fillId="6" borderId="0" xfId="3" applyFont="1" applyFill="1" applyBorder="1"/>
    <xf numFmtId="2" fontId="14" fillId="6" borderId="5" xfId="3" applyNumberFormat="1" applyFont="1" applyFill="1" applyBorder="1" applyAlignment="1">
      <alignment horizontal="center"/>
    </xf>
    <xf numFmtId="0" fontId="14" fillId="6" borderId="0" xfId="3" applyFont="1" applyFill="1" applyBorder="1" applyAlignment="1">
      <alignment horizontal="center" vertical="center"/>
    </xf>
    <xf numFmtId="0" fontId="14" fillId="6" borderId="0" xfId="3" applyFont="1" applyFill="1" applyAlignment="1">
      <alignment horizontal="center" vertical="center"/>
    </xf>
    <xf numFmtId="166" fontId="14" fillId="6" borderId="0" xfId="3" applyNumberFormat="1" applyFont="1" applyFill="1" applyAlignment="1">
      <alignment horizontal="center" vertical="center"/>
    </xf>
    <xf numFmtId="0" fontId="14" fillId="6" borderId="0" xfId="3" applyFont="1" applyFill="1" applyAlignment="1">
      <alignment horizontal="left" vertical="center"/>
    </xf>
    <xf numFmtId="164" fontId="14" fillId="6" borderId="0" xfId="3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0" fontId="14" fillId="6" borderId="0" xfId="3" applyFont="1" applyFill="1"/>
    <xf numFmtId="166" fontId="14" fillId="6" borderId="0" xfId="3" applyNumberFormat="1" applyFont="1" applyFill="1" applyAlignment="1">
      <alignment horizontal="center"/>
    </xf>
    <xf numFmtId="0" fontId="16" fillId="3" borderId="5" xfId="3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16" fillId="3" borderId="9" xfId="3" applyFont="1" applyFill="1" applyBorder="1" applyAlignment="1">
      <alignment horizontal="center" vertical="center"/>
    </xf>
    <xf numFmtId="0" fontId="16" fillId="3" borderId="11" xfId="3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/>
    </xf>
    <xf numFmtId="0" fontId="16" fillId="3" borderId="21" xfId="3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/>
    </xf>
    <xf numFmtId="0" fontId="16" fillId="3" borderId="9" xfId="3" applyFont="1" applyFill="1" applyBorder="1" applyAlignment="1">
      <alignment horizontal="center" vertical="center" wrapText="1"/>
    </xf>
    <xf numFmtId="0" fontId="16" fillId="3" borderId="14" xfId="3" applyFont="1" applyFill="1" applyBorder="1" applyAlignment="1">
      <alignment horizontal="center" vertical="center"/>
    </xf>
    <xf numFmtId="0" fontId="16" fillId="3" borderId="15" xfId="3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/>
    </xf>
    <xf numFmtId="0" fontId="16" fillId="3" borderId="17" xfId="3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6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0" fontId="3" fillId="0" borderId="9" xfId="0" quotePrefix="1" applyFont="1" applyFill="1" applyBorder="1" applyAlignment="1">
      <alignment horizontal="center" vertical="center"/>
    </xf>
    <xf numFmtId="0" fontId="4" fillId="0" borderId="11" xfId="0" quotePrefix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quotePrefix="1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5" xfId="0" quotePrefix="1" applyFont="1" applyFill="1" applyBorder="1" applyAlignment="1">
      <alignment horizontal="center" vertical="center"/>
    </xf>
  </cellXfs>
  <cellStyles count="8">
    <cellStyle name="Excel Built-in Normal" xfId="1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 2" xfId="2" xr:uid="{00000000-0005-0000-0000-000004000000}"/>
    <cellStyle name="Normal 3" xfId="3" xr:uid="{00000000-0005-0000-0000-000005000000}"/>
    <cellStyle name="Result" xfId="6" xr:uid="{00000000-0005-0000-0000-000006000000}"/>
    <cellStyle name="Result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48557"/>
  <sheetViews>
    <sheetView tabSelected="1" zoomScale="51" zoomScaleNormal="51" workbookViewId="0">
      <pane xSplit="10" ySplit="5" topLeftCell="K51" activePane="bottomRight" state="frozen"/>
      <selection pane="topRight" activeCell="K1" sqref="K1"/>
      <selection pane="bottomLeft" activeCell="A6" sqref="A6"/>
      <selection pane="bottomRight" activeCell="E41" sqref="E41"/>
    </sheetView>
  </sheetViews>
  <sheetFormatPr defaultColWidth="4.7109375" defaultRowHeight="26.25"/>
  <cols>
    <col min="1" max="1" width="12.7109375" style="37" bestFit="1" customWidth="1"/>
    <col min="2" max="2" width="12.7109375" style="34" bestFit="1" customWidth="1"/>
    <col min="3" max="3" width="20.85546875" style="34" bestFit="1" customWidth="1"/>
    <col min="4" max="4" width="48.85546875" style="34" bestFit="1" customWidth="1"/>
    <col min="5" max="6" width="50.5703125" style="34" bestFit="1" customWidth="1"/>
    <col min="7" max="7" width="12.7109375" style="38" bestFit="1" customWidth="1"/>
    <col min="8" max="8" width="40.140625" style="34" bestFit="1" customWidth="1"/>
    <col min="9" max="9" width="17" style="39" bestFit="1" customWidth="1"/>
    <col min="10" max="10" width="98.42578125" style="34" bestFit="1" customWidth="1"/>
    <col min="11" max="11" width="35.7109375" style="34" bestFit="1" customWidth="1"/>
    <col min="12" max="12" width="38.28515625" style="35" bestFit="1" customWidth="1"/>
    <col min="13" max="13" width="27.85546875" style="34" bestFit="1" customWidth="1"/>
    <col min="14" max="15" width="20.85546875" style="36" bestFit="1" customWidth="1"/>
    <col min="16" max="16" width="44.42578125" style="13" bestFit="1" customWidth="1"/>
    <col min="17" max="17" width="43.5703125" style="13" bestFit="1" customWidth="1"/>
    <col min="18" max="18" width="24" style="13" bestFit="1" customWidth="1"/>
    <col min="19" max="19" width="19.42578125" style="13" bestFit="1" customWidth="1"/>
    <col min="20" max="20" width="16.7109375" style="13" bestFit="1" customWidth="1"/>
    <col min="21" max="21" width="14.7109375" style="13" bestFit="1" customWidth="1"/>
    <col min="22" max="26" width="18.5703125" style="36" bestFit="1" customWidth="1"/>
    <col min="27" max="27" width="20.28515625" style="36" bestFit="1" customWidth="1"/>
    <col min="28" max="28" width="19.42578125" style="34" bestFit="1" customWidth="1"/>
    <col min="29" max="29" width="15.85546875" style="34" bestFit="1" customWidth="1"/>
    <col min="30" max="30" width="19.42578125" style="34" bestFit="1" customWidth="1"/>
    <col min="31" max="31" width="15.85546875" style="34" bestFit="1" customWidth="1"/>
    <col min="32" max="32" width="23.140625" style="34" bestFit="1" customWidth="1"/>
    <col min="33" max="35" width="21.7109375" style="34" bestFit="1" customWidth="1"/>
    <col min="36" max="36" width="24.5703125" style="34" bestFit="1" customWidth="1"/>
    <col min="37" max="37" width="23.140625" style="34" bestFit="1" customWidth="1"/>
    <col min="38" max="40" width="21.7109375" style="34" bestFit="1" customWidth="1"/>
    <col min="41" max="41" width="24.5703125" style="34" bestFit="1" customWidth="1"/>
    <col min="42" max="47" width="21.7109375" style="34" bestFit="1" customWidth="1"/>
    <col min="48" max="48" width="15" style="34" bestFit="1" customWidth="1"/>
    <col min="49" max="50" width="21.7109375" style="34" bestFit="1" customWidth="1"/>
    <col min="51" max="51" width="24.5703125" style="34" bestFit="1" customWidth="1"/>
    <col min="52" max="52" width="26.42578125" style="34" bestFit="1" customWidth="1"/>
    <col min="53" max="54" width="14.7109375" style="34" bestFit="1" customWidth="1"/>
    <col min="55" max="55" width="24" style="34" bestFit="1" customWidth="1"/>
    <col min="56" max="56" width="22.85546875" style="34" bestFit="1" customWidth="1"/>
    <col min="57" max="57" width="35.140625" style="34" bestFit="1" customWidth="1"/>
    <col min="58" max="58" width="24.5703125" style="34" bestFit="1" customWidth="1"/>
    <col min="59" max="59" width="48" style="34" bestFit="1" customWidth="1"/>
    <col min="60" max="60" width="16.42578125" style="34" bestFit="1" customWidth="1"/>
    <col min="61" max="61" width="23.7109375" style="34" bestFit="1" customWidth="1"/>
    <col min="62" max="62" width="30.140625" style="34" bestFit="1" customWidth="1"/>
    <col min="63" max="63" width="19.7109375" style="34" bestFit="1" customWidth="1"/>
    <col min="64" max="64" width="31.28515625" style="34" bestFit="1" customWidth="1"/>
    <col min="65" max="65" width="40.42578125" style="34" bestFit="1" customWidth="1"/>
    <col min="66" max="66" width="18.42578125" style="34" bestFit="1" customWidth="1"/>
    <col min="67" max="68" width="16.140625" style="34" bestFit="1" customWidth="1"/>
    <col min="69" max="69" width="18.5703125" style="34" bestFit="1" customWidth="1"/>
    <col min="70" max="70" width="14.7109375" style="34" bestFit="1" customWidth="1"/>
    <col min="71" max="71" width="18" style="34" bestFit="1" customWidth="1"/>
    <col min="72" max="73" width="14.7109375" style="46" bestFit="1" customWidth="1"/>
    <col min="74" max="77" width="16.140625" style="46" bestFit="1" customWidth="1"/>
    <col min="78" max="78" width="29.85546875" style="46" bestFit="1" customWidth="1"/>
    <col min="79" max="79" width="14.7109375" style="46" bestFit="1" customWidth="1"/>
    <col min="80" max="83" width="16.140625" style="46" bestFit="1" customWidth="1"/>
    <col min="84" max="84" width="18.7109375" style="46" bestFit="1" customWidth="1"/>
    <col min="85" max="85" width="18" style="46" bestFit="1" customWidth="1"/>
    <col min="86" max="86" width="16.140625" style="37" bestFit="1" customWidth="1"/>
    <col min="87" max="89" width="16.140625" style="46" bestFit="1" customWidth="1"/>
    <col min="90" max="90" width="255.7109375" style="37" bestFit="1" customWidth="1"/>
    <col min="91" max="16384" width="4.7109375" style="37"/>
  </cols>
  <sheetData>
    <row r="1" spans="1:90" s="4" customFormat="1" ht="46.5">
      <c r="B1" s="5" t="s">
        <v>501</v>
      </c>
      <c r="C1" s="5"/>
      <c r="D1" s="5"/>
      <c r="E1" s="5"/>
      <c r="F1" s="5"/>
      <c r="G1" s="5"/>
      <c r="H1" s="5"/>
      <c r="I1" s="5"/>
      <c r="J1" s="5"/>
      <c r="K1" s="5"/>
      <c r="L1" s="6"/>
      <c r="M1" s="5"/>
      <c r="N1" s="7"/>
      <c r="O1" s="7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I1" s="43"/>
      <c r="CJ1" s="43"/>
      <c r="CK1" s="43"/>
    </row>
    <row r="2" spans="1:90" s="4" customFormat="1"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2"/>
      <c r="O2" s="12"/>
      <c r="P2" s="13"/>
      <c r="Q2" s="13"/>
      <c r="R2" s="13"/>
      <c r="S2" s="13"/>
      <c r="T2" s="13"/>
      <c r="U2" s="13"/>
      <c r="V2" s="12"/>
      <c r="W2" s="12"/>
      <c r="X2" s="12"/>
      <c r="Y2" s="12"/>
      <c r="Z2" s="12"/>
      <c r="AA2" s="12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I2" s="43"/>
      <c r="CJ2" s="43"/>
      <c r="CK2" s="43"/>
    </row>
    <row r="3" spans="1:90" s="15" customFormat="1" ht="52.5">
      <c r="A3" s="86" t="s">
        <v>82</v>
      </c>
      <c r="B3" s="86" t="s">
        <v>35</v>
      </c>
      <c r="C3" s="86" t="s">
        <v>37</v>
      </c>
      <c r="D3" s="93" t="s">
        <v>38</v>
      </c>
      <c r="E3" s="94"/>
      <c r="F3" s="95"/>
      <c r="G3" s="84" t="s">
        <v>116</v>
      </c>
      <c r="H3" s="86" t="s">
        <v>57</v>
      </c>
      <c r="I3" s="84" t="s">
        <v>117</v>
      </c>
      <c r="J3" s="86" t="s">
        <v>36</v>
      </c>
      <c r="K3" s="86" t="s">
        <v>58</v>
      </c>
      <c r="L3" s="86" t="s">
        <v>51</v>
      </c>
      <c r="M3" s="86" t="s">
        <v>52</v>
      </c>
      <c r="N3" s="59" t="s">
        <v>63</v>
      </c>
      <c r="O3" s="59" t="s">
        <v>64</v>
      </c>
      <c r="P3" s="14" t="s">
        <v>43</v>
      </c>
      <c r="Q3" s="14" t="s">
        <v>43</v>
      </c>
      <c r="R3" s="89" t="s">
        <v>90</v>
      </c>
      <c r="S3" s="89" t="s">
        <v>135</v>
      </c>
      <c r="T3" s="99" t="s">
        <v>91</v>
      </c>
      <c r="U3" s="100"/>
      <c r="V3" s="59" t="s">
        <v>54</v>
      </c>
      <c r="W3" s="59" t="s">
        <v>87</v>
      </c>
      <c r="X3" s="59" t="s">
        <v>86</v>
      </c>
      <c r="Y3" s="59" t="s">
        <v>88</v>
      </c>
      <c r="Z3" s="59" t="s">
        <v>89</v>
      </c>
      <c r="AA3" s="86" t="s">
        <v>92</v>
      </c>
      <c r="AB3" s="87" t="s">
        <v>55</v>
      </c>
      <c r="AC3" s="88"/>
      <c r="AD3" s="87" t="s">
        <v>55</v>
      </c>
      <c r="AE3" s="88"/>
      <c r="AF3" s="59" t="s">
        <v>66</v>
      </c>
      <c r="AG3" s="59" t="s">
        <v>67</v>
      </c>
      <c r="AH3" s="59" t="s">
        <v>68</v>
      </c>
      <c r="AI3" s="59" t="s">
        <v>98</v>
      </c>
      <c r="AJ3" s="59" t="s">
        <v>69</v>
      </c>
      <c r="AK3" s="59" t="s">
        <v>66</v>
      </c>
      <c r="AL3" s="59" t="s">
        <v>67</v>
      </c>
      <c r="AM3" s="59" t="s">
        <v>68</v>
      </c>
      <c r="AN3" s="59" t="s">
        <v>98</v>
      </c>
      <c r="AO3" s="59" t="s">
        <v>69</v>
      </c>
      <c r="AP3" s="87" t="s">
        <v>59</v>
      </c>
      <c r="AQ3" s="91"/>
      <c r="AR3" s="87" t="s">
        <v>99</v>
      </c>
      <c r="AS3" s="91"/>
      <c r="AT3" s="87" t="s">
        <v>70</v>
      </c>
      <c r="AU3" s="91"/>
      <c r="AV3" s="101" t="s">
        <v>160</v>
      </c>
      <c r="AW3" s="102" t="s">
        <v>72</v>
      </c>
      <c r="AX3" s="102"/>
      <c r="AY3" s="84" t="s">
        <v>100</v>
      </c>
      <c r="AZ3" s="84" t="s">
        <v>101</v>
      </c>
      <c r="BA3" s="83" t="s">
        <v>102</v>
      </c>
      <c r="BB3" s="83"/>
      <c r="BC3" s="84" t="s">
        <v>113</v>
      </c>
      <c r="BD3" s="84" t="s">
        <v>105</v>
      </c>
      <c r="BE3" s="84" t="s">
        <v>107</v>
      </c>
      <c r="BF3" s="86" t="s">
        <v>71</v>
      </c>
      <c r="BG3" s="86" t="s">
        <v>56</v>
      </c>
      <c r="BH3" s="84" t="s">
        <v>128</v>
      </c>
      <c r="BI3" s="84" t="s">
        <v>129</v>
      </c>
      <c r="BJ3" s="84" t="s">
        <v>164</v>
      </c>
      <c r="BK3" s="84" t="s">
        <v>130</v>
      </c>
      <c r="BL3" s="84" t="s">
        <v>131</v>
      </c>
      <c r="BM3" s="84" t="s">
        <v>210</v>
      </c>
      <c r="BN3" s="84" t="s">
        <v>115</v>
      </c>
      <c r="BO3" s="86" t="s">
        <v>49</v>
      </c>
      <c r="BP3" s="86" t="s">
        <v>50</v>
      </c>
      <c r="BQ3" s="84" t="s">
        <v>422</v>
      </c>
      <c r="BR3" s="84" t="s">
        <v>421</v>
      </c>
      <c r="BS3" s="84" t="s">
        <v>423</v>
      </c>
      <c r="BT3" s="102" t="s">
        <v>63</v>
      </c>
      <c r="BU3" s="102" t="s">
        <v>420</v>
      </c>
      <c r="BV3" s="102" t="s">
        <v>411</v>
      </c>
      <c r="BW3" s="102" t="s">
        <v>414</v>
      </c>
      <c r="BX3" s="102" t="s">
        <v>412</v>
      </c>
      <c r="BY3" s="102" t="s">
        <v>415</v>
      </c>
      <c r="BZ3" s="83" t="s">
        <v>413</v>
      </c>
      <c r="CA3" s="102" t="s">
        <v>420</v>
      </c>
      <c r="CB3" s="102" t="s">
        <v>411</v>
      </c>
      <c r="CC3" s="102" t="s">
        <v>414</v>
      </c>
      <c r="CD3" s="102" t="s">
        <v>412</v>
      </c>
      <c r="CE3" s="102" t="s">
        <v>415</v>
      </c>
      <c r="CF3" s="83" t="s">
        <v>416</v>
      </c>
      <c r="CG3" s="83" t="s">
        <v>410</v>
      </c>
      <c r="CH3" s="83" t="s">
        <v>411</v>
      </c>
      <c r="CI3" s="83" t="s">
        <v>414</v>
      </c>
      <c r="CJ3" s="83" t="s">
        <v>412</v>
      </c>
      <c r="CK3" s="83" t="s">
        <v>415</v>
      </c>
      <c r="CL3" s="83" t="s">
        <v>549</v>
      </c>
    </row>
    <row r="4" spans="1:90" s="15" customFormat="1" ht="28.5">
      <c r="A4" s="85"/>
      <c r="B4" s="85"/>
      <c r="C4" s="85"/>
      <c r="D4" s="96"/>
      <c r="E4" s="97"/>
      <c r="F4" s="98"/>
      <c r="G4" s="85"/>
      <c r="H4" s="85"/>
      <c r="I4" s="85"/>
      <c r="J4" s="85"/>
      <c r="K4" s="85"/>
      <c r="L4" s="85"/>
      <c r="M4" s="85"/>
      <c r="N4" s="59" t="s">
        <v>134</v>
      </c>
      <c r="O4" s="59" t="s">
        <v>53</v>
      </c>
      <c r="P4" s="16" t="s">
        <v>44</v>
      </c>
      <c r="Q4" s="16" t="s">
        <v>40</v>
      </c>
      <c r="R4" s="90"/>
      <c r="S4" s="90"/>
      <c r="T4" s="57" t="s">
        <v>63</v>
      </c>
      <c r="U4" s="57" t="s">
        <v>64</v>
      </c>
      <c r="V4" s="59" t="s">
        <v>48</v>
      </c>
      <c r="W4" s="59" t="s">
        <v>48</v>
      </c>
      <c r="X4" s="59" t="s">
        <v>48</v>
      </c>
      <c r="Y4" s="59" t="s">
        <v>48</v>
      </c>
      <c r="Z4" s="59" t="s">
        <v>48</v>
      </c>
      <c r="AA4" s="85"/>
      <c r="AB4" s="87" t="s">
        <v>46</v>
      </c>
      <c r="AC4" s="88"/>
      <c r="AD4" s="87" t="s">
        <v>47</v>
      </c>
      <c r="AE4" s="88"/>
      <c r="AF4" s="59" t="s">
        <v>46</v>
      </c>
      <c r="AG4" s="59" t="s">
        <v>46</v>
      </c>
      <c r="AH4" s="59" t="s">
        <v>46</v>
      </c>
      <c r="AI4" s="59" t="s">
        <v>46</v>
      </c>
      <c r="AJ4" s="59" t="s">
        <v>46</v>
      </c>
      <c r="AK4" s="59" t="s">
        <v>47</v>
      </c>
      <c r="AL4" s="59" t="s">
        <v>47</v>
      </c>
      <c r="AM4" s="59" t="s">
        <v>47</v>
      </c>
      <c r="AN4" s="59" t="s">
        <v>47</v>
      </c>
      <c r="AO4" s="59" t="s">
        <v>47</v>
      </c>
      <c r="AP4" s="59" t="s">
        <v>46</v>
      </c>
      <c r="AQ4" s="59" t="s">
        <v>47</v>
      </c>
      <c r="AR4" s="59" t="s">
        <v>46</v>
      </c>
      <c r="AS4" s="59" t="s">
        <v>47</v>
      </c>
      <c r="AT4" s="59" t="s">
        <v>46</v>
      </c>
      <c r="AU4" s="59" t="s">
        <v>47</v>
      </c>
      <c r="AV4" s="98"/>
      <c r="AW4" s="59" t="s">
        <v>46</v>
      </c>
      <c r="AX4" s="59" t="s">
        <v>47</v>
      </c>
      <c r="AY4" s="92"/>
      <c r="AZ4" s="92"/>
      <c r="BA4" s="58" t="s">
        <v>103</v>
      </c>
      <c r="BB4" s="58" t="s">
        <v>104</v>
      </c>
      <c r="BC4" s="92"/>
      <c r="BD4" s="92"/>
      <c r="BE4" s="92"/>
      <c r="BF4" s="85"/>
      <c r="BG4" s="85"/>
      <c r="BH4" s="85"/>
      <c r="BI4" s="85"/>
      <c r="BJ4" s="92"/>
      <c r="BK4" s="85"/>
      <c r="BL4" s="92"/>
      <c r="BM4" s="92"/>
      <c r="BN4" s="92"/>
      <c r="BO4" s="85"/>
      <c r="BP4" s="85"/>
      <c r="BQ4" s="85"/>
      <c r="BR4" s="85"/>
      <c r="BS4" s="85"/>
      <c r="BT4" s="102"/>
      <c r="BU4" s="102"/>
      <c r="BV4" s="102"/>
      <c r="BW4" s="102"/>
      <c r="BX4" s="102"/>
      <c r="BY4" s="102"/>
      <c r="BZ4" s="83"/>
      <c r="CA4" s="102"/>
      <c r="CB4" s="102"/>
      <c r="CC4" s="102"/>
      <c r="CD4" s="102"/>
      <c r="CE4" s="102"/>
      <c r="CF4" s="83"/>
      <c r="CG4" s="83"/>
      <c r="CH4" s="83"/>
      <c r="CI4" s="83"/>
      <c r="CJ4" s="83"/>
      <c r="CK4" s="83"/>
      <c r="CL4" s="83"/>
    </row>
    <row r="5" spans="1:90" s="15" customFormat="1" ht="34.5">
      <c r="A5" s="17"/>
      <c r="B5" s="59"/>
      <c r="C5" s="59"/>
      <c r="D5" s="59" t="s">
        <v>61</v>
      </c>
      <c r="E5" s="59" t="s">
        <v>84</v>
      </c>
      <c r="F5" s="59" t="s">
        <v>85</v>
      </c>
      <c r="G5" s="59"/>
      <c r="H5" s="59"/>
      <c r="I5" s="59"/>
      <c r="J5" s="59"/>
      <c r="K5" s="59"/>
      <c r="L5" s="59" t="s">
        <v>62</v>
      </c>
      <c r="M5" s="59" t="s">
        <v>60</v>
      </c>
      <c r="N5" s="59" t="s">
        <v>65</v>
      </c>
      <c r="O5" s="59" t="s">
        <v>65</v>
      </c>
      <c r="P5" s="16"/>
      <c r="Q5" s="16"/>
      <c r="R5" s="16"/>
      <c r="S5" s="16"/>
      <c r="T5" s="16"/>
      <c r="U5" s="16"/>
      <c r="V5" s="59" t="s">
        <v>39</v>
      </c>
      <c r="W5" s="59" t="s">
        <v>39</v>
      </c>
      <c r="X5" s="59" t="s">
        <v>39</v>
      </c>
      <c r="Y5" s="59" t="s">
        <v>39</v>
      </c>
      <c r="Z5" s="59" t="s">
        <v>45</v>
      </c>
      <c r="AA5" s="59" t="s">
        <v>45</v>
      </c>
      <c r="AB5" s="59" t="s">
        <v>95</v>
      </c>
      <c r="AC5" s="59" t="s">
        <v>96</v>
      </c>
      <c r="AD5" s="59" t="s">
        <v>95</v>
      </c>
      <c r="AE5" s="59" t="s">
        <v>96</v>
      </c>
      <c r="AF5" s="59" t="s">
        <v>118</v>
      </c>
      <c r="AG5" s="59" t="s">
        <v>118</v>
      </c>
      <c r="AH5" s="59" t="s">
        <v>118</v>
      </c>
      <c r="AI5" s="59" t="s">
        <v>118</v>
      </c>
      <c r="AJ5" s="59" t="s">
        <v>118</v>
      </c>
      <c r="AK5" s="59" t="s">
        <v>118</v>
      </c>
      <c r="AL5" s="59" t="s">
        <v>118</v>
      </c>
      <c r="AM5" s="59" t="s">
        <v>118</v>
      </c>
      <c r="AN5" s="59" t="s">
        <v>118</v>
      </c>
      <c r="AO5" s="59" t="s">
        <v>118</v>
      </c>
      <c r="AP5" s="59" t="s">
        <v>41</v>
      </c>
      <c r="AQ5" s="59" t="s">
        <v>41</v>
      </c>
      <c r="AR5" s="59"/>
      <c r="AS5" s="59"/>
      <c r="AT5" s="59" t="s">
        <v>42</v>
      </c>
      <c r="AU5" s="59" t="s">
        <v>42</v>
      </c>
      <c r="AV5" s="59" t="s">
        <v>73</v>
      </c>
      <c r="AW5" s="59" t="s">
        <v>73</v>
      </c>
      <c r="AX5" s="59" t="s">
        <v>73</v>
      </c>
      <c r="AY5" s="59" t="s">
        <v>39</v>
      </c>
      <c r="AZ5" s="59" t="s">
        <v>39</v>
      </c>
      <c r="BA5" s="59"/>
      <c r="BB5" s="59"/>
      <c r="BC5" s="59" t="s">
        <v>41</v>
      </c>
      <c r="BD5" s="59" t="s">
        <v>106</v>
      </c>
      <c r="BE5" s="59"/>
      <c r="BF5" s="59"/>
      <c r="BG5" s="59"/>
      <c r="BH5" s="59"/>
      <c r="BI5" s="59" t="s">
        <v>118</v>
      </c>
      <c r="BJ5" s="59" t="s">
        <v>45</v>
      </c>
      <c r="BK5" s="59" t="s">
        <v>45</v>
      </c>
      <c r="BL5" s="59" t="s">
        <v>74</v>
      </c>
      <c r="BM5" s="59"/>
      <c r="BN5" s="59" t="s">
        <v>74</v>
      </c>
      <c r="BO5" s="59" t="s">
        <v>45</v>
      </c>
      <c r="BP5" s="59" t="s">
        <v>45</v>
      </c>
      <c r="BQ5" s="59" t="s">
        <v>45</v>
      </c>
      <c r="BR5" s="59" t="s">
        <v>45</v>
      </c>
      <c r="BS5" s="59" t="s">
        <v>45</v>
      </c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17"/>
      <c r="CI5" s="44"/>
      <c r="CJ5" s="44"/>
      <c r="CK5" s="44"/>
    </row>
    <row r="6" spans="1:90" s="42" customFormat="1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32</v>
      </c>
      <c r="AG6" s="18">
        <v>33</v>
      </c>
      <c r="AH6" s="18">
        <v>34</v>
      </c>
      <c r="AI6" s="18">
        <v>35</v>
      </c>
      <c r="AJ6" s="18">
        <v>36</v>
      </c>
      <c r="AK6" s="18">
        <v>37</v>
      </c>
      <c r="AL6" s="18">
        <v>38</v>
      </c>
      <c r="AM6" s="18">
        <v>39</v>
      </c>
      <c r="AN6" s="18">
        <v>40</v>
      </c>
      <c r="AO6" s="18">
        <v>41</v>
      </c>
      <c r="AP6" s="18">
        <v>42</v>
      </c>
      <c r="AQ6" s="18">
        <v>43</v>
      </c>
      <c r="AR6" s="18">
        <v>44</v>
      </c>
      <c r="AS6" s="18">
        <v>45</v>
      </c>
      <c r="AT6" s="18">
        <v>46</v>
      </c>
      <c r="AU6" s="18">
        <v>47</v>
      </c>
      <c r="AV6" s="18">
        <v>48</v>
      </c>
      <c r="AW6" s="18">
        <v>49</v>
      </c>
      <c r="AX6" s="18">
        <v>50</v>
      </c>
      <c r="AY6" s="18">
        <v>51</v>
      </c>
      <c r="AZ6" s="18">
        <v>52</v>
      </c>
      <c r="BA6" s="18">
        <v>53</v>
      </c>
      <c r="BB6" s="18">
        <v>54</v>
      </c>
      <c r="BC6" s="18">
        <v>55</v>
      </c>
      <c r="BD6" s="18">
        <v>56</v>
      </c>
      <c r="BE6" s="18">
        <v>57</v>
      </c>
      <c r="BF6" s="18">
        <v>58</v>
      </c>
      <c r="BG6" s="18">
        <v>59</v>
      </c>
      <c r="BH6" s="18">
        <v>60</v>
      </c>
      <c r="BI6" s="18">
        <v>61</v>
      </c>
      <c r="BJ6" s="18">
        <v>62</v>
      </c>
      <c r="BK6" s="18">
        <v>63</v>
      </c>
      <c r="BL6" s="18">
        <v>64</v>
      </c>
      <c r="BM6" s="18">
        <v>65</v>
      </c>
      <c r="BN6" s="18">
        <v>66</v>
      </c>
      <c r="BO6" s="18">
        <v>67</v>
      </c>
      <c r="BP6" s="18">
        <v>68</v>
      </c>
      <c r="BQ6" s="18">
        <v>69</v>
      </c>
      <c r="BR6" s="18">
        <v>70</v>
      </c>
      <c r="BS6" s="18">
        <v>71</v>
      </c>
      <c r="BT6" s="18">
        <v>72</v>
      </c>
      <c r="BU6" s="18">
        <v>73</v>
      </c>
      <c r="BV6" s="18">
        <v>74</v>
      </c>
      <c r="BW6" s="18">
        <v>75</v>
      </c>
      <c r="BX6" s="18">
        <v>76</v>
      </c>
      <c r="BY6" s="18">
        <v>77</v>
      </c>
      <c r="BZ6" s="18">
        <v>78</v>
      </c>
      <c r="CA6" s="18">
        <v>79</v>
      </c>
      <c r="CB6" s="18">
        <v>80</v>
      </c>
      <c r="CC6" s="18">
        <v>81</v>
      </c>
      <c r="CD6" s="18">
        <v>82</v>
      </c>
      <c r="CE6" s="18">
        <v>83</v>
      </c>
      <c r="CF6" s="18">
        <v>84</v>
      </c>
      <c r="CG6" s="18">
        <v>85</v>
      </c>
      <c r="CH6" s="18">
        <v>86</v>
      </c>
      <c r="CI6" s="18">
        <v>87</v>
      </c>
      <c r="CJ6" s="18">
        <v>88</v>
      </c>
      <c r="CK6" s="18">
        <v>89</v>
      </c>
      <c r="CL6" s="42">
        <v>90</v>
      </c>
    </row>
    <row r="7" spans="1:90" s="28" customFormat="1">
      <c r="A7" s="19" t="str">
        <f t="shared" ref="A7:A21" si="0">CONCATENATE(B7,"-",G7)</f>
        <v>1-1</v>
      </c>
      <c r="B7" s="20">
        <v>1</v>
      </c>
      <c r="C7" s="21" t="s">
        <v>133</v>
      </c>
      <c r="D7" s="20" t="s">
        <v>531</v>
      </c>
      <c r="E7" s="20" t="s">
        <v>137</v>
      </c>
      <c r="F7" s="20" t="s">
        <v>138</v>
      </c>
      <c r="G7" s="22">
        <v>1</v>
      </c>
      <c r="H7" s="23" t="s">
        <v>77</v>
      </c>
      <c r="I7" s="24" t="s">
        <v>139</v>
      </c>
      <c r="J7" s="23" t="str">
        <f t="shared" ref="J7:J21" si="1">CONCATENATE(K7,"; ",L7,"; ",M7," ")</f>
        <v xml:space="preserve">Hose, Radiator; Ø 37 mm × 47 mm; TSB5501G-1E </v>
      </c>
      <c r="K7" s="23" t="s">
        <v>140</v>
      </c>
      <c r="L7" s="23" t="s">
        <v>141</v>
      </c>
      <c r="M7" s="23" t="s">
        <v>3</v>
      </c>
      <c r="N7" s="21" t="s">
        <v>142</v>
      </c>
      <c r="O7" s="21" t="s">
        <v>142</v>
      </c>
      <c r="P7" s="25" t="s">
        <v>111</v>
      </c>
      <c r="Q7" s="25" t="s">
        <v>111</v>
      </c>
      <c r="R7" s="40" t="s">
        <v>143</v>
      </c>
      <c r="S7" s="40" t="s">
        <v>144</v>
      </c>
      <c r="T7" s="26" t="s">
        <v>93</v>
      </c>
      <c r="U7" s="26" t="s">
        <v>94</v>
      </c>
      <c r="V7" s="26" t="s">
        <v>145</v>
      </c>
      <c r="W7" s="26" t="s">
        <v>146</v>
      </c>
      <c r="X7" s="26" t="s">
        <v>147</v>
      </c>
      <c r="Y7" s="26" t="s">
        <v>148</v>
      </c>
      <c r="Z7" s="26" t="s">
        <v>125</v>
      </c>
      <c r="AA7" s="26" t="s">
        <v>149</v>
      </c>
      <c r="AB7" s="20" t="s">
        <v>511</v>
      </c>
      <c r="AC7" s="20" t="s">
        <v>97</v>
      </c>
      <c r="AD7" s="20" t="s">
        <v>511</v>
      </c>
      <c r="AE7" s="20" t="s">
        <v>97</v>
      </c>
      <c r="AF7" s="26" t="s">
        <v>79</v>
      </c>
      <c r="AG7" s="26" t="s">
        <v>75</v>
      </c>
      <c r="AH7" s="26" t="s">
        <v>76</v>
      </c>
      <c r="AI7" s="26" t="s">
        <v>112</v>
      </c>
      <c r="AJ7" s="26" t="s">
        <v>76</v>
      </c>
      <c r="AK7" s="26" t="s">
        <v>79</v>
      </c>
      <c r="AL7" s="26" t="s">
        <v>75</v>
      </c>
      <c r="AM7" s="26" t="s">
        <v>112</v>
      </c>
      <c r="AN7" s="26" t="s">
        <v>5</v>
      </c>
      <c r="AO7" s="26" t="s">
        <v>76</v>
      </c>
      <c r="AP7" s="20" t="s">
        <v>150</v>
      </c>
      <c r="AQ7" s="20" t="s">
        <v>151</v>
      </c>
      <c r="AR7" s="20" t="s">
        <v>152</v>
      </c>
      <c r="AS7" s="20" t="s">
        <v>153</v>
      </c>
      <c r="AT7" s="20" t="s">
        <v>154</v>
      </c>
      <c r="AU7" s="20" t="s">
        <v>155</v>
      </c>
      <c r="AV7" s="20" t="s">
        <v>126</v>
      </c>
      <c r="AW7" s="20" t="s">
        <v>156</v>
      </c>
      <c r="AX7" s="20" t="s">
        <v>157</v>
      </c>
      <c r="AY7" s="20" t="s">
        <v>158</v>
      </c>
      <c r="AZ7" s="20" t="s">
        <v>159</v>
      </c>
      <c r="BA7" s="20">
        <v>73</v>
      </c>
      <c r="BB7" s="20" t="s">
        <v>440</v>
      </c>
      <c r="BC7" s="26" t="s">
        <v>161</v>
      </c>
      <c r="BD7" s="26" t="s">
        <v>81</v>
      </c>
      <c r="BE7" s="26">
        <v>0.5</v>
      </c>
      <c r="BF7" s="20" t="s">
        <v>110</v>
      </c>
      <c r="BG7" s="20" t="s">
        <v>162</v>
      </c>
      <c r="BH7" s="20" t="s">
        <v>80</v>
      </c>
      <c r="BI7" s="20" t="s">
        <v>108</v>
      </c>
      <c r="BJ7" s="27" t="s">
        <v>165</v>
      </c>
      <c r="BK7" s="27" t="s">
        <v>163</v>
      </c>
      <c r="BL7" s="27" t="s">
        <v>166</v>
      </c>
      <c r="BM7" s="27" t="s">
        <v>167</v>
      </c>
      <c r="BN7" s="41" t="s">
        <v>109</v>
      </c>
      <c r="BO7" s="26" t="s">
        <v>417</v>
      </c>
      <c r="BP7" s="26" t="s">
        <v>399</v>
      </c>
      <c r="BQ7" s="26" t="s">
        <v>168</v>
      </c>
      <c r="BR7" s="26" t="s">
        <v>398</v>
      </c>
      <c r="BS7" s="26" t="s">
        <v>83</v>
      </c>
      <c r="BT7" s="31" t="str">
        <f>MID($BO$7, 1, 4)</f>
        <v>37.0</v>
      </c>
      <c r="BU7" s="31" t="str">
        <f>MID($BO$7,6,3)</f>
        <v>0.2</v>
      </c>
      <c r="BV7" s="31" t="e">
        <f t="shared" ref="BV7:BV21" si="2">BT7-(BU7/2)</f>
        <v>#VALUE!</v>
      </c>
      <c r="BW7" s="31" t="e">
        <f t="shared" ref="BW7:BW21" si="3">BT7-BU7</f>
        <v>#VALUE!</v>
      </c>
      <c r="BX7" s="31" t="e">
        <f t="shared" ref="BX7:BX21" si="4">BT7+(BU7/2)</f>
        <v>#VALUE!</v>
      </c>
      <c r="BY7" s="31" t="e">
        <f t="shared" ref="BY7:BY21" si="5">BT7+BU7</f>
        <v>#VALUE!</v>
      </c>
      <c r="BZ7" s="31" t="str">
        <f t="shared" ref="BZ7:BZ41" si="6">MID(BQ7,1,3)</f>
        <v>2.2</v>
      </c>
      <c r="CA7" s="31" t="str">
        <f>MID(BQ7,5,3)</f>
        <v>0.1</v>
      </c>
      <c r="CB7" s="31" t="e">
        <f t="shared" ref="CB7:CB21" si="7">BZ7-(CA7/2)</f>
        <v>#VALUE!</v>
      </c>
      <c r="CC7" s="31" t="e">
        <f t="shared" ref="CC7:CC21" si="8">BZ7-CA7</f>
        <v>#VALUE!</v>
      </c>
      <c r="CD7" s="31" t="e">
        <f t="shared" ref="CD7:CD21" si="9">BZ7+(CA7/2)</f>
        <v>#VALUE!</v>
      </c>
      <c r="CE7" s="31" t="e">
        <f t="shared" ref="CE7:CE21" si="10">BZ7+CA7</f>
        <v>#VALUE!</v>
      </c>
      <c r="CF7" s="31" t="str">
        <f t="shared" ref="CF7:CF21" si="11">MID(BR7,1,3)</f>
        <v>4.9</v>
      </c>
      <c r="CG7" s="31" t="str">
        <f t="shared" ref="CG7:CG21" si="12">MID(BR7,5,3)</f>
        <v>0.1</v>
      </c>
      <c r="CH7" s="19" t="e">
        <f t="shared" ref="CH7:CH21" si="13">CF7-(CG7/2)</f>
        <v>#VALUE!</v>
      </c>
      <c r="CI7" s="31" t="e">
        <f t="shared" ref="CI7:CI21" si="14">CF7-CG7</f>
        <v>#VALUE!</v>
      </c>
      <c r="CJ7" s="31" t="e">
        <f t="shared" ref="CJ7:CJ21" si="15">CF7+(CG7/2)</f>
        <v>#VALUE!</v>
      </c>
      <c r="CK7" s="31" t="e">
        <f t="shared" ref="CK7:CK21" si="16">CF7+CG7</f>
        <v>#VALUE!</v>
      </c>
      <c r="CL7" s="28" t="s">
        <v>719</v>
      </c>
    </row>
    <row r="8" spans="1:90" s="28" customFormat="1">
      <c r="A8" s="19" t="str">
        <f t="shared" si="0"/>
        <v>1-3</v>
      </c>
      <c r="B8" s="20">
        <v>1</v>
      </c>
      <c r="C8" s="21" t="s">
        <v>133</v>
      </c>
      <c r="D8" s="20" t="s">
        <v>532</v>
      </c>
      <c r="E8" s="20" t="s">
        <v>137</v>
      </c>
      <c r="F8" s="20" t="s">
        <v>138</v>
      </c>
      <c r="G8" s="22">
        <v>3</v>
      </c>
      <c r="H8" s="23" t="s">
        <v>77</v>
      </c>
      <c r="I8" s="24" t="s">
        <v>425</v>
      </c>
      <c r="J8" s="23" t="str">
        <f t="shared" si="1"/>
        <v xml:space="preserve">Hose, Radiator; Ø 37 mm × 47 mm; TSB5501G-1E </v>
      </c>
      <c r="K8" s="23" t="s">
        <v>140</v>
      </c>
      <c r="L8" s="23" t="s">
        <v>141</v>
      </c>
      <c r="M8" s="23" t="s">
        <v>3</v>
      </c>
      <c r="N8" s="21" t="s">
        <v>142</v>
      </c>
      <c r="O8" s="21" t="s">
        <v>142</v>
      </c>
      <c r="P8" s="25" t="s">
        <v>111</v>
      </c>
      <c r="Q8" s="25" t="s">
        <v>111</v>
      </c>
      <c r="R8" s="40" t="s">
        <v>143</v>
      </c>
      <c r="S8" s="40" t="s">
        <v>144</v>
      </c>
      <c r="T8" s="26" t="s">
        <v>93</v>
      </c>
      <c r="U8" s="26" t="s">
        <v>94</v>
      </c>
      <c r="V8" s="26" t="s">
        <v>145</v>
      </c>
      <c r="W8" s="26" t="s">
        <v>146</v>
      </c>
      <c r="X8" s="26" t="s">
        <v>147</v>
      </c>
      <c r="Y8" s="26" t="s">
        <v>148</v>
      </c>
      <c r="Z8" s="26" t="s">
        <v>125</v>
      </c>
      <c r="AA8" s="26" t="s">
        <v>149</v>
      </c>
      <c r="AB8" s="20" t="s">
        <v>511</v>
      </c>
      <c r="AC8" s="20" t="s">
        <v>97</v>
      </c>
      <c r="AD8" s="20" t="s">
        <v>511</v>
      </c>
      <c r="AE8" s="20" t="s">
        <v>97</v>
      </c>
      <c r="AF8" s="26" t="s">
        <v>79</v>
      </c>
      <c r="AG8" s="26" t="s">
        <v>75</v>
      </c>
      <c r="AH8" s="26" t="s">
        <v>76</v>
      </c>
      <c r="AI8" s="26" t="s">
        <v>112</v>
      </c>
      <c r="AJ8" s="26" t="s">
        <v>76</v>
      </c>
      <c r="AK8" s="26" t="s">
        <v>79</v>
      </c>
      <c r="AL8" s="26" t="s">
        <v>75</v>
      </c>
      <c r="AM8" s="26" t="s">
        <v>112</v>
      </c>
      <c r="AN8" s="26" t="s">
        <v>5</v>
      </c>
      <c r="AO8" s="26" t="s">
        <v>76</v>
      </c>
      <c r="AP8" s="20" t="s">
        <v>150</v>
      </c>
      <c r="AQ8" s="20" t="s">
        <v>151</v>
      </c>
      <c r="AR8" s="20" t="s">
        <v>152</v>
      </c>
      <c r="AS8" s="20" t="s">
        <v>153</v>
      </c>
      <c r="AT8" s="20" t="s">
        <v>154</v>
      </c>
      <c r="AU8" s="20" t="s">
        <v>155</v>
      </c>
      <c r="AV8" s="20" t="s">
        <v>126</v>
      </c>
      <c r="AW8" s="20" t="s">
        <v>156</v>
      </c>
      <c r="AX8" s="20" t="s">
        <v>157</v>
      </c>
      <c r="AY8" s="20" t="s">
        <v>158</v>
      </c>
      <c r="AZ8" s="20" t="s">
        <v>159</v>
      </c>
      <c r="BA8" s="20">
        <v>73</v>
      </c>
      <c r="BB8" s="20" t="s">
        <v>440</v>
      </c>
      <c r="BC8" s="26" t="s">
        <v>161</v>
      </c>
      <c r="BD8" s="26" t="s">
        <v>81</v>
      </c>
      <c r="BE8" s="26">
        <v>0.5</v>
      </c>
      <c r="BF8" s="20" t="s">
        <v>424</v>
      </c>
      <c r="BG8" s="20" t="s">
        <v>426</v>
      </c>
      <c r="BH8" s="20" t="s">
        <v>5</v>
      </c>
      <c r="BI8" s="20" t="s">
        <v>108</v>
      </c>
      <c r="BJ8" s="27" t="s">
        <v>165</v>
      </c>
      <c r="BK8" s="27" t="s">
        <v>163</v>
      </c>
      <c r="BL8" s="27" t="s">
        <v>166</v>
      </c>
      <c r="BM8" s="27" t="s">
        <v>167</v>
      </c>
      <c r="BN8" s="41" t="s">
        <v>109</v>
      </c>
      <c r="BO8" s="26" t="s">
        <v>417</v>
      </c>
      <c r="BP8" s="26" t="s">
        <v>399</v>
      </c>
      <c r="BQ8" s="26" t="s">
        <v>168</v>
      </c>
      <c r="BR8" s="26" t="s">
        <v>398</v>
      </c>
      <c r="BS8" s="26" t="s">
        <v>83</v>
      </c>
      <c r="BT8" s="31" t="str">
        <f>MID($BO$7, 1, 4)</f>
        <v>37.0</v>
      </c>
      <c r="BU8" s="31" t="str">
        <f>MID($BO$7,6,3)</f>
        <v>0.2</v>
      </c>
      <c r="BV8" s="31" t="e">
        <f t="shared" si="2"/>
        <v>#VALUE!</v>
      </c>
      <c r="BW8" s="31" t="e">
        <f t="shared" si="3"/>
        <v>#VALUE!</v>
      </c>
      <c r="BX8" s="31" t="e">
        <f t="shared" si="4"/>
        <v>#VALUE!</v>
      </c>
      <c r="BY8" s="31" t="e">
        <f t="shared" si="5"/>
        <v>#VALUE!</v>
      </c>
      <c r="BZ8" s="31" t="str">
        <f t="shared" si="6"/>
        <v>2.2</v>
      </c>
      <c r="CA8" s="31" t="str">
        <f>MID(BQ8,5,3)</f>
        <v>0.1</v>
      </c>
      <c r="CB8" s="31" t="e">
        <f t="shared" si="7"/>
        <v>#VALUE!</v>
      </c>
      <c r="CC8" s="31" t="e">
        <f t="shared" si="8"/>
        <v>#VALUE!</v>
      </c>
      <c r="CD8" s="31" t="e">
        <f t="shared" si="9"/>
        <v>#VALUE!</v>
      </c>
      <c r="CE8" s="31" t="e">
        <f t="shared" si="10"/>
        <v>#VALUE!</v>
      </c>
      <c r="CF8" s="31" t="str">
        <f t="shared" si="11"/>
        <v>4.9</v>
      </c>
      <c r="CG8" s="31" t="str">
        <f t="shared" si="12"/>
        <v>0.1</v>
      </c>
      <c r="CH8" s="19" t="e">
        <f t="shared" si="13"/>
        <v>#VALUE!</v>
      </c>
      <c r="CI8" s="31" t="e">
        <f t="shared" si="14"/>
        <v>#VALUE!</v>
      </c>
      <c r="CJ8" s="31" t="e">
        <f t="shared" si="15"/>
        <v>#VALUE!</v>
      </c>
      <c r="CK8" s="31" t="e">
        <f t="shared" si="16"/>
        <v>#VALUE!</v>
      </c>
      <c r="CL8" s="28" t="s">
        <v>719</v>
      </c>
    </row>
    <row r="9" spans="1:90" s="28" customFormat="1">
      <c r="A9" s="19" t="str">
        <f t="shared" si="0"/>
        <v>2-1</v>
      </c>
      <c r="B9" s="20">
        <v>2</v>
      </c>
      <c r="C9" s="21" t="s">
        <v>133</v>
      </c>
      <c r="D9" s="20" t="s">
        <v>533</v>
      </c>
      <c r="E9" s="20" t="s">
        <v>171</v>
      </c>
      <c r="F9" s="20" t="s">
        <v>172</v>
      </c>
      <c r="G9" s="22">
        <v>1</v>
      </c>
      <c r="H9" s="23" t="s">
        <v>77</v>
      </c>
      <c r="I9" s="24" t="s">
        <v>139</v>
      </c>
      <c r="J9" s="23" t="str">
        <f t="shared" si="1"/>
        <v xml:space="preserve">Hose, Radiator; Ø 33 mm × 42 mm; TSB5501G-1E </v>
      </c>
      <c r="K9" s="23" t="s">
        <v>140</v>
      </c>
      <c r="L9" s="23" t="s">
        <v>173</v>
      </c>
      <c r="M9" s="23" t="s">
        <v>3</v>
      </c>
      <c r="N9" s="21" t="s">
        <v>142</v>
      </c>
      <c r="O9" s="21" t="s">
        <v>142</v>
      </c>
      <c r="P9" s="25" t="s">
        <v>111</v>
      </c>
      <c r="Q9" s="25" t="s">
        <v>111</v>
      </c>
      <c r="R9" s="40" t="s">
        <v>143</v>
      </c>
      <c r="S9" s="40" t="s">
        <v>174</v>
      </c>
      <c r="T9" s="26" t="s">
        <v>93</v>
      </c>
      <c r="U9" s="26" t="s">
        <v>94</v>
      </c>
      <c r="V9" s="26" t="s">
        <v>175</v>
      </c>
      <c r="W9" s="26" t="s">
        <v>176</v>
      </c>
      <c r="X9" s="26" t="s">
        <v>177</v>
      </c>
      <c r="Y9" s="26" t="s">
        <v>178</v>
      </c>
      <c r="Z9" s="26" t="s">
        <v>125</v>
      </c>
      <c r="AA9" s="26" t="s">
        <v>149</v>
      </c>
      <c r="AB9" s="20" t="s">
        <v>511</v>
      </c>
      <c r="AC9" s="20" t="s">
        <v>97</v>
      </c>
      <c r="AD9" s="20" t="s">
        <v>511</v>
      </c>
      <c r="AE9" s="20" t="s">
        <v>97</v>
      </c>
      <c r="AF9" s="26" t="s">
        <v>79</v>
      </c>
      <c r="AG9" s="26" t="s">
        <v>75</v>
      </c>
      <c r="AH9" s="26" t="s">
        <v>76</v>
      </c>
      <c r="AI9" s="26" t="s">
        <v>112</v>
      </c>
      <c r="AJ9" s="26" t="s">
        <v>76</v>
      </c>
      <c r="AK9" s="26" t="s">
        <v>79</v>
      </c>
      <c r="AL9" s="26" t="s">
        <v>75</v>
      </c>
      <c r="AM9" s="26" t="s">
        <v>112</v>
      </c>
      <c r="AN9" s="26" t="s">
        <v>5</v>
      </c>
      <c r="AO9" s="26" t="s">
        <v>76</v>
      </c>
      <c r="AP9" s="20" t="s">
        <v>179</v>
      </c>
      <c r="AQ9" s="20" t="s">
        <v>180</v>
      </c>
      <c r="AR9" s="20" t="s">
        <v>152</v>
      </c>
      <c r="AS9" s="20" t="s">
        <v>181</v>
      </c>
      <c r="AT9" s="20" t="s">
        <v>154</v>
      </c>
      <c r="AU9" s="20" t="s">
        <v>155</v>
      </c>
      <c r="AV9" s="20" t="s">
        <v>126</v>
      </c>
      <c r="AW9" s="20" t="s">
        <v>163</v>
      </c>
      <c r="AX9" s="20" t="s">
        <v>157</v>
      </c>
      <c r="AY9" s="20" t="s">
        <v>182</v>
      </c>
      <c r="AZ9" s="20" t="s">
        <v>183</v>
      </c>
      <c r="BA9" s="20">
        <v>73</v>
      </c>
      <c r="BB9" s="20" t="s">
        <v>440</v>
      </c>
      <c r="BC9" s="26" t="s">
        <v>184</v>
      </c>
      <c r="BD9" s="26" t="s">
        <v>185</v>
      </c>
      <c r="BE9" s="26">
        <v>0.5</v>
      </c>
      <c r="BF9" s="20" t="s">
        <v>110</v>
      </c>
      <c r="BG9" s="20" t="s">
        <v>162</v>
      </c>
      <c r="BH9" s="20" t="s">
        <v>80</v>
      </c>
      <c r="BI9" s="20" t="s">
        <v>108</v>
      </c>
      <c r="BJ9" s="27" t="s">
        <v>165</v>
      </c>
      <c r="BK9" s="27" t="s">
        <v>157</v>
      </c>
      <c r="BL9" s="27" t="s">
        <v>186</v>
      </c>
      <c r="BM9" s="27" t="s">
        <v>186</v>
      </c>
      <c r="BN9" s="41" t="s">
        <v>109</v>
      </c>
      <c r="BO9" s="26" t="s">
        <v>418</v>
      </c>
      <c r="BP9" s="26" t="s">
        <v>400</v>
      </c>
      <c r="BQ9" s="26" t="s">
        <v>187</v>
      </c>
      <c r="BR9" s="26" t="s">
        <v>114</v>
      </c>
      <c r="BS9" s="26" t="s">
        <v>83</v>
      </c>
      <c r="BT9" s="31" t="str">
        <f>MID($BO$9, 1, 4)</f>
        <v>33.0</v>
      </c>
      <c r="BU9" s="31" t="str">
        <f>MID($BO$9,6,3)</f>
        <v>0.2</v>
      </c>
      <c r="BV9" s="31" t="e">
        <f t="shared" si="2"/>
        <v>#VALUE!</v>
      </c>
      <c r="BW9" s="31" t="e">
        <f t="shared" si="3"/>
        <v>#VALUE!</v>
      </c>
      <c r="BX9" s="31" t="e">
        <f t="shared" si="4"/>
        <v>#VALUE!</v>
      </c>
      <c r="BY9" s="31" t="e">
        <f t="shared" si="5"/>
        <v>#VALUE!</v>
      </c>
      <c r="BZ9" s="31" t="str">
        <f t="shared" si="6"/>
        <v>2.0</v>
      </c>
      <c r="CA9" s="31" t="str">
        <f>MID(BQ9,5,3)</f>
        <v>0.1</v>
      </c>
      <c r="CB9" s="31" t="e">
        <f t="shared" si="7"/>
        <v>#VALUE!</v>
      </c>
      <c r="CC9" s="31" t="e">
        <f t="shared" si="8"/>
        <v>#VALUE!</v>
      </c>
      <c r="CD9" s="31" t="e">
        <f t="shared" si="9"/>
        <v>#VALUE!</v>
      </c>
      <c r="CE9" s="31" t="e">
        <f t="shared" si="10"/>
        <v>#VALUE!</v>
      </c>
      <c r="CF9" s="31" t="str">
        <f t="shared" si="11"/>
        <v>4.3</v>
      </c>
      <c r="CG9" s="31" t="str">
        <f t="shared" si="12"/>
        <v>0.1</v>
      </c>
      <c r="CH9" s="19" t="e">
        <f t="shared" si="13"/>
        <v>#VALUE!</v>
      </c>
      <c r="CI9" s="31" t="e">
        <f t="shared" si="14"/>
        <v>#VALUE!</v>
      </c>
      <c r="CJ9" s="31" t="e">
        <f t="shared" si="15"/>
        <v>#VALUE!</v>
      </c>
      <c r="CK9" s="31" t="e">
        <f t="shared" si="16"/>
        <v>#VALUE!</v>
      </c>
      <c r="CL9" s="28" t="s">
        <v>717</v>
      </c>
    </row>
    <row r="10" spans="1:90" s="28" customFormat="1">
      <c r="A10" s="19" t="str">
        <f t="shared" si="0"/>
        <v>3-1</v>
      </c>
      <c r="B10" s="20">
        <v>3</v>
      </c>
      <c r="C10" s="21" t="s">
        <v>133</v>
      </c>
      <c r="D10" s="20" t="s">
        <v>534</v>
      </c>
      <c r="E10" s="20" t="s">
        <v>189</v>
      </c>
      <c r="F10" s="20" t="s">
        <v>190</v>
      </c>
      <c r="G10" s="22">
        <v>1</v>
      </c>
      <c r="H10" s="23" t="s">
        <v>191</v>
      </c>
      <c r="I10" s="24" t="s">
        <v>139</v>
      </c>
      <c r="J10" s="23" t="str">
        <f t="shared" si="1"/>
        <v xml:space="preserve">Hose, Radiator; Ø 31 mm × 39 mm; TSB5501G-1F </v>
      </c>
      <c r="K10" s="23" t="s">
        <v>140</v>
      </c>
      <c r="L10" s="23" t="s">
        <v>192</v>
      </c>
      <c r="M10" s="23" t="s">
        <v>193</v>
      </c>
      <c r="N10" s="21" t="s">
        <v>194</v>
      </c>
      <c r="O10" s="21" t="s">
        <v>194</v>
      </c>
      <c r="P10" s="25" t="s">
        <v>111</v>
      </c>
      <c r="Q10" s="25" t="s">
        <v>111</v>
      </c>
      <c r="R10" s="40" t="s">
        <v>143</v>
      </c>
      <c r="S10" s="40" t="s">
        <v>195</v>
      </c>
      <c r="T10" s="26" t="s">
        <v>93</v>
      </c>
      <c r="U10" s="26" t="s">
        <v>94</v>
      </c>
      <c r="V10" s="26" t="s">
        <v>196</v>
      </c>
      <c r="W10" s="26" t="s">
        <v>197</v>
      </c>
      <c r="X10" s="26" t="s">
        <v>198</v>
      </c>
      <c r="Y10" s="26" t="s">
        <v>199</v>
      </c>
      <c r="Z10" s="26" t="s">
        <v>78</v>
      </c>
      <c r="AA10" s="26" t="s">
        <v>149</v>
      </c>
      <c r="AB10" s="20" t="s">
        <v>511</v>
      </c>
      <c r="AC10" s="20" t="s">
        <v>97</v>
      </c>
      <c r="AD10" s="20" t="s">
        <v>511</v>
      </c>
      <c r="AE10" s="20" t="s">
        <v>97</v>
      </c>
      <c r="AF10" s="26" t="s">
        <v>79</v>
      </c>
      <c r="AG10" s="26" t="s">
        <v>75</v>
      </c>
      <c r="AH10" s="26" t="s">
        <v>76</v>
      </c>
      <c r="AI10" s="26" t="s">
        <v>112</v>
      </c>
      <c r="AJ10" s="26" t="s">
        <v>76</v>
      </c>
      <c r="AK10" s="26" t="s">
        <v>79</v>
      </c>
      <c r="AL10" s="26" t="s">
        <v>75</v>
      </c>
      <c r="AM10" s="26" t="s">
        <v>76</v>
      </c>
      <c r="AN10" s="26" t="s">
        <v>5</v>
      </c>
      <c r="AO10" s="26" t="s">
        <v>76</v>
      </c>
      <c r="AP10" s="20" t="s">
        <v>200</v>
      </c>
      <c r="AQ10" s="20" t="s">
        <v>201</v>
      </c>
      <c r="AR10" s="20" t="s">
        <v>152</v>
      </c>
      <c r="AS10" s="20" t="s">
        <v>202</v>
      </c>
      <c r="AT10" s="20" t="s">
        <v>203</v>
      </c>
      <c r="AU10" s="20" t="s">
        <v>204</v>
      </c>
      <c r="AV10" s="20" t="s">
        <v>132</v>
      </c>
      <c r="AW10" s="20" t="s">
        <v>205</v>
      </c>
      <c r="AX10" s="20" t="s">
        <v>156</v>
      </c>
      <c r="AY10" s="20" t="s">
        <v>182</v>
      </c>
      <c r="AZ10" s="20" t="s">
        <v>183</v>
      </c>
      <c r="BA10" s="20">
        <v>77</v>
      </c>
      <c r="BB10" s="20" t="s">
        <v>441</v>
      </c>
      <c r="BC10" s="26" t="s">
        <v>206</v>
      </c>
      <c r="BD10" s="26" t="s">
        <v>207</v>
      </c>
      <c r="BE10" s="26">
        <v>0.5</v>
      </c>
      <c r="BF10" s="20" t="s">
        <v>110</v>
      </c>
      <c r="BG10" s="20" t="s">
        <v>162</v>
      </c>
      <c r="BH10" s="20" t="s">
        <v>80</v>
      </c>
      <c r="BI10" s="20" t="s">
        <v>108</v>
      </c>
      <c r="BJ10" s="27" t="s">
        <v>165</v>
      </c>
      <c r="BK10" s="27" t="s">
        <v>208</v>
      </c>
      <c r="BL10" s="27" t="s">
        <v>209</v>
      </c>
      <c r="BM10" s="27" t="s">
        <v>209</v>
      </c>
      <c r="BN10" s="41" t="s">
        <v>109</v>
      </c>
      <c r="BO10" s="26" t="s">
        <v>401</v>
      </c>
      <c r="BP10" s="26" t="s">
        <v>402</v>
      </c>
      <c r="BQ10" s="26" t="s">
        <v>212</v>
      </c>
      <c r="BR10" s="26" t="s">
        <v>81</v>
      </c>
      <c r="BS10" s="26" t="s">
        <v>83</v>
      </c>
      <c r="BT10" s="31" t="str">
        <f>MID($BO$10, 1, 4)</f>
        <v>29.6</v>
      </c>
      <c r="BU10" s="31" t="str">
        <f>MID($BO$10,6,3)</f>
        <v>0.2</v>
      </c>
      <c r="BV10" s="31" t="e">
        <f t="shared" si="2"/>
        <v>#VALUE!</v>
      </c>
      <c r="BW10" s="31" t="e">
        <f t="shared" si="3"/>
        <v>#VALUE!</v>
      </c>
      <c r="BX10" s="31" t="e">
        <f t="shared" si="4"/>
        <v>#VALUE!</v>
      </c>
      <c r="BY10" s="31" t="e">
        <f t="shared" si="5"/>
        <v>#VALUE!</v>
      </c>
      <c r="BZ10" s="31" t="str">
        <f t="shared" si="6"/>
        <v>1.9</v>
      </c>
      <c r="CA10" s="31" t="str">
        <f>MID(BQ10,8,3)</f>
        <v>0.1</v>
      </c>
      <c r="CB10" s="31" t="e">
        <f t="shared" si="7"/>
        <v>#VALUE!</v>
      </c>
      <c r="CC10" s="31" t="e">
        <f t="shared" si="8"/>
        <v>#VALUE!</v>
      </c>
      <c r="CD10" s="31" t="e">
        <f t="shared" si="9"/>
        <v>#VALUE!</v>
      </c>
      <c r="CE10" s="31" t="e">
        <f t="shared" si="10"/>
        <v>#VALUE!</v>
      </c>
      <c r="CF10" s="31" t="str">
        <f t="shared" si="11"/>
        <v>3.8</v>
      </c>
      <c r="CG10" s="31" t="str">
        <f t="shared" si="12"/>
        <v>0.1</v>
      </c>
      <c r="CH10" s="19" t="e">
        <f t="shared" si="13"/>
        <v>#VALUE!</v>
      </c>
      <c r="CI10" s="31" t="e">
        <f t="shared" si="14"/>
        <v>#VALUE!</v>
      </c>
      <c r="CJ10" s="31" t="e">
        <f t="shared" si="15"/>
        <v>#VALUE!</v>
      </c>
      <c r="CK10" s="31" t="e">
        <f t="shared" si="16"/>
        <v>#VALUE!</v>
      </c>
      <c r="CL10" s="28" t="s">
        <v>716</v>
      </c>
    </row>
    <row r="11" spans="1:90" s="28" customFormat="1">
      <c r="A11" s="19" t="str">
        <f t="shared" si="0"/>
        <v>4-1</v>
      </c>
      <c r="B11" s="20">
        <v>4</v>
      </c>
      <c r="C11" s="21" t="s">
        <v>133</v>
      </c>
      <c r="D11" s="20" t="s">
        <v>535</v>
      </c>
      <c r="E11" s="20" t="s">
        <v>215</v>
      </c>
      <c r="F11" s="20" t="s">
        <v>216</v>
      </c>
      <c r="G11" s="22">
        <v>1</v>
      </c>
      <c r="H11" s="23" t="s">
        <v>191</v>
      </c>
      <c r="I11" s="24" t="s">
        <v>127</v>
      </c>
      <c r="J11" s="23" t="str">
        <f t="shared" si="1"/>
        <v xml:space="preserve">Hose, Radiator; Ø 30 mm × 38 mm; TSB5501G-1F </v>
      </c>
      <c r="K11" s="23" t="s">
        <v>140</v>
      </c>
      <c r="L11" s="23" t="s">
        <v>217</v>
      </c>
      <c r="M11" s="23" t="s">
        <v>193</v>
      </c>
      <c r="N11" s="21" t="s">
        <v>194</v>
      </c>
      <c r="O11" s="21" t="s">
        <v>194</v>
      </c>
      <c r="P11" s="25" t="s">
        <v>111</v>
      </c>
      <c r="Q11" s="25" t="s">
        <v>111</v>
      </c>
      <c r="R11" s="40" t="s">
        <v>143</v>
      </c>
      <c r="S11" s="40" t="s">
        <v>218</v>
      </c>
      <c r="T11" s="26" t="s">
        <v>93</v>
      </c>
      <c r="U11" s="26" t="s">
        <v>94</v>
      </c>
      <c r="V11" s="26" t="s">
        <v>196</v>
      </c>
      <c r="W11" s="26" t="s">
        <v>197</v>
      </c>
      <c r="X11" s="26" t="s">
        <v>198</v>
      </c>
      <c r="Y11" s="26" t="s">
        <v>199</v>
      </c>
      <c r="Z11" s="26" t="s">
        <v>78</v>
      </c>
      <c r="AA11" s="26" t="s">
        <v>149</v>
      </c>
      <c r="AB11" s="20" t="s">
        <v>511</v>
      </c>
      <c r="AC11" s="20" t="s">
        <v>97</v>
      </c>
      <c r="AD11" s="20" t="s">
        <v>511</v>
      </c>
      <c r="AE11" s="20" t="s">
        <v>97</v>
      </c>
      <c r="AF11" s="26" t="s">
        <v>79</v>
      </c>
      <c r="AG11" s="26" t="s">
        <v>75</v>
      </c>
      <c r="AH11" s="26" t="s">
        <v>76</v>
      </c>
      <c r="AI11" s="26" t="s">
        <v>112</v>
      </c>
      <c r="AJ11" s="26" t="s">
        <v>76</v>
      </c>
      <c r="AK11" s="26" t="s">
        <v>79</v>
      </c>
      <c r="AL11" s="26" t="s">
        <v>75</v>
      </c>
      <c r="AM11" s="26" t="s">
        <v>76</v>
      </c>
      <c r="AN11" s="26" t="s">
        <v>5</v>
      </c>
      <c r="AO11" s="26" t="s">
        <v>76</v>
      </c>
      <c r="AP11" s="20" t="s">
        <v>200</v>
      </c>
      <c r="AQ11" s="20" t="s">
        <v>201</v>
      </c>
      <c r="AR11" s="20" t="s">
        <v>152</v>
      </c>
      <c r="AS11" s="20" t="s">
        <v>202</v>
      </c>
      <c r="AT11" s="20" t="s">
        <v>203</v>
      </c>
      <c r="AU11" s="20" t="s">
        <v>204</v>
      </c>
      <c r="AV11" s="20" t="s">
        <v>132</v>
      </c>
      <c r="AW11" s="20" t="s">
        <v>205</v>
      </c>
      <c r="AX11" s="20" t="s">
        <v>156</v>
      </c>
      <c r="AY11" s="20" t="s">
        <v>182</v>
      </c>
      <c r="AZ11" s="20" t="s">
        <v>183</v>
      </c>
      <c r="BA11" s="20">
        <v>73</v>
      </c>
      <c r="BB11" s="20" t="s">
        <v>440</v>
      </c>
      <c r="BC11" s="26" t="s">
        <v>206</v>
      </c>
      <c r="BD11" s="26" t="s">
        <v>207</v>
      </c>
      <c r="BE11" s="26">
        <v>0.5</v>
      </c>
      <c r="BF11" s="20" t="s">
        <v>110</v>
      </c>
      <c r="BG11" s="20" t="s">
        <v>162</v>
      </c>
      <c r="BH11" s="20" t="s">
        <v>80</v>
      </c>
      <c r="BI11" s="20" t="s">
        <v>108</v>
      </c>
      <c r="BJ11" s="27" t="s">
        <v>165</v>
      </c>
      <c r="BK11" s="27" t="s">
        <v>208</v>
      </c>
      <c r="BL11" s="27" t="s">
        <v>209</v>
      </c>
      <c r="BM11" s="27" t="s">
        <v>209</v>
      </c>
      <c r="BN11" s="41" t="s">
        <v>109</v>
      </c>
      <c r="BO11" s="26" t="s">
        <v>401</v>
      </c>
      <c r="BP11" s="26" t="s">
        <v>402</v>
      </c>
      <c r="BQ11" s="26" t="s">
        <v>212</v>
      </c>
      <c r="BR11" s="26" t="s">
        <v>81</v>
      </c>
      <c r="BS11" s="26" t="s">
        <v>83</v>
      </c>
      <c r="BT11" s="31" t="str">
        <f>MID($BO$11, 1, 4)</f>
        <v>29.6</v>
      </c>
      <c r="BU11" s="31" t="str">
        <f>MID($BO$11,6,3)</f>
        <v>0.2</v>
      </c>
      <c r="BV11" s="31" t="e">
        <f t="shared" si="2"/>
        <v>#VALUE!</v>
      </c>
      <c r="BW11" s="31" t="e">
        <f t="shared" si="3"/>
        <v>#VALUE!</v>
      </c>
      <c r="BX11" s="31" t="e">
        <f t="shared" si="4"/>
        <v>#VALUE!</v>
      </c>
      <c r="BY11" s="31" t="e">
        <f t="shared" si="5"/>
        <v>#VALUE!</v>
      </c>
      <c r="BZ11" s="31" t="str">
        <f t="shared" si="6"/>
        <v>1.9</v>
      </c>
      <c r="CA11" s="31" t="str">
        <f>MID(BQ11,8,3)</f>
        <v>0.1</v>
      </c>
      <c r="CB11" s="31" t="e">
        <f t="shared" si="7"/>
        <v>#VALUE!</v>
      </c>
      <c r="CC11" s="31" t="e">
        <f t="shared" si="8"/>
        <v>#VALUE!</v>
      </c>
      <c r="CD11" s="31" t="e">
        <f t="shared" si="9"/>
        <v>#VALUE!</v>
      </c>
      <c r="CE11" s="31" t="e">
        <f t="shared" si="10"/>
        <v>#VALUE!</v>
      </c>
      <c r="CF11" s="31" t="str">
        <f t="shared" si="11"/>
        <v>3.8</v>
      </c>
      <c r="CG11" s="31" t="str">
        <f t="shared" si="12"/>
        <v>0.1</v>
      </c>
      <c r="CH11" s="19" t="e">
        <f t="shared" si="13"/>
        <v>#VALUE!</v>
      </c>
      <c r="CI11" s="31" t="e">
        <f t="shared" si="14"/>
        <v>#VALUE!</v>
      </c>
      <c r="CJ11" s="31" t="e">
        <f t="shared" si="15"/>
        <v>#VALUE!</v>
      </c>
      <c r="CK11" s="31" t="e">
        <f t="shared" si="16"/>
        <v>#VALUE!</v>
      </c>
      <c r="CL11" s="28" t="s">
        <v>715</v>
      </c>
    </row>
    <row r="12" spans="1:90" s="28" customFormat="1">
      <c r="A12" s="19" t="str">
        <f t="shared" si="0"/>
        <v>5-1</v>
      </c>
      <c r="B12" s="20">
        <v>5</v>
      </c>
      <c r="C12" s="21" t="s">
        <v>133</v>
      </c>
      <c r="D12" s="20" t="s">
        <v>536</v>
      </c>
      <c r="E12" s="20" t="s">
        <v>428</v>
      </c>
      <c r="F12" s="20" t="s">
        <v>429</v>
      </c>
      <c r="G12" s="22">
        <v>1</v>
      </c>
      <c r="H12" s="23" t="s">
        <v>77</v>
      </c>
      <c r="I12" s="24" t="s">
        <v>219</v>
      </c>
      <c r="J12" s="23" t="str">
        <f t="shared" si="1"/>
        <v xml:space="preserve">Hose, Radiator; Ø 30 mm × 38 mm; TSB5501G-1E </v>
      </c>
      <c r="K12" s="23" t="s">
        <v>140</v>
      </c>
      <c r="L12" s="23" t="s">
        <v>217</v>
      </c>
      <c r="M12" s="23" t="s">
        <v>3</v>
      </c>
      <c r="N12" s="21" t="s">
        <v>142</v>
      </c>
      <c r="O12" s="21" t="s">
        <v>142</v>
      </c>
      <c r="P12" s="25" t="s">
        <v>111</v>
      </c>
      <c r="Q12" s="25" t="s">
        <v>111</v>
      </c>
      <c r="R12" s="40" t="s">
        <v>143</v>
      </c>
      <c r="S12" s="40" t="s">
        <v>195</v>
      </c>
      <c r="T12" s="26" t="s">
        <v>93</v>
      </c>
      <c r="U12" s="26" t="s">
        <v>94</v>
      </c>
      <c r="V12" s="26" t="s">
        <v>220</v>
      </c>
      <c r="W12" s="26" t="s">
        <v>175</v>
      </c>
      <c r="X12" s="26" t="s">
        <v>198</v>
      </c>
      <c r="Y12" s="26" t="s">
        <v>221</v>
      </c>
      <c r="Z12" s="26" t="s">
        <v>222</v>
      </c>
      <c r="AA12" s="26" t="s">
        <v>149</v>
      </c>
      <c r="AB12" s="20" t="s">
        <v>511</v>
      </c>
      <c r="AC12" s="20" t="s">
        <v>97</v>
      </c>
      <c r="AD12" s="20" t="s">
        <v>511</v>
      </c>
      <c r="AE12" s="20" t="s">
        <v>97</v>
      </c>
      <c r="AF12" s="26" t="s">
        <v>79</v>
      </c>
      <c r="AG12" s="26" t="s">
        <v>75</v>
      </c>
      <c r="AH12" s="26" t="s">
        <v>76</v>
      </c>
      <c r="AI12" s="26" t="s">
        <v>112</v>
      </c>
      <c r="AJ12" s="26" t="s">
        <v>76</v>
      </c>
      <c r="AK12" s="26" t="s">
        <v>79</v>
      </c>
      <c r="AL12" s="26" t="s">
        <v>75</v>
      </c>
      <c r="AM12" s="26" t="s">
        <v>112</v>
      </c>
      <c r="AN12" s="26" t="s">
        <v>5</v>
      </c>
      <c r="AO12" s="26" t="s">
        <v>76</v>
      </c>
      <c r="AP12" s="20" t="s">
        <v>200</v>
      </c>
      <c r="AQ12" s="20" t="s">
        <v>223</v>
      </c>
      <c r="AR12" s="20" t="s">
        <v>152</v>
      </c>
      <c r="AS12" s="20" t="s">
        <v>181</v>
      </c>
      <c r="AT12" s="20" t="s">
        <v>224</v>
      </c>
      <c r="AU12" s="20" t="s">
        <v>155</v>
      </c>
      <c r="AV12" s="20" t="s">
        <v>126</v>
      </c>
      <c r="AW12" s="20" t="s">
        <v>156</v>
      </c>
      <c r="AX12" s="20" t="s">
        <v>156</v>
      </c>
      <c r="AY12" s="20" t="s">
        <v>182</v>
      </c>
      <c r="AZ12" s="20" t="s">
        <v>183</v>
      </c>
      <c r="BA12" s="20">
        <v>73</v>
      </c>
      <c r="BB12" s="20" t="s">
        <v>440</v>
      </c>
      <c r="BC12" s="26" t="s">
        <v>225</v>
      </c>
      <c r="BD12" s="26" t="s">
        <v>226</v>
      </c>
      <c r="BE12" s="26">
        <v>0.5</v>
      </c>
      <c r="BF12" s="20" t="s">
        <v>110</v>
      </c>
      <c r="BG12" s="20" t="s">
        <v>162</v>
      </c>
      <c r="BH12" s="20" t="s">
        <v>80</v>
      </c>
      <c r="BI12" s="20" t="s">
        <v>108</v>
      </c>
      <c r="BJ12" s="27" t="s">
        <v>165</v>
      </c>
      <c r="BK12" s="27" t="s">
        <v>227</v>
      </c>
      <c r="BL12" s="27" t="s">
        <v>228</v>
      </c>
      <c r="BM12" s="27" t="s">
        <v>228</v>
      </c>
      <c r="BN12" s="41" t="s">
        <v>109</v>
      </c>
      <c r="BO12" s="26" t="s">
        <v>401</v>
      </c>
      <c r="BP12" s="26" t="s">
        <v>213</v>
      </c>
      <c r="BQ12" s="26" t="s">
        <v>229</v>
      </c>
      <c r="BR12" s="26" t="s">
        <v>185</v>
      </c>
      <c r="BS12" s="26" t="s">
        <v>83</v>
      </c>
      <c r="BT12" s="31" t="str">
        <f>MID($BO$12, 1, 4)</f>
        <v>29.6</v>
      </c>
      <c r="BU12" s="31" t="str">
        <f>MID($BO$12,6,3)</f>
        <v>0.2</v>
      </c>
      <c r="BV12" s="31" t="e">
        <f t="shared" si="2"/>
        <v>#VALUE!</v>
      </c>
      <c r="BW12" s="31" t="e">
        <f t="shared" si="3"/>
        <v>#VALUE!</v>
      </c>
      <c r="BX12" s="31" t="e">
        <f t="shared" si="4"/>
        <v>#VALUE!</v>
      </c>
      <c r="BY12" s="31" t="e">
        <f t="shared" si="5"/>
        <v>#VALUE!</v>
      </c>
      <c r="BZ12" s="31" t="str">
        <f t="shared" si="6"/>
        <v>1.7</v>
      </c>
      <c r="CA12" s="31" t="str">
        <f>MID(BQ12,8,3)</f>
        <v>0.1</v>
      </c>
      <c r="CB12" s="31" t="e">
        <f t="shared" si="7"/>
        <v>#VALUE!</v>
      </c>
      <c r="CC12" s="31" t="e">
        <f t="shared" si="8"/>
        <v>#VALUE!</v>
      </c>
      <c r="CD12" s="31" t="e">
        <f t="shared" si="9"/>
        <v>#VALUE!</v>
      </c>
      <c r="CE12" s="31" t="e">
        <f t="shared" si="10"/>
        <v>#VALUE!</v>
      </c>
      <c r="CF12" s="31" t="str">
        <f t="shared" si="11"/>
        <v>3.7</v>
      </c>
      <c r="CG12" s="31" t="str">
        <f t="shared" si="12"/>
        <v>0.1</v>
      </c>
      <c r="CH12" s="19" t="e">
        <f t="shared" si="13"/>
        <v>#VALUE!</v>
      </c>
      <c r="CI12" s="31" t="e">
        <f t="shared" si="14"/>
        <v>#VALUE!</v>
      </c>
      <c r="CJ12" s="31" t="e">
        <f t="shared" si="15"/>
        <v>#VALUE!</v>
      </c>
      <c r="CK12" s="31" t="e">
        <f t="shared" si="16"/>
        <v>#VALUE!</v>
      </c>
      <c r="CL12" s="28" t="s">
        <v>714</v>
      </c>
    </row>
    <row r="13" spans="1:90" s="28" customFormat="1">
      <c r="A13" s="19" t="str">
        <f t="shared" si="0"/>
        <v>6-1</v>
      </c>
      <c r="B13" s="20">
        <v>6</v>
      </c>
      <c r="C13" s="21" t="s">
        <v>133</v>
      </c>
      <c r="D13" s="20" t="s">
        <v>537</v>
      </c>
      <c r="E13" s="20" t="s">
        <v>231</v>
      </c>
      <c r="F13" s="20" t="s">
        <v>232</v>
      </c>
      <c r="G13" s="22">
        <v>1</v>
      </c>
      <c r="H13" s="23" t="s">
        <v>191</v>
      </c>
      <c r="I13" s="24" t="s">
        <v>139</v>
      </c>
      <c r="J13" s="23" t="str">
        <f t="shared" si="1"/>
        <v xml:space="preserve">Hose, Radiator; Ø 24 mm × 31 mm; TSB5501G-1F </v>
      </c>
      <c r="K13" s="23" t="s">
        <v>140</v>
      </c>
      <c r="L13" s="23" t="s">
        <v>233</v>
      </c>
      <c r="M13" s="23" t="s">
        <v>193</v>
      </c>
      <c r="N13" s="21" t="s">
        <v>194</v>
      </c>
      <c r="O13" s="21" t="s">
        <v>194</v>
      </c>
      <c r="P13" s="25" t="s">
        <v>111</v>
      </c>
      <c r="Q13" s="25" t="s">
        <v>111</v>
      </c>
      <c r="R13" s="40" t="s">
        <v>143</v>
      </c>
      <c r="S13" s="40" t="s">
        <v>234</v>
      </c>
      <c r="T13" s="26" t="s">
        <v>93</v>
      </c>
      <c r="U13" s="26" t="s">
        <v>94</v>
      </c>
      <c r="V13" s="26" t="s">
        <v>235</v>
      </c>
      <c r="W13" s="26" t="s">
        <v>236</v>
      </c>
      <c r="X13" s="26" t="s">
        <v>237</v>
      </c>
      <c r="Y13" s="26" t="s">
        <v>238</v>
      </c>
      <c r="Z13" s="26" t="s">
        <v>78</v>
      </c>
      <c r="AA13" s="26" t="s">
        <v>149</v>
      </c>
      <c r="AB13" s="20" t="s">
        <v>511</v>
      </c>
      <c r="AC13" s="20" t="s">
        <v>97</v>
      </c>
      <c r="AD13" s="20" t="s">
        <v>511</v>
      </c>
      <c r="AE13" s="20" t="s">
        <v>97</v>
      </c>
      <c r="AF13" s="26" t="s">
        <v>79</v>
      </c>
      <c r="AG13" s="26" t="s">
        <v>75</v>
      </c>
      <c r="AH13" s="26" t="s">
        <v>76</v>
      </c>
      <c r="AI13" s="26" t="s">
        <v>76</v>
      </c>
      <c r="AJ13" s="26" t="s">
        <v>76</v>
      </c>
      <c r="AK13" s="26" t="s">
        <v>79</v>
      </c>
      <c r="AL13" s="26" t="s">
        <v>75</v>
      </c>
      <c r="AM13" s="26" t="s">
        <v>76</v>
      </c>
      <c r="AN13" s="26" t="s">
        <v>5</v>
      </c>
      <c r="AO13" s="26" t="s">
        <v>76</v>
      </c>
      <c r="AP13" s="20" t="s">
        <v>239</v>
      </c>
      <c r="AQ13" s="20" t="s">
        <v>240</v>
      </c>
      <c r="AR13" s="20" t="s">
        <v>241</v>
      </c>
      <c r="AS13" s="20" t="s">
        <v>202</v>
      </c>
      <c r="AT13" s="20" t="s">
        <v>242</v>
      </c>
      <c r="AU13" s="20" t="s">
        <v>243</v>
      </c>
      <c r="AV13" s="20" t="s">
        <v>132</v>
      </c>
      <c r="AW13" s="20" t="s">
        <v>156</v>
      </c>
      <c r="AX13" s="20" t="s">
        <v>205</v>
      </c>
      <c r="AY13" s="20" t="s">
        <v>182</v>
      </c>
      <c r="AZ13" s="20" t="s">
        <v>183</v>
      </c>
      <c r="BA13" s="20">
        <v>73</v>
      </c>
      <c r="BB13" s="20" t="s">
        <v>440</v>
      </c>
      <c r="BC13" s="26" t="s">
        <v>244</v>
      </c>
      <c r="BD13" s="26" t="s">
        <v>245</v>
      </c>
      <c r="BE13" s="26">
        <v>0.5</v>
      </c>
      <c r="BF13" s="20" t="s">
        <v>110</v>
      </c>
      <c r="BG13" s="20" t="s">
        <v>162</v>
      </c>
      <c r="BH13" s="20" t="s">
        <v>80</v>
      </c>
      <c r="BI13" s="20" t="s">
        <v>108</v>
      </c>
      <c r="BJ13" s="27" t="s">
        <v>165</v>
      </c>
      <c r="BK13" s="27" t="s">
        <v>246</v>
      </c>
      <c r="BL13" s="27" t="s">
        <v>247</v>
      </c>
      <c r="BM13" s="27" t="s">
        <v>248</v>
      </c>
      <c r="BN13" s="41" t="s">
        <v>109</v>
      </c>
      <c r="BO13" s="26" t="s">
        <v>403</v>
      </c>
      <c r="BP13" s="26" t="s">
        <v>176</v>
      </c>
      <c r="BQ13" s="26" t="s">
        <v>249</v>
      </c>
      <c r="BR13" s="26" t="s">
        <v>250</v>
      </c>
      <c r="BS13" s="26" t="s">
        <v>83</v>
      </c>
      <c r="BT13" s="31" t="str">
        <f>MID($BO$13, 1, 4)</f>
        <v>23.9</v>
      </c>
      <c r="BU13" s="31" t="str">
        <f>MID($BO$13,6,3)</f>
        <v>0.2</v>
      </c>
      <c r="BV13" s="31" t="e">
        <f t="shared" si="2"/>
        <v>#VALUE!</v>
      </c>
      <c r="BW13" s="31" t="e">
        <f t="shared" si="3"/>
        <v>#VALUE!</v>
      </c>
      <c r="BX13" s="31" t="e">
        <f t="shared" si="4"/>
        <v>#VALUE!</v>
      </c>
      <c r="BY13" s="31" t="e">
        <f t="shared" si="5"/>
        <v>#VALUE!</v>
      </c>
      <c r="BZ13" s="31" t="str">
        <f t="shared" si="6"/>
        <v>1.8</v>
      </c>
      <c r="CA13" s="31" t="str">
        <f>MID(BQ13,8,3)</f>
        <v>0.1</v>
      </c>
      <c r="CB13" s="31" t="e">
        <f t="shared" si="7"/>
        <v>#VALUE!</v>
      </c>
      <c r="CC13" s="31" t="e">
        <f t="shared" si="8"/>
        <v>#VALUE!</v>
      </c>
      <c r="CD13" s="31" t="e">
        <f t="shared" si="9"/>
        <v>#VALUE!</v>
      </c>
      <c r="CE13" s="31" t="e">
        <f t="shared" si="10"/>
        <v>#VALUE!</v>
      </c>
      <c r="CF13" s="31" t="str">
        <f t="shared" si="11"/>
        <v>3.5</v>
      </c>
      <c r="CG13" s="31" t="str">
        <f t="shared" si="12"/>
        <v>0.1</v>
      </c>
      <c r="CH13" s="19" t="e">
        <f t="shared" si="13"/>
        <v>#VALUE!</v>
      </c>
      <c r="CI13" s="31" t="e">
        <f t="shared" si="14"/>
        <v>#VALUE!</v>
      </c>
      <c r="CJ13" s="31" t="e">
        <f t="shared" si="15"/>
        <v>#VALUE!</v>
      </c>
      <c r="CK13" s="31" t="e">
        <f t="shared" si="16"/>
        <v>#VALUE!</v>
      </c>
      <c r="CL13" s="28" t="s">
        <v>712</v>
      </c>
    </row>
    <row r="14" spans="1:90" s="28" customFormat="1">
      <c r="A14" s="19" t="str">
        <f t="shared" si="0"/>
        <v>7-1</v>
      </c>
      <c r="B14" s="20">
        <v>7</v>
      </c>
      <c r="C14" s="21" t="s">
        <v>133</v>
      </c>
      <c r="D14" s="20" t="s">
        <v>538</v>
      </c>
      <c r="E14" s="20" t="s">
        <v>253</v>
      </c>
      <c r="F14" s="20" t="s">
        <v>254</v>
      </c>
      <c r="G14" s="22">
        <v>1</v>
      </c>
      <c r="H14" s="23" t="s">
        <v>77</v>
      </c>
      <c r="I14" s="24" t="s">
        <v>139</v>
      </c>
      <c r="J14" s="23" t="str">
        <f t="shared" si="1"/>
        <v xml:space="preserve">Hose, Water By-Pass; Ø 21 mm × 29 mm; TSB5501G-1E </v>
      </c>
      <c r="K14" s="23" t="s">
        <v>255</v>
      </c>
      <c r="L14" s="23" t="s">
        <v>256</v>
      </c>
      <c r="M14" s="23" t="s">
        <v>3</v>
      </c>
      <c r="N14" s="21" t="s">
        <v>142</v>
      </c>
      <c r="O14" s="21" t="s">
        <v>142</v>
      </c>
      <c r="P14" s="25" t="s">
        <v>111</v>
      </c>
      <c r="Q14" s="25" t="s">
        <v>111</v>
      </c>
      <c r="R14" s="40" t="s">
        <v>257</v>
      </c>
      <c r="S14" s="40" t="s">
        <v>258</v>
      </c>
      <c r="T14" s="26" t="s">
        <v>93</v>
      </c>
      <c r="U14" s="26" t="s">
        <v>94</v>
      </c>
      <c r="V14" s="26" t="s">
        <v>259</v>
      </c>
      <c r="W14" s="26" t="s">
        <v>260</v>
      </c>
      <c r="X14" s="26" t="s">
        <v>261</v>
      </c>
      <c r="Y14" s="26" t="s">
        <v>262</v>
      </c>
      <c r="Z14" s="26" t="s">
        <v>78</v>
      </c>
      <c r="AA14" s="26" t="s">
        <v>149</v>
      </c>
      <c r="AB14" s="20" t="s">
        <v>511</v>
      </c>
      <c r="AC14" s="20" t="s">
        <v>97</v>
      </c>
      <c r="AD14" s="20" t="s">
        <v>511</v>
      </c>
      <c r="AE14" s="20" t="s">
        <v>97</v>
      </c>
      <c r="AF14" s="26" t="s">
        <v>79</v>
      </c>
      <c r="AG14" s="26" t="s">
        <v>75</v>
      </c>
      <c r="AH14" s="26" t="s">
        <v>76</v>
      </c>
      <c r="AI14" s="26" t="s">
        <v>76</v>
      </c>
      <c r="AJ14" s="26" t="s">
        <v>76</v>
      </c>
      <c r="AK14" s="26" t="s">
        <v>79</v>
      </c>
      <c r="AL14" s="26" t="s">
        <v>75</v>
      </c>
      <c r="AM14" s="26" t="s">
        <v>112</v>
      </c>
      <c r="AN14" s="26" t="s">
        <v>5</v>
      </c>
      <c r="AO14" s="26" t="s">
        <v>76</v>
      </c>
      <c r="AP14" s="20" t="s">
        <v>263</v>
      </c>
      <c r="AQ14" s="20" t="s">
        <v>223</v>
      </c>
      <c r="AR14" s="20" t="s">
        <v>241</v>
      </c>
      <c r="AS14" s="20" t="s">
        <v>181</v>
      </c>
      <c r="AT14" s="20" t="s">
        <v>224</v>
      </c>
      <c r="AU14" s="20" t="s">
        <v>155</v>
      </c>
      <c r="AV14" s="20" t="s">
        <v>126</v>
      </c>
      <c r="AW14" s="20" t="s">
        <v>156</v>
      </c>
      <c r="AX14" s="20" t="s">
        <v>156</v>
      </c>
      <c r="AY14" s="20" t="s">
        <v>264</v>
      </c>
      <c r="AZ14" s="20" t="s">
        <v>265</v>
      </c>
      <c r="BA14" s="20">
        <v>51</v>
      </c>
      <c r="BB14" s="20" t="s">
        <v>442</v>
      </c>
      <c r="BC14" s="26" t="s">
        <v>266</v>
      </c>
      <c r="BD14" s="26" t="s">
        <v>267</v>
      </c>
      <c r="BE14" s="26">
        <v>0.5</v>
      </c>
      <c r="BF14" s="20" t="s">
        <v>110</v>
      </c>
      <c r="BG14" s="20" t="s">
        <v>162</v>
      </c>
      <c r="BH14" s="20" t="s">
        <v>80</v>
      </c>
      <c r="BI14" s="20" t="s">
        <v>108</v>
      </c>
      <c r="BJ14" s="27" t="s">
        <v>165</v>
      </c>
      <c r="BK14" s="27" t="s">
        <v>268</v>
      </c>
      <c r="BL14" s="27" t="s">
        <v>269</v>
      </c>
      <c r="BM14" s="27" t="s">
        <v>269</v>
      </c>
      <c r="BN14" s="41" t="s">
        <v>109</v>
      </c>
      <c r="BO14" s="26" t="s">
        <v>404</v>
      </c>
      <c r="BP14" s="26" t="s">
        <v>251</v>
      </c>
      <c r="BQ14" s="26" t="s">
        <v>168</v>
      </c>
      <c r="BR14" s="26" t="s">
        <v>270</v>
      </c>
      <c r="BS14" s="26" t="s">
        <v>83</v>
      </c>
      <c r="BT14" s="31" t="str">
        <f>MID($BO$14, 1, 4)</f>
        <v>21.0</v>
      </c>
      <c r="BU14" s="31" t="str">
        <f>MID($BO$14,6,3)</f>
        <v>0.2</v>
      </c>
      <c r="BV14" s="31" t="e">
        <f t="shared" si="2"/>
        <v>#VALUE!</v>
      </c>
      <c r="BW14" s="31" t="e">
        <f t="shared" si="3"/>
        <v>#VALUE!</v>
      </c>
      <c r="BX14" s="31" t="e">
        <f t="shared" si="4"/>
        <v>#VALUE!</v>
      </c>
      <c r="BY14" s="31" t="e">
        <f t="shared" si="5"/>
        <v>#VALUE!</v>
      </c>
      <c r="BZ14" s="31" t="str">
        <f t="shared" si="6"/>
        <v>2.2</v>
      </c>
      <c r="CA14" s="31" t="str">
        <f t="shared" ref="CA14:CA21" si="17">MID(BQ14,5,3)</f>
        <v>0.1</v>
      </c>
      <c r="CB14" s="31" t="e">
        <f t="shared" si="7"/>
        <v>#VALUE!</v>
      </c>
      <c r="CC14" s="31" t="e">
        <f t="shared" si="8"/>
        <v>#VALUE!</v>
      </c>
      <c r="CD14" s="31" t="e">
        <f t="shared" si="9"/>
        <v>#VALUE!</v>
      </c>
      <c r="CE14" s="31" t="e">
        <f t="shared" si="10"/>
        <v>#VALUE!</v>
      </c>
      <c r="CF14" s="31" t="str">
        <f t="shared" si="11"/>
        <v>4.0</v>
      </c>
      <c r="CG14" s="31" t="str">
        <f t="shared" si="12"/>
        <v>0.1</v>
      </c>
      <c r="CH14" s="19" t="e">
        <f t="shared" si="13"/>
        <v>#VALUE!</v>
      </c>
      <c r="CI14" s="31" t="e">
        <f t="shared" si="14"/>
        <v>#VALUE!</v>
      </c>
      <c r="CJ14" s="31" t="e">
        <f t="shared" si="15"/>
        <v>#VALUE!</v>
      </c>
      <c r="CK14" s="31" t="e">
        <f t="shared" si="16"/>
        <v>#VALUE!</v>
      </c>
      <c r="CL14" s="28" t="s">
        <v>726</v>
      </c>
    </row>
    <row r="15" spans="1:90" s="28" customFormat="1">
      <c r="A15" s="19" t="str">
        <f t="shared" si="0"/>
        <v>8-1</v>
      </c>
      <c r="B15" s="20">
        <v>8</v>
      </c>
      <c r="C15" s="21" t="s">
        <v>133</v>
      </c>
      <c r="D15" s="20" t="s">
        <v>539</v>
      </c>
      <c r="E15" s="20" t="s">
        <v>272</v>
      </c>
      <c r="F15" s="20" t="s">
        <v>273</v>
      </c>
      <c r="G15" s="22">
        <v>1</v>
      </c>
      <c r="H15" s="23" t="s">
        <v>77</v>
      </c>
      <c r="I15" s="24" t="s">
        <v>139</v>
      </c>
      <c r="J15" s="23" t="str">
        <f t="shared" si="1"/>
        <v xml:space="preserve">Hose, Water By-Pass; Ø 16 mm × 24 mm; TSB5501G-1F </v>
      </c>
      <c r="K15" s="23" t="s">
        <v>255</v>
      </c>
      <c r="L15" s="23" t="s">
        <v>274</v>
      </c>
      <c r="M15" s="23" t="s">
        <v>193</v>
      </c>
      <c r="N15" s="21" t="s">
        <v>194</v>
      </c>
      <c r="O15" s="21" t="s">
        <v>194</v>
      </c>
      <c r="P15" s="25" t="s">
        <v>111</v>
      </c>
      <c r="Q15" s="25" t="s">
        <v>111</v>
      </c>
      <c r="R15" s="40" t="s">
        <v>257</v>
      </c>
      <c r="S15" s="40" t="s">
        <v>275</v>
      </c>
      <c r="T15" s="26" t="s">
        <v>93</v>
      </c>
      <c r="U15" s="26" t="s">
        <v>94</v>
      </c>
      <c r="V15" s="26" t="s">
        <v>276</v>
      </c>
      <c r="W15" s="26" t="s">
        <v>277</v>
      </c>
      <c r="X15" s="26" t="s">
        <v>278</v>
      </c>
      <c r="Y15" s="26" t="s">
        <v>279</v>
      </c>
      <c r="Z15" s="26" t="s">
        <v>78</v>
      </c>
      <c r="AA15" s="26" t="s">
        <v>149</v>
      </c>
      <c r="AB15" s="20" t="s">
        <v>511</v>
      </c>
      <c r="AC15" s="20" t="s">
        <v>97</v>
      </c>
      <c r="AD15" s="20" t="s">
        <v>511</v>
      </c>
      <c r="AE15" s="20" t="s">
        <v>97</v>
      </c>
      <c r="AF15" s="26" t="s">
        <v>79</v>
      </c>
      <c r="AG15" s="26" t="s">
        <v>75</v>
      </c>
      <c r="AH15" s="26" t="s">
        <v>76</v>
      </c>
      <c r="AI15" s="26" t="s">
        <v>112</v>
      </c>
      <c r="AJ15" s="26" t="s">
        <v>76</v>
      </c>
      <c r="AK15" s="26" t="s">
        <v>79</v>
      </c>
      <c r="AL15" s="26" t="s">
        <v>75</v>
      </c>
      <c r="AM15" s="26" t="s">
        <v>112</v>
      </c>
      <c r="AN15" s="26" t="s">
        <v>5</v>
      </c>
      <c r="AO15" s="26" t="s">
        <v>76</v>
      </c>
      <c r="AP15" s="20" t="s">
        <v>280</v>
      </c>
      <c r="AQ15" s="20" t="s">
        <v>281</v>
      </c>
      <c r="AR15" s="20" t="s">
        <v>241</v>
      </c>
      <c r="AS15" s="20" t="s">
        <v>282</v>
      </c>
      <c r="AT15" s="20" t="s">
        <v>283</v>
      </c>
      <c r="AU15" s="20" t="s">
        <v>284</v>
      </c>
      <c r="AV15" s="20" t="s">
        <v>126</v>
      </c>
      <c r="AW15" s="20" t="s">
        <v>157</v>
      </c>
      <c r="AX15" s="20" t="s">
        <v>157</v>
      </c>
      <c r="AY15" s="20" t="s">
        <v>285</v>
      </c>
      <c r="AZ15" s="20" t="s">
        <v>286</v>
      </c>
      <c r="BA15" s="20">
        <v>50</v>
      </c>
      <c r="BB15" s="20" t="s">
        <v>112</v>
      </c>
      <c r="BC15" s="26" t="s">
        <v>287</v>
      </c>
      <c r="BD15" s="26" t="s">
        <v>288</v>
      </c>
      <c r="BE15" s="26">
        <v>0.5</v>
      </c>
      <c r="BF15" s="20" t="s">
        <v>110</v>
      </c>
      <c r="BG15" s="20" t="s">
        <v>162</v>
      </c>
      <c r="BH15" s="20" t="s">
        <v>80</v>
      </c>
      <c r="BI15" s="20" t="s">
        <v>108</v>
      </c>
      <c r="BJ15" s="27" t="s">
        <v>165</v>
      </c>
      <c r="BK15" s="27" t="s">
        <v>289</v>
      </c>
      <c r="BL15" s="27" t="s">
        <v>290</v>
      </c>
      <c r="BM15" s="27" t="s">
        <v>290</v>
      </c>
      <c r="BN15" s="41" t="s">
        <v>109</v>
      </c>
      <c r="BO15" s="26" t="s">
        <v>405</v>
      </c>
      <c r="BP15" s="26" t="s">
        <v>406</v>
      </c>
      <c r="BQ15" s="26" t="s">
        <v>292</v>
      </c>
      <c r="BR15" s="26" t="s">
        <v>81</v>
      </c>
      <c r="BS15" s="26" t="s">
        <v>83</v>
      </c>
      <c r="BT15" s="31" t="str">
        <f>MID($BO$15, 1, 4)</f>
        <v>15.9</v>
      </c>
      <c r="BU15" s="31" t="str">
        <f>MID($BO$15,6,3)</f>
        <v>0.1</v>
      </c>
      <c r="BV15" s="31" t="e">
        <f t="shared" si="2"/>
        <v>#VALUE!</v>
      </c>
      <c r="BW15" s="31" t="e">
        <f t="shared" si="3"/>
        <v>#VALUE!</v>
      </c>
      <c r="BX15" s="31" t="e">
        <f t="shared" si="4"/>
        <v>#VALUE!</v>
      </c>
      <c r="BY15" s="31" t="e">
        <f t="shared" si="5"/>
        <v>#VALUE!</v>
      </c>
      <c r="BZ15" s="31" t="str">
        <f t="shared" si="6"/>
        <v>1.8</v>
      </c>
      <c r="CA15" s="31" t="str">
        <f t="shared" si="17"/>
        <v>0.1</v>
      </c>
      <c r="CB15" s="31" t="e">
        <f t="shared" si="7"/>
        <v>#VALUE!</v>
      </c>
      <c r="CC15" s="31" t="e">
        <f t="shared" si="8"/>
        <v>#VALUE!</v>
      </c>
      <c r="CD15" s="31" t="e">
        <f t="shared" si="9"/>
        <v>#VALUE!</v>
      </c>
      <c r="CE15" s="31" t="e">
        <f t="shared" si="10"/>
        <v>#VALUE!</v>
      </c>
      <c r="CF15" s="31" t="str">
        <f t="shared" si="11"/>
        <v>3.8</v>
      </c>
      <c r="CG15" s="31" t="str">
        <f t="shared" si="12"/>
        <v>0.1</v>
      </c>
      <c r="CH15" s="19" t="e">
        <f t="shared" si="13"/>
        <v>#VALUE!</v>
      </c>
      <c r="CI15" s="31" t="e">
        <f t="shared" si="14"/>
        <v>#VALUE!</v>
      </c>
      <c r="CJ15" s="31" t="e">
        <f t="shared" si="15"/>
        <v>#VALUE!</v>
      </c>
      <c r="CK15" s="31" t="e">
        <f t="shared" si="16"/>
        <v>#VALUE!</v>
      </c>
      <c r="CL15" s="28" t="s">
        <v>725</v>
      </c>
    </row>
    <row r="16" spans="1:90" s="28" customFormat="1">
      <c r="A16" s="19" t="str">
        <f t="shared" si="0"/>
        <v>9-1</v>
      </c>
      <c r="B16" s="20">
        <v>9</v>
      </c>
      <c r="C16" s="21" t="s">
        <v>133</v>
      </c>
      <c r="D16" s="20" t="s">
        <v>540</v>
      </c>
      <c r="E16" s="20" t="s">
        <v>294</v>
      </c>
      <c r="F16" s="20" t="s">
        <v>295</v>
      </c>
      <c r="G16" s="22">
        <v>1</v>
      </c>
      <c r="H16" s="23" t="s">
        <v>77</v>
      </c>
      <c r="I16" s="24" t="s">
        <v>139</v>
      </c>
      <c r="J16" s="23" t="str">
        <f t="shared" si="1"/>
        <v xml:space="preserve">Hose, Water By-Pass; Ø 16 mm × 24 mm; TSB5501G-1E </v>
      </c>
      <c r="K16" s="23" t="s">
        <v>255</v>
      </c>
      <c r="L16" s="23" t="s">
        <v>274</v>
      </c>
      <c r="M16" s="23" t="s">
        <v>3</v>
      </c>
      <c r="N16" s="21" t="s">
        <v>142</v>
      </c>
      <c r="O16" s="21" t="s">
        <v>142</v>
      </c>
      <c r="P16" s="25" t="s">
        <v>111</v>
      </c>
      <c r="Q16" s="25" t="s">
        <v>111</v>
      </c>
      <c r="R16" s="40" t="s">
        <v>257</v>
      </c>
      <c r="S16" s="40" t="s">
        <v>275</v>
      </c>
      <c r="T16" s="26" t="s">
        <v>93</v>
      </c>
      <c r="U16" s="26" t="s">
        <v>94</v>
      </c>
      <c r="V16" s="26" t="s">
        <v>276</v>
      </c>
      <c r="W16" s="26" t="s">
        <v>277</v>
      </c>
      <c r="X16" s="26" t="s">
        <v>296</v>
      </c>
      <c r="Y16" s="26" t="s">
        <v>279</v>
      </c>
      <c r="Z16" s="26" t="s">
        <v>78</v>
      </c>
      <c r="AA16" s="26" t="s">
        <v>149</v>
      </c>
      <c r="AB16" s="20" t="s">
        <v>511</v>
      </c>
      <c r="AC16" s="20" t="s">
        <v>97</v>
      </c>
      <c r="AD16" s="20" t="s">
        <v>511</v>
      </c>
      <c r="AE16" s="20" t="s">
        <v>97</v>
      </c>
      <c r="AF16" s="26" t="s">
        <v>79</v>
      </c>
      <c r="AG16" s="26" t="s">
        <v>75</v>
      </c>
      <c r="AH16" s="26" t="s">
        <v>76</v>
      </c>
      <c r="AI16" s="26" t="s">
        <v>112</v>
      </c>
      <c r="AJ16" s="26" t="s">
        <v>76</v>
      </c>
      <c r="AK16" s="26" t="s">
        <v>79</v>
      </c>
      <c r="AL16" s="26" t="s">
        <v>75</v>
      </c>
      <c r="AM16" s="26" t="s">
        <v>112</v>
      </c>
      <c r="AN16" s="26" t="s">
        <v>5</v>
      </c>
      <c r="AO16" s="26" t="s">
        <v>76</v>
      </c>
      <c r="AP16" s="20" t="s">
        <v>280</v>
      </c>
      <c r="AQ16" s="20" t="s">
        <v>281</v>
      </c>
      <c r="AR16" s="20" t="s">
        <v>241</v>
      </c>
      <c r="AS16" s="20" t="s">
        <v>202</v>
      </c>
      <c r="AT16" s="20" t="s">
        <v>297</v>
      </c>
      <c r="AU16" s="20" t="s">
        <v>298</v>
      </c>
      <c r="AV16" s="20" t="s">
        <v>126</v>
      </c>
      <c r="AW16" s="20" t="s">
        <v>157</v>
      </c>
      <c r="AX16" s="20" t="s">
        <v>157</v>
      </c>
      <c r="AY16" s="20" t="s">
        <v>285</v>
      </c>
      <c r="AZ16" s="20" t="s">
        <v>286</v>
      </c>
      <c r="BA16" s="20">
        <v>50</v>
      </c>
      <c r="BB16" s="20" t="s">
        <v>112</v>
      </c>
      <c r="BC16" s="26" t="s">
        <v>299</v>
      </c>
      <c r="BD16" s="26" t="s">
        <v>300</v>
      </c>
      <c r="BE16" s="26">
        <v>0.5</v>
      </c>
      <c r="BF16" s="20" t="s">
        <v>110</v>
      </c>
      <c r="BG16" s="20" t="s">
        <v>162</v>
      </c>
      <c r="BH16" s="20" t="s">
        <v>80</v>
      </c>
      <c r="BI16" s="20" t="s">
        <v>108</v>
      </c>
      <c r="BJ16" s="27" t="s">
        <v>165</v>
      </c>
      <c r="BK16" s="27" t="s">
        <v>289</v>
      </c>
      <c r="BL16" s="27" t="s">
        <v>300</v>
      </c>
      <c r="BM16" s="27" t="s">
        <v>300</v>
      </c>
      <c r="BN16" s="41" t="s">
        <v>109</v>
      </c>
      <c r="BO16" s="26" t="s">
        <v>405</v>
      </c>
      <c r="BP16" s="26" t="s">
        <v>406</v>
      </c>
      <c r="BQ16" s="26" t="s">
        <v>292</v>
      </c>
      <c r="BR16" s="26" t="s">
        <v>81</v>
      </c>
      <c r="BS16" s="26" t="s">
        <v>83</v>
      </c>
      <c r="BT16" s="31" t="str">
        <f>MID($BO$16, 1, 4)</f>
        <v>15.9</v>
      </c>
      <c r="BU16" s="31" t="str">
        <f>MID($BO$16,6,3)</f>
        <v>0.1</v>
      </c>
      <c r="BV16" s="31" t="e">
        <f t="shared" si="2"/>
        <v>#VALUE!</v>
      </c>
      <c r="BW16" s="31" t="e">
        <f t="shared" si="3"/>
        <v>#VALUE!</v>
      </c>
      <c r="BX16" s="31" t="e">
        <f t="shared" si="4"/>
        <v>#VALUE!</v>
      </c>
      <c r="BY16" s="31" t="e">
        <f t="shared" si="5"/>
        <v>#VALUE!</v>
      </c>
      <c r="BZ16" s="31" t="str">
        <f t="shared" si="6"/>
        <v>1.8</v>
      </c>
      <c r="CA16" s="31" t="str">
        <f t="shared" si="17"/>
        <v>0.1</v>
      </c>
      <c r="CB16" s="31" t="e">
        <f t="shared" si="7"/>
        <v>#VALUE!</v>
      </c>
      <c r="CC16" s="31" t="e">
        <f t="shared" si="8"/>
        <v>#VALUE!</v>
      </c>
      <c r="CD16" s="31" t="e">
        <f t="shared" si="9"/>
        <v>#VALUE!</v>
      </c>
      <c r="CE16" s="31" t="e">
        <f t="shared" si="10"/>
        <v>#VALUE!</v>
      </c>
      <c r="CF16" s="31" t="str">
        <f t="shared" si="11"/>
        <v>3.8</v>
      </c>
      <c r="CG16" s="31" t="str">
        <f t="shared" si="12"/>
        <v>0.1</v>
      </c>
      <c r="CH16" s="19" t="e">
        <f t="shared" si="13"/>
        <v>#VALUE!</v>
      </c>
      <c r="CI16" s="31" t="e">
        <f t="shared" si="14"/>
        <v>#VALUE!</v>
      </c>
      <c r="CJ16" s="31" t="e">
        <f t="shared" si="15"/>
        <v>#VALUE!</v>
      </c>
      <c r="CK16" s="31" t="e">
        <f t="shared" si="16"/>
        <v>#VALUE!</v>
      </c>
      <c r="CL16" s="28" t="s">
        <v>723</v>
      </c>
    </row>
    <row r="17" spans="1:90" s="28" customFormat="1">
      <c r="A17" s="19" t="str">
        <f t="shared" si="0"/>
        <v>10-1</v>
      </c>
      <c r="B17" s="20">
        <v>10</v>
      </c>
      <c r="C17" s="21" t="s">
        <v>133</v>
      </c>
      <c r="D17" s="20" t="s">
        <v>541</v>
      </c>
      <c r="E17" s="20" t="s">
        <v>302</v>
      </c>
      <c r="F17" s="20" t="s">
        <v>303</v>
      </c>
      <c r="G17" s="22">
        <v>1</v>
      </c>
      <c r="H17" s="23" t="s">
        <v>304</v>
      </c>
      <c r="I17" s="24" t="s">
        <v>139</v>
      </c>
      <c r="J17" s="23" t="str">
        <f t="shared" si="1"/>
        <v xml:space="preserve">Hose, Water By-Pass; Ø 13 mm × 21 mm; TSB5501G-1F </v>
      </c>
      <c r="K17" s="23" t="s">
        <v>255</v>
      </c>
      <c r="L17" s="23" t="s">
        <v>305</v>
      </c>
      <c r="M17" s="23" t="s">
        <v>193</v>
      </c>
      <c r="N17" s="21" t="s">
        <v>194</v>
      </c>
      <c r="O17" s="21" t="s">
        <v>194</v>
      </c>
      <c r="P17" s="25" t="s">
        <v>111</v>
      </c>
      <c r="Q17" s="25" t="s">
        <v>111</v>
      </c>
      <c r="R17" s="40" t="s">
        <v>257</v>
      </c>
      <c r="S17" s="40" t="s">
        <v>306</v>
      </c>
      <c r="T17" s="26" t="s">
        <v>93</v>
      </c>
      <c r="U17" s="26" t="s">
        <v>94</v>
      </c>
      <c r="V17" s="26" t="s">
        <v>307</v>
      </c>
      <c r="W17" s="26" t="s">
        <v>308</v>
      </c>
      <c r="X17" s="26" t="s">
        <v>277</v>
      </c>
      <c r="Y17" s="26" t="s">
        <v>296</v>
      </c>
      <c r="Z17" s="26" t="s">
        <v>78</v>
      </c>
      <c r="AA17" s="26" t="s">
        <v>149</v>
      </c>
      <c r="AB17" s="20" t="s">
        <v>511</v>
      </c>
      <c r="AC17" s="20" t="s">
        <v>97</v>
      </c>
      <c r="AD17" s="20" t="s">
        <v>511</v>
      </c>
      <c r="AE17" s="20" t="s">
        <v>97</v>
      </c>
      <c r="AF17" s="26" t="s">
        <v>79</v>
      </c>
      <c r="AG17" s="26" t="s">
        <v>75</v>
      </c>
      <c r="AH17" s="26" t="s">
        <v>76</v>
      </c>
      <c r="AI17" s="26" t="s">
        <v>76</v>
      </c>
      <c r="AJ17" s="26" t="s">
        <v>76</v>
      </c>
      <c r="AK17" s="26" t="s">
        <v>79</v>
      </c>
      <c r="AL17" s="26" t="s">
        <v>75</v>
      </c>
      <c r="AM17" s="26" t="s">
        <v>76</v>
      </c>
      <c r="AN17" s="26" t="s">
        <v>5</v>
      </c>
      <c r="AO17" s="26" t="s">
        <v>76</v>
      </c>
      <c r="AP17" s="20" t="s">
        <v>309</v>
      </c>
      <c r="AQ17" s="20" t="s">
        <v>310</v>
      </c>
      <c r="AR17" s="20" t="s">
        <v>241</v>
      </c>
      <c r="AS17" s="20" t="s">
        <v>202</v>
      </c>
      <c r="AT17" s="20" t="s">
        <v>311</v>
      </c>
      <c r="AU17" s="20" t="s">
        <v>312</v>
      </c>
      <c r="AV17" s="20" t="s">
        <v>126</v>
      </c>
      <c r="AW17" s="20" t="s">
        <v>156</v>
      </c>
      <c r="AX17" s="20" t="s">
        <v>156</v>
      </c>
      <c r="AY17" s="20" t="s">
        <v>313</v>
      </c>
      <c r="AZ17" s="20" t="s">
        <v>314</v>
      </c>
      <c r="BA17" s="20">
        <v>45</v>
      </c>
      <c r="BB17" s="20" t="s">
        <v>443</v>
      </c>
      <c r="BC17" s="26" t="s">
        <v>315</v>
      </c>
      <c r="BD17" s="26" t="s">
        <v>169</v>
      </c>
      <c r="BE17" s="26">
        <v>0.5</v>
      </c>
      <c r="BF17" s="20" t="s">
        <v>110</v>
      </c>
      <c r="BG17" s="20" t="s">
        <v>162</v>
      </c>
      <c r="BH17" s="20" t="s">
        <v>80</v>
      </c>
      <c r="BI17" s="20" t="s">
        <v>108</v>
      </c>
      <c r="BJ17" s="27" t="s">
        <v>165</v>
      </c>
      <c r="BK17" s="27" t="s">
        <v>316</v>
      </c>
      <c r="BL17" s="27" t="s">
        <v>317</v>
      </c>
      <c r="BM17" s="27" t="s">
        <v>317</v>
      </c>
      <c r="BN17" s="41" t="s">
        <v>109</v>
      </c>
      <c r="BO17" s="26" t="s">
        <v>407</v>
      </c>
      <c r="BP17" s="26" t="s">
        <v>408</v>
      </c>
      <c r="BQ17" s="26" t="s">
        <v>318</v>
      </c>
      <c r="BR17" s="26" t="s">
        <v>245</v>
      </c>
      <c r="BS17" s="26" t="s">
        <v>83</v>
      </c>
      <c r="BT17" s="31" t="str">
        <f>MID($BO$17, 1, 4)</f>
        <v>12.9</v>
      </c>
      <c r="BU17" s="31" t="str">
        <f>MID($BO$17,6,3)</f>
        <v>0.1</v>
      </c>
      <c r="BV17" s="31" t="e">
        <f t="shared" si="2"/>
        <v>#VALUE!</v>
      </c>
      <c r="BW17" s="31" t="e">
        <f t="shared" si="3"/>
        <v>#VALUE!</v>
      </c>
      <c r="BX17" s="31" t="e">
        <f t="shared" si="4"/>
        <v>#VALUE!</v>
      </c>
      <c r="BY17" s="31" t="e">
        <f t="shared" si="5"/>
        <v>#VALUE!</v>
      </c>
      <c r="BZ17" s="31" t="str">
        <f t="shared" si="6"/>
        <v>1.9</v>
      </c>
      <c r="CA17" s="31" t="str">
        <f t="shared" si="17"/>
        <v>0.1</v>
      </c>
      <c r="CB17" s="31" t="e">
        <f t="shared" si="7"/>
        <v>#VALUE!</v>
      </c>
      <c r="CC17" s="31" t="e">
        <f t="shared" si="8"/>
        <v>#VALUE!</v>
      </c>
      <c r="CD17" s="31" t="e">
        <f t="shared" si="9"/>
        <v>#VALUE!</v>
      </c>
      <c r="CE17" s="31" t="e">
        <f t="shared" si="10"/>
        <v>#VALUE!</v>
      </c>
      <c r="CF17" s="31" t="str">
        <f t="shared" si="11"/>
        <v>3.9</v>
      </c>
      <c r="CG17" s="31" t="str">
        <f t="shared" si="12"/>
        <v>0.1</v>
      </c>
      <c r="CH17" s="19" t="e">
        <f t="shared" si="13"/>
        <v>#VALUE!</v>
      </c>
      <c r="CI17" s="31" t="e">
        <f t="shared" si="14"/>
        <v>#VALUE!</v>
      </c>
      <c r="CJ17" s="31" t="e">
        <f t="shared" si="15"/>
        <v>#VALUE!</v>
      </c>
      <c r="CK17" s="31" t="e">
        <f t="shared" si="16"/>
        <v>#VALUE!</v>
      </c>
      <c r="CL17" s="28" t="s">
        <v>722</v>
      </c>
    </row>
    <row r="18" spans="1:90" s="28" customFormat="1">
      <c r="A18" s="19" t="str">
        <f t="shared" si="0"/>
        <v>11-0</v>
      </c>
      <c r="B18" s="20">
        <v>11</v>
      </c>
      <c r="C18" s="21" t="s">
        <v>133</v>
      </c>
      <c r="D18" s="20" t="s">
        <v>542</v>
      </c>
      <c r="E18" s="20" t="s">
        <v>431</v>
      </c>
      <c r="F18" s="20" t="s">
        <v>432</v>
      </c>
      <c r="G18" s="22">
        <v>0</v>
      </c>
      <c r="H18" s="23" t="s">
        <v>77</v>
      </c>
      <c r="I18" s="24" t="s">
        <v>219</v>
      </c>
      <c r="J18" s="23" t="str">
        <f t="shared" si="1"/>
        <v xml:space="preserve">Hose, Water By-Pass; Ø 13 mm × 21 mm; TSB5501G-1E </v>
      </c>
      <c r="K18" s="23" t="s">
        <v>255</v>
      </c>
      <c r="L18" s="23" t="s">
        <v>305</v>
      </c>
      <c r="M18" s="23" t="s">
        <v>3</v>
      </c>
      <c r="N18" s="21" t="s">
        <v>142</v>
      </c>
      <c r="O18" s="21" t="s">
        <v>142</v>
      </c>
      <c r="P18" s="25" t="s">
        <v>111</v>
      </c>
      <c r="Q18" s="25" t="s">
        <v>111</v>
      </c>
      <c r="R18" s="40" t="s">
        <v>257</v>
      </c>
      <c r="S18" s="40" t="s">
        <v>306</v>
      </c>
      <c r="T18" s="26" t="s">
        <v>93</v>
      </c>
      <c r="U18" s="26" t="s">
        <v>94</v>
      </c>
      <c r="V18" s="26" t="s">
        <v>307</v>
      </c>
      <c r="W18" s="26" t="s">
        <v>308</v>
      </c>
      <c r="X18" s="26" t="s">
        <v>277</v>
      </c>
      <c r="Y18" s="26" t="s">
        <v>296</v>
      </c>
      <c r="Z18" s="26" t="s">
        <v>78</v>
      </c>
      <c r="AA18" s="26" t="s">
        <v>149</v>
      </c>
      <c r="AB18" s="20" t="s">
        <v>511</v>
      </c>
      <c r="AC18" s="20" t="s">
        <v>97</v>
      </c>
      <c r="AD18" s="20" t="s">
        <v>511</v>
      </c>
      <c r="AE18" s="20" t="s">
        <v>97</v>
      </c>
      <c r="AF18" s="26" t="s">
        <v>79</v>
      </c>
      <c r="AG18" s="26" t="s">
        <v>75</v>
      </c>
      <c r="AH18" s="26" t="s">
        <v>76</v>
      </c>
      <c r="AI18" s="26" t="s">
        <v>76</v>
      </c>
      <c r="AJ18" s="26" t="s">
        <v>76</v>
      </c>
      <c r="AK18" s="26" t="s">
        <v>79</v>
      </c>
      <c r="AL18" s="26" t="s">
        <v>75</v>
      </c>
      <c r="AM18" s="26" t="s">
        <v>76</v>
      </c>
      <c r="AN18" s="26" t="s">
        <v>5</v>
      </c>
      <c r="AO18" s="26" t="s">
        <v>76</v>
      </c>
      <c r="AP18" s="20" t="s">
        <v>319</v>
      </c>
      <c r="AQ18" s="20" t="s">
        <v>310</v>
      </c>
      <c r="AR18" s="20" t="s">
        <v>241</v>
      </c>
      <c r="AS18" s="20" t="s">
        <v>202</v>
      </c>
      <c r="AT18" s="20" t="s">
        <v>320</v>
      </c>
      <c r="AU18" s="20" t="s">
        <v>312</v>
      </c>
      <c r="AV18" s="20" t="s">
        <v>126</v>
      </c>
      <c r="AW18" s="20" t="s">
        <v>156</v>
      </c>
      <c r="AX18" s="20" t="s">
        <v>156</v>
      </c>
      <c r="AY18" s="20" t="s">
        <v>313</v>
      </c>
      <c r="AZ18" s="20" t="s">
        <v>314</v>
      </c>
      <c r="BA18" s="20">
        <v>45</v>
      </c>
      <c r="BB18" s="20" t="s">
        <v>443</v>
      </c>
      <c r="BC18" s="26" t="s">
        <v>315</v>
      </c>
      <c r="BD18" s="26" t="s">
        <v>169</v>
      </c>
      <c r="BE18" s="26">
        <v>0.5</v>
      </c>
      <c r="BF18" s="20" t="s">
        <v>110</v>
      </c>
      <c r="BG18" s="20" t="s">
        <v>162</v>
      </c>
      <c r="BH18" s="20" t="s">
        <v>80</v>
      </c>
      <c r="BI18" s="20" t="s">
        <v>108</v>
      </c>
      <c r="BJ18" s="27" t="s">
        <v>165</v>
      </c>
      <c r="BK18" s="27" t="s">
        <v>316</v>
      </c>
      <c r="BL18" s="27" t="s">
        <v>317</v>
      </c>
      <c r="BM18" s="27" t="s">
        <v>317</v>
      </c>
      <c r="BN18" s="41" t="s">
        <v>109</v>
      </c>
      <c r="BO18" s="26" t="s">
        <v>407</v>
      </c>
      <c r="BP18" s="26" t="s">
        <v>408</v>
      </c>
      <c r="BQ18" s="26" t="s">
        <v>318</v>
      </c>
      <c r="BR18" s="26" t="s">
        <v>245</v>
      </c>
      <c r="BS18" s="26" t="s">
        <v>83</v>
      </c>
      <c r="BT18" s="31" t="str">
        <f>MID($BO$18, 1, 4)</f>
        <v>12.9</v>
      </c>
      <c r="BU18" s="31" t="str">
        <f>MID($BO$18,6,3)</f>
        <v>0.1</v>
      </c>
      <c r="BV18" s="31" t="e">
        <f t="shared" si="2"/>
        <v>#VALUE!</v>
      </c>
      <c r="BW18" s="31" t="e">
        <f t="shared" si="3"/>
        <v>#VALUE!</v>
      </c>
      <c r="BX18" s="31" t="e">
        <f t="shared" si="4"/>
        <v>#VALUE!</v>
      </c>
      <c r="BY18" s="31" t="e">
        <f t="shared" si="5"/>
        <v>#VALUE!</v>
      </c>
      <c r="BZ18" s="31" t="str">
        <f t="shared" si="6"/>
        <v>1.9</v>
      </c>
      <c r="CA18" s="31" t="str">
        <f t="shared" si="17"/>
        <v>0.1</v>
      </c>
      <c r="CB18" s="31" t="e">
        <f t="shared" si="7"/>
        <v>#VALUE!</v>
      </c>
      <c r="CC18" s="31" t="e">
        <f t="shared" si="8"/>
        <v>#VALUE!</v>
      </c>
      <c r="CD18" s="31" t="e">
        <f t="shared" si="9"/>
        <v>#VALUE!</v>
      </c>
      <c r="CE18" s="31" t="e">
        <f t="shared" si="10"/>
        <v>#VALUE!</v>
      </c>
      <c r="CF18" s="31" t="str">
        <f t="shared" si="11"/>
        <v>3.9</v>
      </c>
      <c r="CG18" s="31" t="str">
        <f t="shared" si="12"/>
        <v>0.1</v>
      </c>
      <c r="CH18" s="19" t="e">
        <f t="shared" si="13"/>
        <v>#VALUE!</v>
      </c>
      <c r="CI18" s="31" t="e">
        <f t="shared" si="14"/>
        <v>#VALUE!</v>
      </c>
      <c r="CJ18" s="31" t="e">
        <f t="shared" si="15"/>
        <v>#VALUE!</v>
      </c>
      <c r="CK18" s="31" t="e">
        <f t="shared" si="16"/>
        <v>#VALUE!</v>
      </c>
      <c r="CL18" s="28" t="s">
        <v>724</v>
      </c>
    </row>
    <row r="19" spans="1:90" s="28" customFormat="1">
      <c r="A19" s="19" t="str">
        <f t="shared" si="0"/>
        <v>12-1</v>
      </c>
      <c r="B19" s="20">
        <v>12</v>
      </c>
      <c r="C19" s="21" t="s">
        <v>133</v>
      </c>
      <c r="D19" s="20" t="s">
        <v>543</v>
      </c>
      <c r="E19" s="20" t="s">
        <v>322</v>
      </c>
      <c r="F19" s="20" t="s">
        <v>323</v>
      </c>
      <c r="G19" s="22">
        <v>1</v>
      </c>
      <c r="H19" s="23" t="s">
        <v>77</v>
      </c>
      <c r="I19" s="24" t="s">
        <v>139</v>
      </c>
      <c r="J19" s="23" t="str">
        <f t="shared" si="1"/>
        <v xml:space="preserve">Hose, Water By-Pass; Ø 11 mm × 18 mm; TSB5501G-1E </v>
      </c>
      <c r="K19" s="23" t="s">
        <v>255</v>
      </c>
      <c r="L19" s="23" t="s">
        <v>324</v>
      </c>
      <c r="M19" s="23" t="s">
        <v>3</v>
      </c>
      <c r="N19" s="21" t="s">
        <v>142</v>
      </c>
      <c r="O19" s="21" t="s">
        <v>142</v>
      </c>
      <c r="P19" s="25" t="s">
        <v>111</v>
      </c>
      <c r="Q19" s="25" t="s">
        <v>111</v>
      </c>
      <c r="R19" s="40" t="s">
        <v>325</v>
      </c>
      <c r="S19" s="40" t="s">
        <v>326</v>
      </c>
      <c r="T19" s="26" t="s">
        <v>93</v>
      </c>
      <c r="U19" s="26" t="s">
        <v>94</v>
      </c>
      <c r="V19" s="26" t="s">
        <v>327</v>
      </c>
      <c r="W19" s="26" t="s">
        <v>328</v>
      </c>
      <c r="X19" s="26" t="s">
        <v>329</v>
      </c>
      <c r="Y19" s="26" t="s">
        <v>330</v>
      </c>
      <c r="Z19" s="26" t="s">
        <v>78</v>
      </c>
      <c r="AA19" s="26" t="s">
        <v>149</v>
      </c>
      <c r="AB19" s="20" t="s">
        <v>511</v>
      </c>
      <c r="AC19" s="20" t="s">
        <v>97</v>
      </c>
      <c r="AD19" s="20" t="s">
        <v>511</v>
      </c>
      <c r="AE19" s="20" t="s">
        <v>97</v>
      </c>
      <c r="AF19" s="26" t="s">
        <v>79</v>
      </c>
      <c r="AG19" s="26" t="s">
        <v>75</v>
      </c>
      <c r="AH19" s="26" t="s">
        <v>76</v>
      </c>
      <c r="AI19" s="26" t="s">
        <v>112</v>
      </c>
      <c r="AJ19" s="26" t="s">
        <v>76</v>
      </c>
      <c r="AK19" s="26" t="s">
        <v>79</v>
      </c>
      <c r="AL19" s="26" t="s">
        <v>75</v>
      </c>
      <c r="AM19" s="26" t="s">
        <v>112</v>
      </c>
      <c r="AN19" s="26" t="s">
        <v>5</v>
      </c>
      <c r="AO19" s="26" t="s">
        <v>76</v>
      </c>
      <c r="AP19" s="20" t="s">
        <v>331</v>
      </c>
      <c r="AQ19" s="20" t="s">
        <v>310</v>
      </c>
      <c r="AR19" s="20" t="s">
        <v>332</v>
      </c>
      <c r="AS19" s="20" t="s">
        <v>202</v>
      </c>
      <c r="AT19" s="20" t="s">
        <v>333</v>
      </c>
      <c r="AU19" s="20" t="s">
        <v>334</v>
      </c>
      <c r="AV19" s="20" t="s">
        <v>335</v>
      </c>
      <c r="AW19" s="20" t="s">
        <v>163</v>
      </c>
      <c r="AX19" s="20" t="s">
        <v>157</v>
      </c>
      <c r="AY19" s="20" t="s">
        <v>336</v>
      </c>
      <c r="AZ19" s="20" t="s">
        <v>337</v>
      </c>
      <c r="BA19" s="20">
        <v>33</v>
      </c>
      <c r="BB19" s="20" t="s">
        <v>444</v>
      </c>
      <c r="BC19" s="26" t="s">
        <v>338</v>
      </c>
      <c r="BD19" s="26" t="s">
        <v>339</v>
      </c>
      <c r="BE19" s="26">
        <v>0.5</v>
      </c>
      <c r="BF19" s="20" t="s">
        <v>110</v>
      </c>
      <c r="BG19" s="20" t="s">
        <v>162</v>
      </c>
      <c r="BH19" s="20" t="s">
        <v>80</v>
      </c>
      <c r="BI19" s="20" t="s">
        <v>108</v>
      </c>
      <c r="BJ19" s="27" t="s">
        <v>340</v>
      </c>
      <c r="BK19" s="27" t="s">
        <v>341</v>
      </c>
      <c r="BL19" s="27" t="s">
        <v>342</v>
      </c>
      <c r="BM19" s="27" t="s">
        <v>342</v>
      </c>
      <c r="BN19" s="41" t="s">
        <v>109</v>
      </c>
      <c r="BO19" s="26" t="s">
        <v>419</v>
      </c>
      <c r="BP19" s="26" t="s">
        <v>409</v>
      </c>
      <c r="BQ19" s="26" t="s">
        <v>292</v>
      </c>
      <c r="BR19" s="26" t="s">
        <v>343</v>
      </c>
      <c r="BS19" s="26" t="s">
        <v>83</v>
      </c>
      <c r="BT19" s="31" t="str">
        <f>MID($BO$19, 1, 4)</f>
        <v>11.0</v>
      </c>
      <c r="BU19" s="31" t="str">
        <f>MID($BO$19,6,3)</f>
        <v>0.1</v>
      </c>
      <c r="BV19" s="31" t="e">
        <f t="shared" si="2"/>
        <v>#VALUE!</v>
      </c>
      <c r="BW19" s="31" t="e">
        <f t="shared" si="3"/>
        <v>#VALUE!</v>
      </c>
      <c r="BX19" s="31" t="e">
        <f t="shared" si="4"/>
        <v>#VALUE!</v>
      </c>
      <c r="BY19" s="31" t="e">
        <f t="shared" si="5"/>
        <v>#VALUE!</v>
      </c>
      <c r="BZ19" s="31" t="str">
        <f t="shared" si="6"/>
        <v>1.8</v>
      </c>
      <c r="CA19" s="31" t="str">
        <f t="shared" si="17"/>
        <v>0.1</v>
      </c>
      <c r="CB19" s="31" t="e">
        <f t="shared" si="7"/>
        <v>#VALUE!</v>
      </c>
      <c r="CC19" s="31" t="e">
        <f t="shared" si="8"/>
        <v>#VALUE!</v>
      </c>
      <c r="CD19" s="31" t="e">
        <f t="shared" si="9"/>
        <v>#VALUE!</v>
      </c>
      <c r="CE19" s="31" t="e">
        <f t="shared" si="10"/>
        <v>#VALUE!</v>
      </c>
      <c r="CF19" s="31" t="str">
        <f t="shared" si="11"/>
        <v>3.4</v>
      </c>
      <c r="CG19" s="31" t="str">
        <f t="shared" si="12"/>
        <v>0.1</v>
      </c>
      <c r="CH19" s="19" t="e">
        <f t="shared" si="13"/>
        <v>#VALUE!</v>
      </c>
      <c r="CI19" s="31" t="e">
        <f t="shared" si="14"/>
        <v>#VALUE!</v>
      </c>
      <c r="CJ19" s="31" t="e">
        <f t="shared" si="15"/>
        <v>#VALUE!</v>
      </c>
      <c r="CK19" s="31" t="e">
        <f t="shared" si="16"/>
        <v>#VALUE!</v>
      </c>
      <c r="CL19" s="28" t="s">
        <v>721</v>
      </c>
    </row>
    <row r="20" spans="1:90" s="28" customFormat="1">
      <c r="A20" s="19" t="str">
        <f t="shared" si="0"/>
        <v>13-1</v>
      </c>
      <c r="B20" s="20">
        <v>13</v>
      </c>
      <c r="C20" s="21" t="s">
        <v>133</v>
      </c>
      <c r="D20" s="20" t="s">
        <v>544</v>
      </c>
      <c r="E20" s="20" t="s">
        <v>434</v>
      </c>
      <c r="F20" s="20" t="s">
        <v>435</v>
      </c>
      <c r="G20" s="22">
        <v>1</v>
      </c>
      <c r="H20" s="23" t="s">
        <v>77</v>
      </c>
      <c r="I20" s="24" t="s">
        <v>127</v>
      </c>
      <c r="J20" s="23" t="str">
        <f t="shared" si="1"/>
        <v xml:space="preserve">Hose, Water By-Pass; Ø 7.5 mm × 14.5 mm; TSB5501G-1E </v>
      </c>
      <c r="K20" s="23" t="s">
        <v>255</v>
      </c>
      <c r="L20" s="23" t="s">
        <v>344</v>
      </c>
      <c r="M20" s="23" t="s">
        <v>3</v>
      </c>
      <c r="N20" s="21" t="s">
        <v>142</v>
      </c>
      <c r="O20" s="21" t="s">
        <v>142</v>
      </c>
      <c r="P20" s="25" t="s">
        <v>111</v>
      </c>
      <c r="Q20" s="25" t="s">
        <v>111</v>
      </c>
      <c r="R20" s="40" t="s">
        <v>325</v>
      </c>
      <c r="S20" s="40" t="s">
        <v>345</v>
      </c>
      <c r="T20" s="26" t="s">
        <v>93</v>
      </c>
      <c r="U20" s="26" t="s">
        <v>94</v>
      </c>
      <c r="V20" s="26" t="s">
        <v>300</v>
      </c>
      <c r="W20" s="26" t="s">
        <v>346</v>
      </c>
      <c r="X20" s="26" t="s">
        <v>347</v>
      </c>
      <c r="Y20" s="26" t="s">
        <v>348</v>
      </c>
      <c r="Z20" s="26" t="s">
        <v>349</v>
      </c>
      <c r="AA20" s="26" t="s">
        <v>350</v>
      </c>
      <c r="AB20" s="20" t="s">
        <v>511</v>
      </c>
      <c r="AC20" s="20" t="s">
        <v>97</v>
      </c>
      <c r="AD20" s="20" t="s">
        <v>511</v>
      </c>
      <c r="AE20" s="20" t="s">
        <v>97</v>
      </c>
      <c r="AF20" s="26" t="s">
        <v>79</v>
      </c>
      <c r="AG20" s="26" t="s">
        <v>75</v>
      </c>
      <c r="AH20" s="26" t="s">
        <v>76</v>
      </c>
      <c r="AI20" s="26" t="s">
        <v>112</v>
      </c>
      <c r="AJ20" s="26" t="s">
        <v>76</v>
      </c>
      <c r="AK20" s="26" t="s">
        <v>79</v>
      </c>
      <c r="AL20" s="26" t="s">
        <v>75</v>
      </c>
      <c r="AM20" s="26" t="s">
        <v>112</v>
      </c>
      <c r="AN20" s="26" t="s">
        <v>5</v>
      </c>
      <c r="AO20" s="26" t="s">
        <v>76</v>
      </c>
      <c r="AP20" s="20" t="s">
        <v>351</v>
      </c>
      <c r="AQ20" s="20" t="s">
        <v>352</v>
      </c>
      <c r="AR20" s="20" t="s">
        <v>241</v>
      </c>
      <c r="AS20" s="20" t="s">
        <v>181</v>
      </c>
      <c r="AT20" s="20" t="s">
        <v>333</v>
      </c>
      <c r="AU20" s="20" t="s">
        <v>334</v>
      </c>
      <c r="AV20" s="20" t="s">
        <v>126</v>
      </c>
      <c r="AW20" s="20" t="s">
        <v>163</v>
      </c>
      <c r="AX20" s="20" t="s">
        <v>157</v>
      </c>
      <c r="AY20" s="20" t="s">
        <v>353</v>
      </c>
      <c r="AZ20" s="20" t="s">
        <v>354</v>
      </c>
      <c r="BA20" s="20">
        <v>31</v>
      </c>
      <c r="BB20" s="20" t="s">
        <v>445</v>
      </c>
      <c r="BC20" s="26" t="s">
        <v>355</v>
      </c>
      <c r="BD20" s="26" t="s">
        <v>356</v>
      </c>
      <c r="BE20" s="26">
        <v>0.5</v>
      </c>
      <c r="BF20" s="20" t="s">
        <v>110</v>
      </c>
      <c r="BG20" s="20" t="s">
        <v>162</v>
      </c>
      <c r="BH20" s="20" t="s">
        <v>80</v>
      </c>
      <c r="BI20" s="20" t="s">
        <v>108</v>
      </c>
      <c r="BJ20" s="27" t="s">
        <v>165</v>
      </c>
      <c r="BK20" s="27" t="s">
        <v>357</v>
      </c>
      <c r="BL20" s="27" t="s">
        <v>358</v>
      </c>
      <c r="BM20" s="27" t="s">
        <v>358</v>
      </c>
      <c r="BN20" s="41" t="s">
        <v>109</v>
      </c>
      <c r="BO20" s="26" t="s">
        <v>359</v>
      </c>
      <c r="BP20" s="26" t="s">
        <v>362</v>
      </c>
      <c r="BQ20" s="26" t="s">
        <v>360</v>
      </c>
      <c r="BR20" s="26" t="s">
        <v>361</v>
      </c>
      <c r="BS20" s="26" t="s">
        <v>83</v>
      </c>
      <c r="BT20" s="31" t="str">
        <f>MID($BO$20, 1, 3)</f>
        <v>7.5</v>
      </c>
      <c r="BU20" s="31" t="str">
        <f>MID($BO$20,5,3)</f>
        <v>0.1</v>
      </c>
      <c r="BV20" s="31" t="e">
        <f t="shared" si="2"/>
        <v>#VALUE!</v>
      </c>
      <c r="BW20" s="31" t="e">
        <f t="shared" si="3"/>
        <v>#VALUE!</v>
      </c>
      <c r="BX20" s="31" t="e">
        <f t="shared" si="4"/>
        <v>#VALUE!</v>
      </c>
      <c r="BY20" s="31" t="e">
        <f t="shared" si="5"/>
        <v>#VALUE!</v>
      </c>
      <c r="BZ20" s="31" t="str">
        <f t="shared" si="6"/>
        <v>1.6</v>
      </c>
      <c r="CA20" s="31" t="str">
        <f t="shared" si="17"/>
        <v>0.1</v>
      </c>
      <c r="CB20" s="31" t="e">
        <f t="shared" si="7"/>
        <v>#VALUE!</v>
      </c>
      <c r="CC20" s="31" t="e">
        <f t="shared" si="8"/>
        <v>#VALUE!</v>
      </c>
      <c r="CD20" s="31" t="e">
        <f t="shared" si="9"/>
        <v>#VALUE!</v>
      </c>
      <c r="CE20" s="31" t="e">
        <f t="shared" si="10"/>
        <v>#VALUE!</v>
      </c>
      <c r="CF20" s="31" t="str">
        <f t="shared" si="11"/>
        <v>3.3</v>
      </c>
      <c r="CG20" s="31" t="str">
        <f t="shared" si="12"/>
        <v>0.1</v>
      </c>
      <c r="CH20" s="19" t="e">
        <f t="shared" si="13"/>
        <v>#VALUE!</v>
      </c>
      <c r="CI20" s="31" t="e">
        <f t="shared" si="14"/>
        <v>#VALUE!</v>
      </c>
      <c r="CJ20" s="31" t="e">
        <f t="shared" si="15"/>
        <v>#VALUE!</v>
      </c>
      <c r="CK20" s="31" t="e">
        <f t="shared" si="16"/>
        <v>#VALUE!</v>
      </c>
      <c r="CL20" s="28" t="s">
        <v>728</v>
      </c>
    </row>
    <row r="21" spans="1:90" s="28" customFormat="1">
      <c r="A21" s="19" t="str">
        <f t="shared" si="0"/>
        <v>1-2</v>
      </c>
      <c r="B21" s="20">
        <v>1</v>
      </c>
      <c r="C21" s="21" t="s">
        <v>133</v>
      </c>
      <c r="D21" s="20" t="s">
        <v>136</v>
      </c>
      <c r="E21" s="20" t="s">
        <v>137</v>
      </c>
      <c r="F21" s="20" t="s">
        <v>138</v>
      </c>
      <c r="G21" s="22">
        <v>2</v>
      </c>
      <c r="H21" s="23" t="s">
        <v>77</v>
      </c>
      <c r="I21" s="24" t="s">
        <v>389</v>
      </c>
      <c r="J21" s="23" t="str">
        <f t="shared" si="1"/>
        <v xml:space="preserve">Hose, Radiator; Ø 37 mm × 47 mm; TSB5501G-1E </v>
      </c>
      <c r="K21" s="23" t="s">
        <v>140</v>
      </c>
      <c r="L21" s="23" t="s">
        <v>141</v>
      </c>
      <c r="M21" s="23" t="s">
        <v>3</v>
      </c>
      <c r="N21" s="21" t="s">
        <v>142</v>
      </c>
      <c r="O21" s="21" t="s">
        <v>142</v>
      </c>
      <c r="P21" s="25" t="s">
        <v>111</v>
      </c>
      <c r="Q21" s="25" t="s">
        <v>111</v>
      </c>
      <c r="R21" s="40" t="s">
        <v>143</v>
      </c>
      <c r="S21" s="40" t="s">
        <v>144</v>
      </c>
      <c r="T21" s="26" t="s">
        <v>93</v>
      </c>
      <c r="U21" s="26" t="s">
        <v>94</v>
      </c>
      <c r="V21" s="26" t="s">
        <v>176</v>
      </c>
      <c r="W21" s="26" t="s">
        <v>146</v>
      </c>
      <c r="X21" s="26" t="s">
        <v>147</v>
      </c>
      <c r="Y21" s="26" t="s">
        <v>148</v>
      </c>
      <c r="Z21" s="26" t="s">
        <v>125</v>
      </c>
      <c r="AA21" s="26" t="s">
        <v>149</v>
      </c>
      <c r="AB21" s="20" t="s">
        <v>511</v>
      </c>
      <c r="AC21" s="20" t="s">
        <v>97</v>
      </c>
      <c r="AD21" s="20" t="s">
        <v>511</v>
      </c>
      <c r="AE21" s="20" t="s">
        <v>97</v>
      </c>
      <c r="AF21" s="26" t="s">
        <v>79</v>
      </c>
      <c r="AG21" s="26" t="s">
        <v>75</v>
      </c>
      <c r="AH21" s="26" t="s">
        <v>76</v>
      </c>
      <c r="AI21" s="26" t="s">
        <v>112</v>
      </c>
      <c r="AJ21" s="26" t="s">
        <v>76</v>
      </c>
      <c r="AK21" s="26" t="s">
        <v>79</v>
      </c>
      <c r="AL21" s="26" t="s">
        <v>363</v>
      </c>
      <c r="AM21" s="26" t="s">
        <v>363</v>
      </c>
      <c r="AN21" s="26" t="s">
        <v>5</v>
      </c>
      <c r="AO21" s="26" t="s">
        <v>363</v>
      </c>
      <c r="AP21" s="20" t="s">
        <v>150</v>
      </c>
      <c r="AQ21" s="20" t="s">
        <v>151</v>
      </c>
      <c r="AR21" s="20" t="s">
        <v>152</v>
      </c>
      <c r="AS21" s="20" t="s">
        <v>153</v>
      </c>
      <c r="AT21" s="20" t="s">
        <v>154</v>
      </c>
      <c r="AU21" s="20" t="s">
        <v>155</v>
      </c>
      <c r="AV21" s="20" t="s">
        <v>126</v>
      </c>
      <c r="AW21" s="20" t="s">
        <v>156</v>
      </c>
      <c r="AX21" s="20" t="s">
        <v>157</v>
      </c>
      <c r="AY21" s="20" t="s">
        <v>158</v>
      </c>
      <c r="AZ21" s="20" t="s">
        <v>159</v>
      </c>
      <c r="BA21" s="20">
        <v>73</v>
      </c>
      <c r="BB21" s="20" t="s">
        <v>440</v>
      </c>
      <c r="BC21" s="26" t="s">
        <v>364</v>
      </c>
      <c r="BD21" s="26" t="s">
        <v>365</v>
      </c>
      <c r="BE21" s="26">
        <v>0.5</v>
      </c>
      <c r="BF21" s="20" t="s">
        <v>110</v>
      </c>
      <c r="BG21" s="20" t="s">
        <v>162</v>
      </c>
      <c r="BH21" s="20" t="s">
        <v>80</v>
      </c>
      <c r="BI21" s="20" t="s">
        <v>108</v>
      </c>
      <c r="BJ21" s="27" t="s">
        <v>165</v>
      </c>
      <c r="BK21" s="27" t="s">
        <v>163</v>
      </c>
      <c r="BL21" s="27" t="s">
        <v>366</v>
      </c>
      <c r="BM21" s="27" t="s">
        <v>366</v>
      </c>
      <c r="BN21" s="41" t="s">
        <v>109</v>
      </c>
      <c r="BO21" s="26" t="s">
        <v>417</v>
      </c>
      <c r="BP21" s="26" t="s">
        <v>399</v>
      </c>
      <c r="BQ21" s="26" t="s">
        <v>168</v>
      </c>
      <c r="BR21" s="26" t="s">
        <v>398</v>
      </c>
      <c r="BS21" s="26" t="s">
        <v>83</v>
      </c>
      <c r="BT21" s="31" t="str">
        <f>MID($BO$21, 1, 4)</f>
        <v>37.0</v>
      </c>
      <c r="BU21" s="31" t="str">
        <f>MID($BO$21,6,3)</f>
        <v>0.2</v>
      </c>
      <c r="BV21" s="31" t="e">
        <f t="shared" si="2"/>
        <v>#VALUE!</v>
      </c>
      <c r="BW21" s="31" t="e">
        <f t="shared" si="3"/>
        <v>#VALUE!</v>
      </c>
      <c r="BX21" s="31" t="e">
        <f t="shared" si="4"/>
        <v>#VALUE!</v>
      </c>
      <c r="BY21" s="31" t="e">
        <f t="shared" si="5"/>
        <v>#VALUE!</v>
      </c>
      <c r="BZ21" s="31" t="str">
        <f t="shared" si="6"/>
        <v>2.2</v>
      </c>
      <c r="CA21" s="31" t="str">
        <f t="shared" si="17"/>
        <v>0.1</v>
      </c>
      <c r="CB21" s="31" t="e">
        <f t="shared" si="7"/>
        <v>#VALUE!</v>
      </c>
      <c r="CC21" s="31" t="e">
        <f t="shared" si="8"/>
        <v>#VALUE!</v>
      </c>
      <c r="CD21" s="31" t="e">
        <f t="shared" si="9"/>
        <v>#VALUE!</v>
      </c>
      <c r="CE21" s="31" t="e">
        <f t="shared" si="10"/>
        <v>#VALUE!</v>
      </c>
      <c r="CF21" s="31" t="str">
        <f t="shared" si="11"/>
        <v>4.9</v>
      </c>
      <c r="CG21" s="31" t="str">
        <f t="shared" si="12"/>
        <v>0.1</v>
      </c>
      <c r="CH21" s="19" t="e">
        <f t="shared" si="13"/>
        <v>#VALUE!</v>
      </c>
      <c r="CI21" s="31" t="e">
        <f t="shared" si="14"/>
        <v>#VALUE!</v>
      </c>
      <c r="CJ21" s="31" t="e">
        <f t="shared" si="15"/>
        <v>#VALUE!</v>
      </c>
      <c r="CK21" s="31" t="e">
        <f t="shared" si="16"/>
        <v>#VALUE!</v>
      </c>
      <c r="CL21" s="28" t="s">
        <v>719</v>
      </c>
    </row>
    <row r="22" spans="1:90" s="28" customFormat="1">
      <c r="A22" s="19" t="str">
        <f t="shared" ref="A22:A27" si="18">CONCATENATE(B22,"-",G22)</f>
        <v>3-2</v>
      </c>
      <c r="B22" s="20">
        <v>3</v>
      </c>
      <c r="C22" s="21" t="s">
        <v>133</v>
      </c>
      <c r="D22" s="20" t="s">
        <v>188</v>
      </c>
      <c r="E22" s="20" t="s">
        <v>189</v>
      </c>
      <c r="F22" s="20" t="s">
        <v>190</v>
      </c>
      <c r="G22" s="22">
        <v>2</v>
      </c>
      <c r="H22" s="23" t="s">
        <v>191</v>
      </c>
      <c r="I22" s="24" t="s">
        <v>389</v>
      </c>
      <c r="J22" s="23" t="str">
        <f t="shared" ref="J22:J27" si="19">CONCATENATE(K22,"; ",L22,"; ",M22," ")</f>
        <v xml:space="preserve">Hose, Radiator; Ø 31 mm × 39 mm; TSB5501G-1F </v>
      </c>
      <c r="K22" s="23" t="s">
        <v>140</v>
      </c>
      <c r="L22" s="23" t="s">
        <v>192</v>
      </c>
      <c r="M22" s="23" t="s">
        <v>193</v>
      </c>
      <c r="N22" s="21" t="s">
        <v>194</v>
      </c>
      <c r="O22" s="21" t="s">
        <v>194</v>
      </c>
      <c r="P22" s="25" t="s">
        <v>111</v>
      </c>
      <c r="Q22" s="25" t="s">
        <v>111</v>
      </c>
      <c r="R22" s="40" t="s">
        <v>143</v>
      </c>
      <c r="S22" s="40" t="s">
        <v>195</v>
      </c>
      <c r="T22" s="26" t="s">
        <v>93</v>
      </c>
      <c r="U22" s="26" t="s">
        <v>94</v>
      </c>
      <c r="V22" s="26" t="s">
        <v>367</v>
      </c>
      <c r="W22" s="26" t="s">
        <v>368</v>
      </c>
      <c r="X22" s="26" t="s">
        <v>369</v>
      </c>
      <c r="Y22" s="26" t="s">
        <v>221</v>
      </c>
      <c r="Z22" s="26" t="s">
        <v>370</v>
      </c>
      <c r="AA22" s="26" t="s">
        <v>149</v>
      </c>
      <c r="AB22" s="20" t="s">
        <v>511</v>
      </c>
      <c r="AC22" s="20" t="s">
        <v>97</v>
      </c>
      <c r="AD22" s="20" t="s">
        <v>511</v>
      </c>
      <c r="AE22" s="20" t="s">
        <v>97</v>
      </c>
      <c r="AF22" s="26" t="s">
        <v>79</v>
      </c>
      <c r="AG22" s="26" t="s">
        <v>75</v>
      </c>
      <c r="AH22" s="26" t="s">
        <v>76</v>
      </c>
      <c r="AI22" s="26" t="s">
        <v>76</v>
      </c>
      <c r="AJ22" s="26" t="s">
        <v>76</v>
      </c>
      <c r="AK22" s="26" t="s">
        <v>79</v>
      </c>
      <c r="AL22" s="26" t="s">
        <v>371</v>
      </c>
      <c r="AM22" s="26" t="s">
        <v>372</v>
      </c>
      <c r="AN22" s="26" t="s">
        <v>5</v>
      </c>
      <c r="AO22" s="26" t="s">
        <v>372</v>
      </c>
      <c r="AP22" s="20" t="s">
        <v>200</v>
      </c>
      <c r="AQ22" s="20" t="s">
        <v>201</v>
      </c>
      <c r="AR22" s="20" t="s">
        <v>152</v>
      </c>
      <c r="AS22" s="20" t="s">
        <v>202</v>
      </c>
      <c r="AT22" s="20" t="s">
        <v>203</v>
      </c>
      <c r="AU22" s="20" t="s">
        <v>204</v>
      </c>
      <c r="AV22" s="20" t="s">
        <v>132</v>
      </c>
      <c r="AW22" s="20" t="s">
        <v>205</v>
      </c>
      <c r="AX22" s="20" t="s">
        <v>156</v>
      </c>
      <c r="AY22" s="20" t="s">
        <v>182</v>
      </c>
      <c r="AZ22" s="20" t="s">
        <v>183</v>
      </c>
      <c r="BA22" s="20">
        <v>73</v>
      </c>
      <c r="BB22" s="20" t="s">
        <v>440</v>
      </c>
      <c r="BC22" s="26" t="s">
        <v>206</v>
      </c>
      <c r="BD22" s="26" t="s">
        <v>373</v>
      </c>
      <c r="BE22" s="26">
        <v>0.5</v>
      </c>
      <c r="BF22" s="20" t="s">
        <v>110</v>
      </c>
      <c r="BG22" s="20" t="s">
        <v>162</v>
      </c>
      <c r="BH22" s="20" t="s">
        <v>80</v>
      </c>
      <c r="BI22" s="20" t="s">
        <v>108</v>
      </c>
      <c r="BJ22" s="27" t="s">
        <v>165</v>
      </c>
      <c r="BK22" s="27" t="s">
        <v>208</v>
      </c>
      <c r="BL22" s="27" t="s">
        <v>374</v>
      </c>
      <c r="BM22" s="27" t="s">
        <v>374</v>
      </c>
      <c r="BN22" s="41" t="s">
        <v>109</v>
      </c>
      <c r="BO22" s="26" t="s">
        <v>401</v>
      </c>
      <c r="BP22" s="26" t="s">
        <v>402</v>
      </c>
      <c r="BQ22" s="26" t="s">
        <v>212</v>
      </c>
      <c r="BR22" s="26" t="s">
        <v>81</v>
      </c>
      <c r="BS22" s="26" t="s">
        <v>83</v>
      </c>
      <c r="BT22" s="31" t="str">
        <f>MID($BO$22, 1, 4)</f>
        <v>29.6</v>
      </c>
      <c r="BU22" s="31" t="str">
        <f>MID($BO$22,6,3)</f>
        <v>0.2</v>
      </c>
      <c r="BV22" s="31" t="e">
        <f t="shared" ref="BV22:BV27" si="20">BT22-(BU22/2)</f>
        <v>#VALUE!</v>
      </c>
      <c r="BW22" s="31" t="e">
        <f t="shared" ref="BW22:BW27" si="21">BT22-BU22</f>
        <v>#VALUE!</v>
      </c>
      <c r="BX22" s="31" t="e">
        <f t="shared" ref="BX22:BX27" si="22">BT22+(BU22/2)</f>
        <v>#VALUE!</v>
      </c>
      <c r="BY22" s="31" t="e">
        <f t="shared" ref="BY22:BY27" si="23">BT22+BU22</f>
        <v>#VALUE!</v>
      </c>
      <c r="BZ22" s="31" t="str">
        <f t="shared" si="6"/>
        <v>1.9</v>
      </c>
      <c r="CA22" s="31" t="str">
        <f>MID(BQ22,8,3)</f>
        <v>0.1</v>
      </c>
      <c r="CB22" s="31" t="e">
        <f t="shared" ref="CB22:CB30" si="24">BZ22-(CA22/2)</f>
        <v>#VALUE!</v>
      </c>
      <c r="CC22" s="31" t="e">
        <f t="shared" ref="CC22:CC30" si="25">BZ22-CA22</f>
        <v>#VALUE!</v>
      </c>
      <c r="CD22" s="31" t="e">
        <f t="shared" ref="CD22:CD30" si="26">BZ22+(CA22/2)</f>
        <v>#VALUE!</v>
      </c>
      <c r="CE22" s="31" t="e">
        <f t="shared" ref="CE22:CE27" si="27">BZ22+CA22</f>
        <v>#VALUE!</v>
      </c>
      <c r="CF22" s="31" t="str">
        <f t="shared" ref="CF22:CF27" si="28">MID(BR22,1,3)</f>
        <v>3.8</v>
      </c>
      <c r="CG22" s="31" t="str">
        <f t="shared" ref="CG22:CG27" si="29">MID(BR22,5,3)</f>
        <v>0.1</v>
      </c>
      <c r="CH22" s="19" t="e">
        <f t="shared" ref="CH22:CH27" si="30">CF22-(CG22/2)</f>
        <v>#VALUE!</v>
      </c>
      <c r="CI22" s="31" t="e">
        <f t="shared" ref="CI22:CI27" si="31">CF22-CG22</f>
        <v>#VALUE!</v>
      </c>
      <c r="CJ22" s="31" t="e">
        <f t="shared" ref="CJ22:CJ27" si="32">CF22+(CG22/2)</f>
        <v>#VALUE!</v>
      </c>
      <c r="CK22" s="31" t="e">
        <f t="shared" ref="CK22:CK27" si="33">CF22+CG22</f>
        <v>#VALUE!</v>
      </c>
      <c r="CL22" s="28" t="s">
        <v>716</v>
      </c>
    </row>
    <row r="23" spans="1:90" s="60" customFormat="1">
      <c r="A23" s="19" t="str">
        <f t="shared" si="18"/>
        <v>4-2</v>
      </c>
      <c r="B23" s="20">
        <v>4</v>
      </c>
      <c r="C23" s="21" t="s">
        <v>133</v>
      </c>
      <c r="D23" s="20" t="s">
        <v>214</v>
      </c>
      <c r="E23" s="20" t="s">
        <v>215</v>
      </c>
      <c r="F23" s="20" t="s">
        <v>216</v>
      </c>
      <c r="G23" s="22">
        <v>2</v>
      </c>
      <c r="H23" s="23" t="s">
        <v>191</v>
      </c>
      <c r="I23" s="24" t="s">
        <v>389</v>
      </c>
      <c r="J23" s="23" t="str">
        <f t="shared" si="19"/>
        <v xml:space="preserve">Hose, Radiator; Ø 30 mm × 38 mm; TSB5501G-1F </v>
      </c>
      <c r="K23" s="23" t="s">
        <v>140</v>
      </c>
      <c r="L23" s="23" t="s">
        <v>217</v>
      </c>
      <c r="M23" s="23" t="s">
        <v>193</v>
      </c>
      <c r="N23" s="21" t="s">
        <v>194</v>
      </c>
      <c r="O23" s="21" t="s">
        <v>194</v>
      </c>
      <c r="P23" s="25" t="s">
        <v>111</v>
      </c>
      <c r="Q23" s="25" t="s">
        <v>111</v>
      </c>
      <c r="R23" s="40" t="s">
        <v>143</v>
      </c>
      <c r="S23" s="40" t="s">
        <v>218</v>
      </c>
      <c r="T23" s="26" t="s">
        <v>93</v>
      </c>
      <c r="U23" s="26" t="s">
        <v>94</v>
      </c>
      <c r="V23" s="26" t="s">
        <v>367</v>
      </c>
      <c r="W23" s="26" t="s">
        <v>368</v>
      </c>
      <c r="X23" s="26" t="s">
        <v>369</v>
      </c>
      <c r="Y23" s="26" t="s">
        <v>221</v>
      </c>
      <c r="Z23" s="26" t="s">
        <v>370</v>
      </c>
      <c r="AA23" s="26" t="s">
        <v>149</v>
      </c>
      <c r="AB23" s="20" t="s">
        <v>511</v>
      </c>
      <c r="AC23" s="20" t="s">
        <v>97</v>
      </c>
      <c r="AD23" s="20" t="s">
        <v>511</v>
      </c>
      <c r="AE23" s="20" t="s">
        <v>97</v>
      </c>
      <c r="AF23" s="26" t="s">
        <v>79</v>
      </c>
      <c r="AG23" s="26" t="s">
        <v>75</v>
      </c>
      <c r="AH23" s="26" t="s">
        <v>76</v>
      </c>
      <c r="AI23" s="26" t="s">
        <v>76</v>
      </c>
      <c r="AJ23" s="26" t="s">
        <v>76</v>
      </c>
      <c r="AK23" s="26" t="s">
        <v>79</v>
      </c>
      <c r="AL23" s="26" t="s">
        <v>371</v>
      </c>
      <c r="AM23" s="26" t="s">
        <v>372</v>
      </c>
      <c r="AN23" s="26" t="s">
        <v>5</v>
      </c>
      <c r="AO23" s="26" t="s">
        <v>372</v>
      </c>
      <c r="AP23" s="20" t="s">
        <v>200</v>
      </c>
      <c r="AQ23" s="20" t="s">
        <v>201</v>
      </c>
      <c r="AR23" s="20" t="s">
        <v>152</v>
      </c>
      <c r="AS23" s="20" t="s">
        <v>202</v>
      </c>
      <c r="AT23" s="20" t="s">
        <v>203</v>
      </c>
      <c r="AU23" s="20" t="s">
        <v>204</v>
      </c>
      <c r="AV23" s="20" t="s">
        <v>132</v>
      </c>
      <c r="AW23" s="20" t="s">
        <v>205</v>
      </c>
      <c r="AX23" s="20" t="s">
        <v>156</v>
      </c>
      <c r="AY23" s="20" t="s">
        <v>182</v>
      </c>
      <c r="AZ23" s="20" t="s">
        <v>183</v>
      </c>
      <c r="BA23" s="20">
        <v>73</v>
      </c>
      <c r="BB23" s="20" t="s">
        <v>440</v>
      </c>
      <c r="BC23" s="26" t="s">
        <v>206</v>
      </c>
      <c r="BD23" s="26" t="s">
        <v>373</v>
      </c>
      <c r="BE23" s="26">
        <v>0.5</v>
      </c>
      <c r="BF23" s="20" t="s">
        <v>110</v>
      </c>
      <c r="BG23" s="20" t="s">
        <v>162</v>
      </c>
      <c r="BH23" s="20" t="s">
        <v>80</v>
      </c>
      <c r="BI23" s="20" t="s">
        <v>108</v>
      </c>
      <c r="BJ23" s="27" t="s">
        <v>165</v>
      </c>
      <c r="BK23" s="27" t="s">
        <v>208</v>
      </c>
      <c r="BL23" s="27" t="s">
        <v>374</v>
      </c>
      <c r="BM23" s="27" t="s">
        <v>374</v>
      </c>
      <c r="BN23" s="41" t="s">
        <v>109</v>
      </c>
      <c r="BO23" s="26" t="s">
        <v>401</v>
      </c>
      <c r="BP23" s="26" t="s">
        <v>402</v>
      </c>
      <c r="BQ23" s="26" t="s">
        <v>212</v>
      </c>
      <c r="BR23" s="26" t="s">
        <v>81</v>
      </c>
      <c r="BS23" s="26" t="s">
        <v>83</v>
      </c>
      <c r="BT23" s="31" t="str">
        <f>MID($BO$23, 1, 4)</f>
        <v>29.6</v>
      </c>
      <c r="BU23" s="31" t="str">
        <f>MID($BO$23,6,3)</f>
        <v>0.2</v>
      </c>
      <c r="BV23" s="31" t="e">
        <f t="shared" si="20"/>
        <v>#VALUE!</v>
      </c>
      <c r="BW23" s="31" t="e">
        <f t="shared" si="21"/>
        <v>#VALUE!</v>
      </c>
      <c r="BX23" s="31" t="e">
        <f t="shared" si="22"/>
        <v>#VALUE!</v>
      </c>
      <c r="BY23" s="31" t="e">
        <f t="shared" si="23"/>
        <v>#VALUE!</v>
      </c>
      <c r="BZ23" s="31" t="str">
        <f t="shared" si="6"/>
        <v>1.9</v>
      </c>
      <c r="CA23" s="31" t="str">
        <f>MID(BQ23,8,3)</f>
        <v>0.1</v>
      </c>
      <c r="CB23" s="31" t="e">
        <f t="shared" si="24"/>
        <v>#VALUE!</v>
      </c>
      <c r="CC23" s="31" t="e">
        <f t="shared" si="25"/>
        <v>#VALUE!</v>
      </c>
      <c r="CD23" s="31" t="e">
        <f t="shared" si="26"/>
        <v>#VALUE!</v>
      </c>
      <c r="CE23" s="31" t="e">
        <f t="shared" si="27"/>
        <v>#VALUE!</v>
      </c>
      <c r="CF23" s="31" t="str">
        <f t="shared" si="28"/>
        <v>3.8</v>
      </c>
      <c r="CG23" s="31" t="str">
        <f t="shared" si="29"/>
        <v>0.1</v>
      </c>
      <c r="CH23" s="19" t="e">
        <f t="shared" si="30"/>
        <v>#VALUE!</v>
      </c>
      <c r="CI23" s="31" t="e">
        <f t="shared" si="31"/>
        <v>#VALUE!</v>
      </c>
      <c r="CJ23" s="31" t="e">
        <f t="shared" si="32"/>
        <v>#VALUE!</v>
      </c>
      <c r="CK23" s="31" t="e">
        <f t="shared" si="33"/>
        <v>#VALUE!</v>
      </c>
      <c r="CL23" s="28" t="s">
        <v>715</v>
      </c>
    </row>
    <row r="24" spans="1:90" s="28" customFormat="1">
      <c r="A24" s="19" t="str">
        <f t="shared" si="18"/>
        <v>5-2</v>
      </c>
      <c r="B24" s="20">
        <v>5</v>
      </c>
      <c r="C24" s="21" t="s">
        <v>133</v>
      </c>
      <c r="D24" s="20" t="s">
        <v>427</v>
      </c>
      <c r="E24" s="20" t="s">
        <v>428</v>
      </c>
      <c r="F24" s="20" t="s">
        <v>429</v>
      </c>
      <c r="G24" s="22">
        <v>2</v>
      </c>
      <c r="H24" s="23" t="s">
        <v>77</v>
      </c>
      <c r="I24" s="24" t="s">
        <v>389</v>
      </c>
      <c r="J24" s="23" t="str">
        <f t="shared" si="19"/>
        <v xml:space="preserve">Hose, Radiator; Ø 30 mm × 38 mm; TSB5501G-1E </v>
      </c>
      <c r="K24" s="23" t="s">
        <v>140</v>
      </c>
      <c r="L24" s="23" t="s">
        <v>217</v>
      </c>
      <c r="M24" s="23" t="s">
        <v>3</v>
      </c>
      <c r="N24" s="21" t="s">
        <v>142</v>
      </c>
      <c r="O24" s="21" t="s">
        <v>142</v>
      </c>
      <c r="P24" s="25" t="s">
        <v>111</v>
      </c>
      <c r="Q24" s="25" t="s">
        <v>111</v>
      </c>
      <c r="R24" s="40" t="s">
        <v>143</v>
      </c>
      <c r="S24" s="40" t="s">
        <v>195</v>
      </c>
      <c r="T24" s="26" t="s">
        <v>93</v>
      </c>
      <c r="U24" s="26" t="s">
        <v>94</v>
      </c>
      <c r="V24" s="26" t="s">
        <v>220</v>
      </c>
      <c r="W24" s="26" t="s">
        <v>375</v>
      </c>
      <c r="X24" s="26" t="s">
        <v>198</v>
      </c>
      <c r="Y24" s="26" t="s">
        <v>221</v>
      </c>
      <c r="Z24" s="26" t="s">
        <v>222</v>
      </c>
      <c r="AA24" s="26" t="s">
        <v>149</v>
      </c>
      <c r="AB24" s="20" t="s">
        <v>511</v>
      </c>
      <c r="AC24" s="20" t="s">
        <v>97</v>
      </c>
      <c r="AD24" s="20" t="s">
        <v>511</v>
      </c>
      <c r="AE24" s="20" t="s">
        <v>97</v>
      </c>
      <c r="AF24" s="26" t="s">
        <v>79</v>
      </c>
      <c r="AG24" s="26" t="s">
        <v>75</v>
      </c>
      <c r="AH24" s="26" t="s">
        <v>76</v>
      </c>
      <c r="AI24" s="26" t="s">
        <v>76</v>
      </c>
      <c r="AJ24" s="26" t="s">
        <v>76</v>
      </c>
      <c r="AK24" s="26" t="s">
        <v>79</v>
      </c>
      <c r="AL24" s="26" t="s">
        <v>75</v>
      </c>
      <c r="AM24" s="26" t="s">
        <v>76</v>
      </c>
      <c r="AN24" s="26" t="s">
        <v>5</v>
      </c>
      <c r="AO24" s="26" t="s">
        <v>76</v>
      </c>
      <c r="AP24" s="20" t="s">
        <v>200</v>
      </c>
      <c r="AQ24" s="20" t="s">
        <v>376</v>
      </c>
      <c r="AR24" s="20" t="s">
        <v>152</v>
      </c>
      <c r="AS24" s="20" t="s">
        <v>181</v>
      </c>
      <c r="AT24" s="20" t="s">
        <v>297</v>
      </c>
      <c r="AU24" s="20" t="s">
        <v>155</v>
      </c>
      <c r="AV24" s="20" t="s">
        <v>126</v>
      </c>
      <c r="AW24" s="20" t="s">
        <v>156</v>
      </c>
      <c r="AX24" s="20" t="s">
        <v>156</v>
      </c>
      <c r="AY24" s="20" t="s">
        <v>182</v>
      </c>
      <c r="AZ24" s="20" t="s">
        <v>183</v>
      </c>
      <c r="BA24" s="20">
        <v>73</v>
      </c>
      <c r="BB24" s="20" t="s">
        <v>440</v>
      </c>
      <c r="BC24" s="26" t="s">
        <v>225</v>
      </c>
      <c r="BD24" s="26" t="s">
        <v>377</v>
      </c>
      <c r="BE24" s="26">
        <v>0.5</v>
      </c>
      <c r="BF24" s="20" t="s">
        <v>110</v>
      </c>
      <c r="BG24" s="20" t="s">
        <v>162</v>
      </c>
      <c r="BH24" s="20" t="s">
        <v>80</v>
      </c>
      <c r="BI24" s="20" t="s">
        <v>108</v>
      </c>
      <c r="BJ24" s="27" t="s">
        <v>165</v>
      </c>
      <c r="BK24" s="27" t="s">
        <v>227</v>
      </c>
      <c r="BL24" s="27" t="s">
        <v>378</v>
      </c>
      <c r="BM24" s="27" t="s">
        <v>378</v>
      </c>
      <c r="BN24" s="41" t="s">
        <v>109</v>
      </c>
      <c r="BO24" s="26" t="s">
        <v>211</v>
      </c>
      <c r="BP24" s="26" t="s">
        <v>213</v>
      </c>
      <c r="BQ24" s="26" t="s">
        <v>229</v>
      </c>
      <c r="BR24" s="26" t="s">
        <v>185</v>
      </c>
      <c r="BS24" s="26" t="s">
        <v>83</v>
      </c>
      <c r="BT24" s="31" t="str">
        <f>MID($BO$24, 1, 4)</f>
        <v>29.6</v>
      </c>
      <c r="BU24" s="31" t="str">
        <f>MID($BO$24,6,3)</f>
        <v>0.1</v>
      </c>
      <c r="BV24" s="31" t="e">
        <f t="shared" si="20"/>
        <v>#VALUE!</v>
      </c>
      <c r="BW24" s="31" t="e">
        <f t="shared" si="21"/>
        <v>#VALUE!</v>
      </c>
      <c r="BX24" s="31" t="e">
        <f t="shared" si="22"/>
        <v>#VALUE!</v>
      </c>
      <c r="BY24" s="31" t="e">
        <f t="shared" si="23"/>
        <v>#VALUE!</v>
      </c>
      <c r="BZ24" s="31" t="str">
        <f t="shared" si="6"/>
        <v>1.7</v>
      </c>
      <c r="CA24" s="31" t="str">
        <f>MID(BQ24,8,3)</f>
        <v>0.1</v>
      </c>
      <c r="CB24" s="31" t="e">
        <f t="shared" si="24"/>
        <v>#VALUE!</v>
      </c>
      <c r="CC24" s="31" t="e">
        <f t="shared" si="25"/>
        <v>#VALUE!</v>
      </c>
      <c r="CD24" s="31" t="e">
        <f t="shared" si="26"/>
        <v>#VALUE!</v>
      </c>
      <c r="CE24" s="31" t="e">
        <f t="shared" si="27"/>
        <v>#VALUE!</v>
      </c>
      <c r="CF24" s="31" t="str">
        <f t="shared" si="28"/>
        <v>3.7</v>
      </c>
      <c r="CG24" s="31" t="str">
        <f t="shared" si="29"/>
        <v>0.1</v>
      </c>
      <c r="CH24" s="19" t="e">
        <f t="shared" si="30"/>
        <v>#VALUE!</v>
      </c>
      <c r="CI24" s="31" t="e">
        <f t="shared" si="31"/>
        <v>#VALUE!</v>
      </c>
      <c r="CJ24" s="31" t="e">
        <f t="shared" si="32"/>
        <v>#VALUE!</v>
      </c>
      <c r="CK24" s="31" t="e">
        <f t="shared" si="33"/>
        <v>#VALUE!</v>
      </c>
      <c r="CL24" s="28" t="s">
        <v>714</v>
      </c>
    </row>
    <row r="25" spans="1:90" s="28" customFormat="1">
      <c r="A25" s="19" t="str">
        <f t="shared" si="18"/>
        <v>7-2</v>
      </c>
      <c r="B25" s="20">
        <v>7</v>
      </c>
      <c r="C25" s="21" t="s">
        <v>133</v>
      </c>
      <c r="D25" s="20" t="s">
        <v>252</v>
      </c>
      <c r="E25" s="20" t="s">
        <v>253</v>
      </c>
      <c r="F25" s="20" t="s">
        <v>254</v>
      </c>
      <c r="G25" s="22">
        <v>2</v>
      </c>
      <c r="H25" s="23" t="s">
        <v>77</v>
      </c>
      <c r="I25" s="24" t="s">
        <v>389</v>
      </c>
      <c r="J25" s="23" t="str">
        <f t="shared" si="19"/>
        <v xml:space="preserve">Hose, Water By-Pass; Ø 21 mm × 29 mm; TSB5501G-1E </v>
      </c>
      <c r="K25" s="23" t="s">
        <v>255</v>
      </c>
      <c r="L25" s="23" t="s">
        <v>256</v>
      </c>
      <c r="M25" s="23" t="s">
        <v>3</v>
      </c>
      <c r="N25" s="21" t="s">
        <v>142</v>
      </c>
      <c r="O25" s="21" t="s">
        <v>142</v>
      </c>
      <c r="P25" s="25" t="s">
        <v>111</v>
      </c>
      <c r="Q25" s="25" t="s">
        <v>111</v>
      </c>
      <c r="R25" s="40" t="s">
        <v>257</v>
      </c>
      <c r="S25" s="40" t="s">
        <v>258</v>
      </c>
      <c r="T25" s="26" t="s">
        <v>93</v>
      </c>
      <c r="U25" s="26" t="s">
        <v>94</v>
      </c>
      <c r="V25" s="26" t="s">
        <v>379</v>
      </c>
      <c r="W25" s="26" t="s">
        <v>380</v>
      </c>
      <c r="X25" s="26" t="s">
        <v>261</v>
      </c>
      <c r="Y25" s="26" t="s">
        <v>237</v>
      </c>
      <c r="Z25" s="26" t="s">
        <v>370</v>
      </c>
      <c r="AA25" s="26" t="s">
        <v>149</v>
      </c>
      <c r="AB25" s="20" t="s">
        <v>511</v>
      </c>
      <c r="AC25" s="20" t="s">
        <v>97</v>
      </c>
      <c r="AD25" s="20" t="s">
        <v>511</v>
      </c>
      <c r="AE25" s="20" t="s">
        <v>97</v>
      </c>
      <c r="AF25" s="26" t="s">
        <v>79</v>
      </c>
      <c r="AG25" s="26" t="s">
        <v>75</v>
      </c>
      <c r="AH25" s="26" t="s">
        <v>76</v>
      </c>
      <c r="AI25" s="26" t="s">
        <v>76</v>
      </c>
      <c r="AJ25" s="26" t="s">
        <v>76</v>
      </c>
      <c r="AK25" s="26" t="s">
        <v>79</v>
      </c>
      <c r="AL25" s="26" t="s">
        <v>75</v>
      </c>
      <c r="AM25" s="26" t="s">
        <v>372</v>
      </c>
      <c r="AN25" s="26" t="s">
        <v>5</v>
      </c>
      <c r="AO25" s="26" t="s">
        <v>76</v>
      </c>
      <c r="AP25" s="20" t="s">
        <v>263</v>
      </c>
      <c r="AQ25" s="20" t="s">
        <v>223</v>
      </c>
      <c r="AR25" s="20" t="s">
        <v>241</v>
      </c>
      <c r="AS25" s="20" t="s">
        <v>181</v>
      </c>
      <c r="AT25" s="20" t="s">
        <v>224</v>
      </c>
      <c r="AU25" s="20" t="s">
        <v>155</v>
      </c>
      <c r="AV25" s="20" t="s">
        <v>126</v>
      </c>
      <c r="AW25" s="20" t="s">
        <v>156</v>
      </c>
      <c r="AX25" s="20" t="s">
        <v>156</v>
      </c>
      <c r="AY25" s="20" t="s">
        <v>264</v>
      </c>
      <c r="AZ25" s="20" t="s">
        <v>265</v>
      </c>
      <c r="BA25" s="20">
        <v>53</v>
      </c>
      <c r="BB25" s="20" t="s">
        <v>446</v>
      </c>
      <c r="BC25" s="26" t="s">
        <v>381</v>
      </c>
      <c r="BD25" s="26" t="s">
        <v>382</v>
      </c>
      <c r="BE25" s="26">
        <v>0.5</v>
      </c>
      <c r="BF25" s="20" t="s">
        <v>110</v>
      </c>
      <c r="BG25" s="20" t="s">
        <v>162</v>
      </c>
      <c r="BH25" s="20" t="s">
        <v>80</v>
      </c>
      <c r="BI25" s="20" t="s">
        <v>108</v>
      </c>
      <c r="BJ25" s="27" t="s">
        <v>165</v>
      </c>
      <c r="BK25" s="27" t="s">
        <v>268</v>
      </c>
      <c r="BL25" s="27" t="s">
        <v>382</v>
      </c>
      <c r="BM25" s="27" t="s">
        <v>383</v>
      </c>
      <c r="BN25" s="41" t="s">
        <v>109</v>
      </c>
      <c r="BO25" s="26" t="s">
        <v>404</v>
      </c>
      <c r="BP25" s="26" t="s">
        <v>251</v>
      </c>
      <c r="BQ25" s="26" t="s">
        <v>168</v>
      </c>
      <c r="BR25" s="26" t="s">
        <v>270</v>
      </c>
      <c r="BS25" s="26" t="s">
        <v>83</v>
      </c>
      <c r="BT25" s="31" t="str">
        <f>MID($BO$25, 1, 4)</f>
        <v>21.0</v>
      </c>
      <c r="BU25" s="31" t="str">
        <f>MID($BO$25,6,3)</f>
        <v>0.2</v>
      </c>
      <c r="BV25" s="31" t="e">
        <f t="shared" si="20"/>
        <v>#VALUE!</v>
      </c>
      <c r="BW25" s="31" t="e">
        <f t="shared" si="21"/>
        <v>#VALUE!</v>
      </c>
      <c r="BX25" s="31" t="e">
        <f t="shared" si="22"/>
        <v>#VALUE!</v>
      </c>
      <c r="BY25" s="31" t="e">
        <f t="shared" si="23"/>
        <v>#VALUE!</v>
      </c>
      <c r="BZ25" s="31" t="str">
        <f t="shared" si="6"/>
        <v>2.2</v>
      </c>
      <c r="CA25" s="31" t="str">
        <f t="shared" ref="CA25:CA30" si="34">MID(BQ25,5,3)</f>
        <v>0.1</v>
      </c>
      <c r="CB25" s="31" t="e">
        <f t="shared" si="24"/>
        <v>#VALUE!</v>
      </c>
      <c r="CC25" s="31" t="e">
        <f t="shared" si="25"/>
        <v>#VALUE!</v>
      </c>
      <c r="CD25" s="31" t="e">
        <f t="shared" si="26"/>
        <v>#VALUE!</v>
      </c>
      <c r="CE25" s="31" t="e">
        <f t="shared" si="27"/>
        <v>#VALUE!</v>
      </c>
      <c r="CF25" s="31" t="str">
        <f t="shared" si="28"/>
        <v>4.0</v>
      </c>
      <c r="CG25" s="31" t="str">
        <f t="shared" si="29"/>
        <v>0.1</v>
      </c>
      <c r="CH25" s="19" t="e">
        <f t="shared" si="30"/>
        <v>#VALUE!</v>
      </c>
      <c r="CI25" s="31" t="e">
        <f t="shared" si="31"/>
        <v>#VALUE!</v>
      </c>
      <c r="CJ25" s="31" t="e">
        <f t="shared" si="32"/>
        <v>#VALUE!</v>
      </c>
      <c r="CK25" s="31" t="e">
        <f t="shared" si="33"/>
        <v>#VALUE!</v>
      </c>
      <c r="CL25" s="28" t="s">
        <v>726</v>
      </c>
    </row>
    <row r="26" spans="1:90" s="28" customFormat="1">
      <c r="A26" s="19" t="str">
        <f t="shared" si="18"/>
        <v>9-2</v>
      </c>
      <c r="B26" s="20">
        <v>9</v>
      </c>
      <c r="C26" s="21" t="s">
        <v>133</v>
      </c>
      <c r="D26" s="20" t="s">
        <v>293</v>
      </c>
      <c r="E26" s="20" t="s">
        <v>294</v>
      </c>
      <c r="F26" s="20" t="s">
        <v>295</v>
      </c>
      <c r="G26" s="22">
        <v>2</v>
      </c>
      <c r="H26" s="23" t="s">
        <v>77</v>
      </c>
      <c r="I26" s="24" t="s">
        <v>389</v>
      </c>
      <c r="J26" s="23" t="str">
        <f t="shared" si="19"/>
        <v xml:space="preserve">Hose, Water By-Pass; Ø 16 mm × 24 mm; TSB5501G-1E </v>
      </c>
      <c r="K26" s="23" t="s">
        <v>255</v>
      </c>
      <c r="L26" s="23" t="s">
        <v>274</v>
      </c>
      <c r="M26" s="23" t="s">
        <v>3</v>
      </c>
      <c r="N26" s="21" t="s">
        <v>142</v>
      </c>
      <c r="O26" s="21" t="s">
        <v>142</v>
      </c>
      <c r="P26" s="25" t="s">
        <v>111</v>
      </c>
      <c r="Q26" s="25" t="s">
        <v>111</v>
      </c>
      <c r="R26" s="40" t="s">
        <v>257</v>
      </c>
      <c r="S26" s="40" t="s">
        <v>275</v>
      </c>
      <c r="T26" s="26" t="s">
        <v>93</v>
      </c>
      <c r="U26" s="26" t="s">
        <v>94</v>
      </c>
      <c r="V26" s="26" t="s">
        <v>276</v>
      </c>
      <c r="W26" s="26" t="s">
        <v>384</v>
      </c>
      <c r="X26" s="26" t="s">
        <v>385</v>
      </c>
      <c r="Y26" s="26" t="s">
        <v>279</v>
      </c>
      <c r="Z26" s="26" t="s">
        <v>349</v>
      </c>
      <c r="AA26" s="26" t="s">
        <v>149</v>
      </c>
      <c r="AB26" s="20" t="s">
        <v>511</v>
      </c>
      <c r="AC26" s="20" t="s">
        <v>97</v>
      </c>
      <c r="AD26" s="20" t="s">
        <v>511</v>
      </c>
      <c r="AE26" s="20" t="s">
        <v>97</v>
      </c>
      <c r="AF26" s="26" t="s">
        <v>79</v>
      </c>
      <c r="AG26" s="26" t="s">
        <v>75</v>
      </c>
      <c r="AH26" s="26" t="s">
        <v>76</v>
      </c>
      <c r="AI26" s="26" t="s">
        <v>112</v>
      </c>
      <c r="AJ26" s="26" t="s">
        <v>76</v>
      </c>
      <c r="AK26" s="26" t="s">
        <v>79</v>
      </c>
      <c r="AL26" s="26" t="s">
        <v>363</v>
      </c>
      <c r="AM26" s="26" t="s">
        <v>76</v>
      </c>
      <c r="AN26" s="26" t="s">
        <v>5</v>
      </c>
      <c r="AO26" s="26" t="s">
        <v>76</v>
      </c>
      <c r="AP26" s="20" t="s">
        <v>280</v>
      </c>
      <c r="AQ26" s="20" t="s">
        <v>281</v>
      </c>
      <c r="AR26" s="20" t="s">
        <v>241</v>
      </c>
      <c r="AS26" s="20" t="s">
        <v>202</v>
      </c>
      <c r="AT26" s="20" t="s">
        <v>386</v>
      </c>
      <c r="AU26" s="20" t="s">
        <v>298</v>
      </c>
      <c r="AV26" s="20" t="s">
        <v>126</v>
      </c>
      <c r="AW26" s="20" t="s">
        <v>157</v>
      </c>
      <c r="AX26" s="20" t="s">
        <v>157</v>
      </c>
      <c r="AY26" s="20" t="s">
        <v>285</v>
      </c>
      <c r="AZ26" s="20" t="s">
        <v>286</v>
      </c>
      <c r="BA26" s="20">
        <v>50</v>
      </c>
      <c r="BB26" s="20" t="s">
        <v>112</v>
      </c>
      <c r="BC26" s="26" t="s">
        <v>299</v>
      </c>
      <c r="BD26" s="26" t="s">
        <v>387</v>
      </c>
      <c r="BE26" s="26">
        <v>0.5</v>
      </c>
      <c r="BF26" s="20" t="s">
        <v>110</v>
      </c>
      <c r="BG26" s="20" t="s">
        <v>162</v>
      </c>
      <c r="BH26" s="20" t="s">
        <v>80</v>
      </c>
      <c r="BI26" s="20" t="s">
        <v>108</v>
      </c>
      <c r="BJ26" s="27" t="s">
        <v>165</v>
      </c>
      <c r="BK26" s="27" t="s">
        <v>289</v>
      </c>
      <c r="BL26" s="27" t="s">
        <v>387</v>
      </c>
      <c r="BM26" s="27" t="s">
        <v>387</v>
      </c>
      <c r="BN26" s="41" t="s">
        <v>109</v>
      </c>
      <c r="BO26" s="26" t="s">
        <v>405</v>
      </c>
      <c r="BP26" s="26" t="s">
        <v>406</v>
      </c>
      <c r="BQ26" s="26" t="s">
        <v>292</v>
      </c>
      <c r="BR26" s="26" t="s">
        <v>81</v>
      </c>
      <c r="BS26" s="26" t="s">
        <v>83</v>
      </c>
      <c r="BT26" s="31" t="str">
        <f>MID($BO$26, 1, 4)</f>
        <v>15.9</v>
      </c>
      <c r="BU26" s="31" t="str">
        <f>MID($BO$26,6,3)</f>
        <v>0.1</v>
      </c>
      <c r="BV26" s="31" t="e">
        <f t="shared" si="20"/>
        <v>#VALUE!</v>
      </c>
      <c r="BW26" s="31" t="e">
        <f t="shared" si="21"/>
        <v>#VALUE!</v>
      </c>
      <c r="BX26" s="31" t="e">
        <f t="shared" si="22"/>
        <v>#VALUE!</v>
      </c>
      <c r="BY26" s="31" t="e">
        <f t="shared" si="23"/>
        <v>#VALUE!</v>
      </c>
      <c r="BZ26" s="31" t="str">
        <f t="shared" si="6"/>
        <v>1.8</v>
      </c>
      <c r="CA26" s="31" t="str">
        <f t="shared" si="34"/>
        <v>0.1</v>
      </c>
      <c r="CB26" s="31" t="e">
        <f t="shared" si="24"/>
        <v>#VALUE!</v>
      </c>
      <c r="CC26" s="31" t="e">
        <f t="shared" si="25"/>
        <v>#VALUE!</v>
      </c>
      <c r="CD26" s="31" t="e">
        <f t="shared" si="26"/>
        <v>#VALUE!</v>
      </c>
      <c r="CE26" s="31" t="e">
        <f t="shared" si="27"/>
        <v>#VALUE!</v>
      </c>
      <c r="CF26" s="31" t="str">
        <f t="shared" si="28"/>
        <v>3.8</v>
      </c>
      <c r="CG26" s="31" t="str">
        <f t="shared" si="29"/>
        <v>0.1</v>
      </c>
      <c r="CH26" s="19" t="e">
        <f t="shared" si="30"/>
        <v>#VALUE!</v>
      </c>
      <c r="CI26" s="31" t="e">
        <f t="shared" si="31"/>
        <v>#VALUE!</v>
      </c>
      <c r="CJ26" s="31" t="e">
        <f t="shared" si="32"/>
        <v>#VALUE!</v>
      </c>
      <c r="CK26" s="31" t="e">
        <f t="shared" si="33"/>
        <v>#VALUE!</v>
      </c>
      <c r="CL26" s="28" t="s">
        <v>723</v>
      </c>
    </row>
    <row r="27" spans="1:90" s="28" customFormat="1">
      <c r="A27" s="19" t="str">
        <f t="shared" si="18"/>
        <v>10-2</v>
      </c>
      <c r="B27" s="20">
        <v>10</v>
      </c>
      <c r="C27" s="21" t="s">
        <v>133</v>
      </c>
      <c r="D27" s="20" t="s">
        <v>301</v>
      </c>
      <c r="E27" s="20" t="s">
        <v>302</v>
      </c>
      <c r="F27" s="20" t="s">
        <v>303</v>
      </c>
      <c r="G27" s="22">
        <v>2</v>
      </c>
      <c r="H27" s="23" t="s">
        <v>304</v>
      </c>
      <c r="I27" s="24" t="s">
        <v>389</v>
      </c>
      <c r="J27" s="23" t="str">
        <f t="shared" si="19"/>
        <v xml:space="preserve">Hose, Water By-Pass; Ø 13 mm × 21 mm; TSB5501G-1F </v>
      </c>
      <c r="K27" s="23" t="s">
        <v>255</v>
      </c>
      <c r="L27" s="23" t="s">
        <v>305</v>
      </c>
      <c r="M27" s="23" t="s">
        <v>193</v>
      </c>
      <c r="N27" s="21" t="s">
        <v>194</v>
      </c>
      <c r="O27" s="21" t="s">
        <v>194</v>
      </c>
      <c r="P27" s="25" t="s">
        <v>111</v>
      </c>
      <c r="Q27" s="25" t="s">
        <v>111</v>
      </c>
      <c r="R27" s="40" t="s">
        <v>257</v>
      </c>
      <c r="S27" s="40" t="s">
        <v>306</v>
      </c>
      <c r="T27" s="26" t="s">
        <v>93</v>
      </c>
      <c r="U27" s="26" t="s">
        <v>94</v>
      </c>
      <c r="V27" s="26" t="s">
        <v>307</v>
      </c>
      <c r="W27" s="26" t="s">
        <v>308</v>
      </c>
      <c r="X27" s="26" t="s">
        <v>291</v>
      </c>
      <c r="Y27" s="26" t="s">
        <v>296</v>
      </c>
      <c r="Z27" s="26" t="s">
        <v>78</v>
      </c>
      <c r="AA27" s="26" t="s">
        <v>149</v>
      </c>
      <c r="AB27" s="20" t="s">
        <v>511</v>
      </c>
      <c r="AC27" s="20" t="s">
        <v>97</v>
      </c>
      <c r="AD27" s="20" t="s">
        <v>511</v>
      </c>
      <c r="AE27" s="20" t="s">
        <v>97</v>
      </c>
      <c r="AF27" s="26" t="s">
        <v>79</v>
      </c>
      <c r="AG27" s="26" t="s">
        <v>75</v>
      </c>
      <c r="AH27" s="26" t="s">
        <v>76</v>
      </c>
      <c r="AI27" s="26" t="s">
        <v>76</v>
      </c>
      <c r="AJ27" s="26" t="s">
        <v>76</v>
      </c>
      <c r="AK27" s="26" t="s">
        <v>79</v>
      </c>
      <c r="AL27" s="26" t="s">
        <v>371</v>
      </c>
      <c r="AM27" s="26" t="s">
        <v>76</v>
      </c>
      <c r="AN27" s="26" t="s">
        <v>5</v>
      </c>
      <c r="AO27" s="26" t="s">
        <v>76</v>
      </c>
      <c r="AP27" s="20" t="s">
        <v>309</v>
      </c>
      <c r="AQ27" s="20" t="s">
        <v>310</v>
      </c>
      <c r="AR27" s="20" t="s">
        <v>241</v>
      </c>
      <c r="AS27" s="20" t="s">
        <v>202</v>
      </c>
      <c r="AT27" s="20" t="s">
        <v>311</v>
      </c>
      <c r="AU27" s="20" t="s">
        <v>312</v>
      </c>
      <c r="AV27" s="20" t="s">
        <v>126</v>
      </c>
      <c r="AW27" s="20" t="s">
        <v>156</v>
      </c>
      <c r="AX27" s="20" t="s">
        <v>156</v>
      </c>
      <c r="AY27" s="20" t="s">
        <v>313</v>
      </c>
      <c r="AZ27" s="20" t="s">
        <v>314</v>
      </c>
      <c r="BA27" s="20">
        <v>45</v>
      </c>
      <c r="BB27" s="20" t="s">
        <v>443</v>
      </c>
      <c r="BC27" s="26" t="s">
        <v>315</v>
      </c>
      <c r="BD27" s="26" t="s">
        <v>388</v>
      </c>
      <c r="BE27" s="26">
        <v>0.5</v>
      </c>
      <c r="BF27" s="20" t="s">
        <v>110</v>
      </c>
      <c r="BG27" s="20" t="s">
        <v>162</v>
      </c>
      <c r="BH27" s="20" t="s">
        <v>80</v>
      </c>
      <c r="BI27" s="20" t="s">
        <v>108</v>
      </c>
      <c r="BJ27" s="27" t="s">
        <v>165</v>
      </c>
      <c r="BK27" s="27" t="s">
        <v>316</v>
      </c>
      <c r="BL27" s="27" t="s">
        <v>388</v>
      </c>
      <c r="BM27" s="27" t="s">
        <v>388</v>
      </c>
      <c r="BN27" s="41" t="s">
        <v>109</v>
      </c>
      <c r="BO27" s="26" t="s">
        <v>407</v>
      </c>
      <c r="BP27" s="26" t="s">
        <v>408</v>
      </c>
      <c r="BQ27" s="26" t="s">
        <v>318</v>
      </c>
      <c r="BR27" s="26" t="s">
        <v>245</v>
      </c>
      <c r="BS27" s="26" t="s">
        <v>83</v>
      </c>
      <c r="BT27" s="31" t="str">
        <f>MID($BO$27, 1, 4)</f>
        <v>12.9</v>
      </c>
      <c r="BU27" s="31" t="str">
        <f>MID($BO$27,6,3)</f>
        <v>0.1</v>
      </c>
      <c r="BV27" s="31" t="e">
        <f t="shared" si="20"/>
        <v>#VALUE!</v>
      </c>
      <c r="BW27" s="31" t="e">
        <f t="shared" si="21"/>
        <v>#VALUE!</v>
      </c>
      <c r="BX27" s="31" t="e">
        <f t="shared" si="22"/>
        <v>#VALUE!</v>
      </c>
      <c r="BY27" s="31" t="e">
        <f t="shared" si="23"/>
        <v>#VALUE!</v>
      </c>
      <c r="BZ27" s="31" t="str">
        <f t="shared" si="6"/>
        <v>1.9</v>
      </c>
      <c r="CA27" s="31" t="str">
        <f t="shared" si="34"/>
        <v>0.1</v>
      </c>
      <c r="CB27" s="31" t="e">
        <f t="shared" si="24"/>
        <v>#VALUE!</v>
      </c>
      <c r="CC27" s="31" t="e">
        <f t="shared" si="25"/>
        <v>#VALUE!</v>
      </c>
      <c r="CD27" s="31" t="e">
        <f t="shared" si="26"/>
        <v>#VALUE!</v>
      </c>
      <c r="CE27" s="31" t="e">
        <f t="shared" si="27"/>
        <v>#VALUE!</v>
      </c>
      <c r="CF27" s="31" t="str">
        <f t="shared" si="28"/>
        <v>3.9</v>
      </c>
      <c r="CG27" s="31" t="str">
        <f t="shared" si="29"/>
        <v>0.1</v>
      </c>
      <c r="CH27" s="19" t="e">
        <f t="shared" si="30"/>
        <v>#VALUE!</v>
      </c>
      <c r="CI27" s="31" t="e">
        <f t="shared" si="31"/>
        <v>#VALUE!</v>
      </c>
      <c r="CJ27" s="31" t="e">
        <f t="shared" si="32"/>
        <v>#VALUE!</v>
      </c>
      <c r="CK27" s="31" t="e">
        <f t="shared" si="33"/>
        <v>#VALUE!</v>
      </c>
      <c r="CL27" s="28" t="s">
        <v>722</v>
      </c>
    </row>
    <row r="28" spans="1:90" s="28" customFormat="1">
      <c r="A28" s="19" t="str">
        <f t="shared" ref="A28:A46" si="35">CONCATENATE(B28,"-",G28)</f>
        <v>12-2</v>
      </c>
      <c r="B28" s="20">
        <v>12</v>
      </c>
      <c r="C28" s="21" t="s">
        <v>133</v>
      </c>
      <c r="D28" s="20" t="s">
        <v>321</v>
      </c>
      <c r="E28" s="20" t="s">
        <v>322</v>
      </c>
      <c r="F28" s="20" t="s">
        <v>323</v>
      </c>
      <c r="G28" s="22">
        <v>2</v>
      </c>
      <c r="H28" s="23" t="s">
        <v>77</v>
      </c>
      <c r="I28" s="24" t="s">
        <v>389</v>
      </c>
      <c r="J28" s="23" t="str">
        <f t="shared" ref="J28:J46" si="36">CONCATENATE(K28,"; ",L28,"; ",M28," ")</f>
        <v xml:space="preserve">Hose, Water By-Pass; Ø 11 mm × 18 mm; TSB5501G-1E </v>
      </c>
      <c r="K28" s="23" t="s">
        <v>255</v>
      </c>
      <c r="L28" s="23" t="s">
        <v>324</v>
      </c>
      <c r="M28" s="23" t="s">
        <v>3</v>
      </c>
      <c r="N28" s="21" t="s">
        <v>142</v>
      </c>
      <c r="O28" s="21" t="s">
        <v>142</v>
      </c>
      <c r="P28" s="25" t="s">
        <v>111</v>
      </c>
      <c r="Q28" s="25" t="s">
        <v>111</v>
      </c>
      <c r="R28" s="40" t="s">
        <v>325</v>
      </c>
      <c r="S28" s="40" t="s">
        <v>326</v>
      </c>
      <c r="T28" s="26" t="s">
        <v>93</v>
      </c>
      <c r="U28" s="26" t="s">
        <v>94</v>
      </c>
      <c r="V28" s="26" t="s">
        <v>382</v>
      </c>
      <c r="W28" s="26" t="s">
        <v>328</v>
      </c>
      <c r="X28" s="26" t="s">
        <v>390</v>
      </c>
      <c r="Y28" s="26" t="s">
        <v>330</v>
      </c>
      <c r="Z28" s="26" t="s">
        <v>78</v>
      </c>
      <c r="AA28" s="26" t="s">
        <v>149</v>
      </c>
      <c r="AB28" s="20" t="s">
        <v>511</v>
      </c>
      <c r="AC28" s="20" t="s">
        <v>97</v>
      </c>
      <c r="AD28" s="20" t="s">
        <v>511</v>
      </c>
      <c r="AE28" s="20" t="s">
        <v>97</v>
      </c>
      <c r="AF28" s="26" t="s">
        <v>79</v>
      </c>
      <c r="AG28" s="26" t="s">
        <v>75</v>
      </c>
      <c r="AH28" s="26" t="s">
        <v>76</v>
      </c>
      <c r="AI28" s="26" t="s">
        <v>112</v>
      </c>
      <c r="AJ28" s="26" t="s">
        <v>76</v>
      </c>
      <c r="AK28" s="26" t="s">
        <v>79</v>
      </c>
      <c r="AL28" s="26" t="s">
        <v>363</v>
      </c>
      <c r="AM28" s="26" t="s">
        <v>112</v>
      </c>
      <c r="AN28" s="26" t="s">
        <v>5</v>
      </c>
      <c r="AO28" s="26" t="s">
        <v>363</v>
      </c>
      <c r="AP28" s="20" t="s">
        <v>331</v>
      </c>
      <c r="AQ28" s="20" t="s">
        <v>310</v>
      </c>
      <c r="AR28" s="20" t="s">
        <v>332</v>
      </c>
      <c r="AS28" s="20" t="s">
        <v>202</v>
      </c>
      <c r="AT28" s="20" t="s">
        <v>333</v>
      </c>
      <c r="AU28" s="20" t="s">
        <v>334</v>
      </c>
      <c r="AV28" s="20" t="s">
        <v>335</v>
      </c>
      <c r="AW28" s="20" t="s">
        <v>163</v>
      </c>
      <c r="AX28" s="20" t="s">
        <v>157</v>
      </c>
      <c r="AY28" s="20" t="s">
        <v>336</v>
      </c>
      <c r="AZ28" s="20" t="s">
        <v>337</v>
      </c>
      <c r="BA28" s="20">
        <v>35</v>
      </c>
      <c r="BB28" s="20" t="s">
        <v>447</v>
      </c>
      <c r="BC28" s="26" t="s">
        <v>391</v>
      </c>
      <c r="BD28" s="26" t="s">
        <v>392</v>
      </c>
      <c r="BE28" s="26">
        <v>0.5</v>
      </c>
      <c r="BF28" s="20" t="s">
        <v>110</v>
      </c>
      <c r="BG28" s="20" t="s">
        <v>162</v>
      </c>
      <c r="BH28" s="20" t="s">
        <v>80</v>
      </c>
      <c r="BI28" s="20" t="s">
        <v>108</v>
      </c>
      <c r="BJ28" s="27" t="s">
        <v>340</v>
      </c>
      <c r="BK28" s="27" t="s">
        <v>341</v>
      </c>
      <c r="BL28" s="27" t="s">
        <v>392</v>
      </c>
      <c r="BM28" s="27" t="s">
        <v>393</v>
      </c>
      <c r="BN28" s="41" t="s">
        <v>109</v>
      </c>
      <c r="BO28" s="26" t="s">
        <v>419</v>
      </c>
      <c r="BP28" s="26" t="s">
        <v>409</v>
      </c>
      <c r="BQ28" s="26" t="s">
        <v>292</v>
      </c>
      <c r="BR28" s="26" t="s">
        <v>343</v>
      </c>
      <c r="BS28" s="26" t="s">
        <v>83</v>
      </c>
      <c r="BT28" s="31" t="str">
        <f>MID($BO$28, 1, 4)</f>
        <v>11.0</v>
      </c>
      <c r="BU28" s="31" t="str">
        <f>MID($BO$28,6,3)</f>
        <v>0.1</v>
      </c>
      <c r="BV28" s="31" t="e">
        <f t="shared" ref="BV28:BV46" si="37">BT28-(BU28/2)</f>
        <v>#VALUE!</v>
      </c>
      <c r="BW28" s="31" t="e">
        <f t="shared" ref="BW28:BW46" si="38">BT28-BU28</f>
        <v>#VALUE!</v>
      </c>
      <c r="BX28" s="31" t="e">
        <f t="shared" ref="BX28:BX46" si="39">BT28+(BU28/2)</f>
        <v>#VALUE!</v>
      </c>
      <c r="BY28" s="31" t="e">
        <f t="shared" ref="BY28:BY46" si="40">BT28+BU28</f>
        <v>#VALUE!</v>
      </c>
      <c r="BZ28" s="31" t="str">
        <f t="shared" si="6"/>
        <v>1.8</v>
      </c>
      <c r="CA28" s="31" t="str">
        <f t="shared" si="34"/>
        <v>0.1</v>
      </c>
      <c r="CB28" s="31" t="e">
        <f t="shared" si="24"/>
        <v>#VALUE!</v>
      </c>
      <c r="CC28" s="31" t="e">
        <f t="shared" si="25"/>
        <v>#VALUE!</v>
      </c>
      <c r="CD28" s="31" t="e">
        <f t="shared" si="26"/>
        <v>#VALUE!</v>
      </c>
      <c r="CE28" s="31" t="e">
        <f t="shared" ref="CE28:CE41" si="41">BZ28+CA28</f>
        <v>#VALUE!</v>
      </c>
      <c r="CF28" s="31" t="str">
        <f t="shared" ref="CF28:CF46" si="42">MID(BR28,1,3)</f>
        <v>3.4</v>
      </c>
      <c r="CG28" s="31" t="str">
        <f t="shared" ref="CG28:CG46" si="43">MID(BR28,5,3)</f>
        <v>0.1</v>
      </c>
      <c r="CH28" s="19" t="e">
        <f t="shared" ref="CH28:CH46" si="44">CF28-(CG28/2)</f>
        <v>#VALUE!</v>
      </c>
      <c r="CI28" s="31" t="e">
        <f t="shared" ref="CI28:CI46" si="45">CF28-CG28</f>
        <v>#VALUE!</v>
      </c>
      <c r="CJ28" s="31" t="e">
        <f t="shared" ref="CJ28:CJ46" si="46">CF28+(CG28/2)</f>
        <v>#VALUE!</v>
      </c>
      <c r="CK28" s="31" t="e">
        <f t="shared" ref="CK28:CK46" si="47">CF28+CG28</f>
        <v>#VALUE!</v>
      </c>
      <c r="CL28" s="28" t="s">
        <v>721</v>
      </c>
    </row>
    <row r="29" spans="1:90" s="28" customFormat="1">
      <c r="A29" s="19" t="str">
        <f t="shared" si="35"/>
        <v>13-2</v>
      </c>
      <c r="B29" s="20">
        <v>13</v>
      </c>
      <c r="C29" s="21" t="s">
        <v>133</v>
      </c>
      <c r="D29" s="20" t="s">
        <v>433</v>
      </c>
      <c r="E29" s="20" t="s">
        <v>434</v>
      </c>
      <c r="F29" s="20" t="s">
        <v>435</v>
      </c>
      <c r="G29" s="22">
        <v>2</v>
      </c>
      <c r="H29" s="23" t="s">
        <v>77</v>
      </c>
      <c r="I29" s="24" t="s">
        <v>389</v>
      </c>
      <c r="J29" s="23" t="str">
        <f t="shared" si="36"/>
        <v xml:space="preserve">Hose, Water By-Pass; Ø 7.5 mm × 14.5 mm; TSB5501G-1E </v>
      </c>
      <c r="K29" s="23" t="s">
        <v>255</v>
      </c>
      <c r="L29" s="23" t="s">
        <v>344</v>
      </c>
      <c r="M29" s="23" t="s">
        <v>3</v>
      </c>
      <c r="N29" s="21" t="s">
        <v>142</v>
      </c>
      <c r="O29" s="21" t="s">
        <v>142</v>
      </c>
      <c r="P29" s="25" t="s">
        <v>111</v>
      </c>
      <c r="Q29" s="25" t="s">
        <v>111</v>
      </c>
      <c r="R29" s="40" t="s">
        <v>325</v>
      </c>
      <c r="S29" s="40" t="s">
        <v>345</v>
      </c>
      <c r="T29" s="26" t="s">
        <v>93</v>
      </c>
      <c r="U29" s="26" t="s">
        <v>94</v>
      </c>
      <c r="V29" s="26" t="s">
        <v>300</v>
      </c>
      <c r="W29" s="26" t="s">
        <v>383</v>
      </c>
      <c r="X29" s="26" t="s">
        <v>394</v>
      </c>
      <c r="Y29" s="26" t="s">
        <v>348</v>
      </c>
      <c r="Z29" s="26" t="s">
        <v>356</v>
      </c>
      <c r="AA29" s="26" t="s">
        <v>350</v>
      </c>
      <c r="AB29" s="20" t="s">
        <v>511</v>
      </c>
      <c r="AC29" s="20" t="s">
        <v>97</v>
      </c>
      <c r="AD29" s="20" t="s">
        <v>511</v>
      </c>
      <c r="AE29" s="20" t="s">
        <v>97</v>
      </c>
      <c r="AF29" s="26" t="s">
        <v>79</v>
      </c>
      <c r="AG29" s="26" t="s">
        <v>75</v>
      </c>
      <c r="AH29" s="26" t="s">
        <v>76</v>
      </c>
      <c r="AI29" s="26" t="s">
        <v>112</v>
      </c>
      <c r="AJ29" s="26" t="s">
        <v>76</v>
      </c>
      <c r="AK29" s="26" t="s">
        <v>79</v>
      </c>
      <c r="AL29" s="26" t="s">
        <v>363</v>
      </c>
      <c r="AM29" s="26" t="s">
        <v>363</v>
      </c>
      <c r="AN29" s="26" t="s">
        <v>5</v>
      </c>
      <c r="AO29" s="26" t="s">
        <v>363</v>
      </c>
      <c r="AP29" s="20" t="s">
        <v>351</v>
      </c>
      <c r="AQ29" s="20" t="s">
        <v>352</v>
      </c>
      <c r="AR29" s="20" t="s">
        <v>241</v>
      </c>
      <c r="AS29" s="20" t="s">
        <v>181</v>
      </c>
      <c r="AT29" s="20" t="s">
        <v>333</v>
      </c>
      <c r="AU29" s="20" t="s">
        <v>334</v>
      </c>
      <c r="AV29" s="20" t="s">
        <v>126</v>
      </c>
      <c r="AW29" s="20" t="s">
        <v>163</v>
      </c>
      <c r="AX29" s="20" t="s">
        <v>157</v>
      </c>
      <c r="AY29" s="20" t="s">
        <v>353</v>
      </c>
      <c r="AZ29" s="20" t="s">
        <v>354</v>
      </c>
      <c r="BA29" s="20">
        <v>31</v>
      </c>
      <c r="BB29" s="20" t="s">
        <v>445</v>
      </c>
      <c r="BC29" s="26" t="s">
        <v>395</v>
      </c>
      <c r="BD29" s="26" t="s">
        <v>397</v>
      </c>
      <c r="BE29" s="26">
        <v>0.5</v>
      </c>
      <c r="BF29" s="20" t="s">
        <v>110</v>
      </c>
      <c r="BG29" s="20" t="s">
        <v>162</v>
      </c>
      <c r="BH29" s="20" t="s">
        <v>80</v>
      </c>
      <c r="BI29" s="20" t="s">
        <v>108</v>
      </c>
      <c r="BJ29" s="27" t="s">
        <v>165</v>
      </c>
      <c r="BK29" s="27" t="s">
        <v>357</v>
      </c>
      <c r="BL29" s="27" t="s">
        <v>396</v>
      </c>
      <c r="BM29" s="27" t="s">
        <v>397</v>
      </c>
      <c r="BN29" s="41" t="s">
        <v>109</v>
      </c>
      <c r="BO29" s="26" t="s">
        <v>359</v>
      </c>
      <c r="BP29" s="26" t="s">
        <v>362</v>
      </c>
      <c r="BQ29" s="26" t="s">
        <v>360</v>
      </c>
      <c r="BR29" s="26" t="s">
        <v>361</v>
      </c>
      <c r="BS29" s="26" t="s">
        <v>83</v>
      </c>
      <c r="BT29" s="31" t="str">
        <f>MID($BO$29, 1, 3)</f>
        <v>7.5</v>
      </c>
      <c r="BU29" s="31" t="str">
        <f>MID($BO$29,5,3)</f>
        <v>0.1</v>
      </c>
      <c r="BV29" s="31" t="e">
        <f t="shared" si="37"/>
        <v>#VALUE!</v>
      </c>
      <c r="BW29" s="31" t="e">
        <f t="shared" si="38"/>
        <v>#VALUE!</v>
      </c>
      <c r="BX29" s="31" t="e">
        <f t="shared" si="39"/>
        <v>#VALUE!</v>
      </c>
      <c r="BY29" s="31" t="e">
        <f t="shared" si="40"/>
        <v>#VALUE!</v>
      </c>
      <c r="BZ29" s="31" t="str">
        <f t="shared" si="6"/>
        <v>1.6</v>
      </c>
      <c r="CA29" s="31" t="str">
        <f t="shared" si="34"/>
        <v>0.1</v>
      </c>
      <c r="CB29" s="31" t="e">
        <f t="shared" si="24"/>
        <v>#VALUE!</v>
      </c>
      <c r="CC29" s="31" t="e">
        <f t="shared" si="25"/>
        <v>#VALUE!</v>
      </c>
      <c r="CD29" s="31" t="e">
        <f t="shared" si="26"/>
        <v>#VALUE!</v>
      </c>
      <c r="CE29" s="31" t="e">
        <f t="shared" si="41"/>
        <v>#VALUE!</v>
      </c>
      <c r="CF29" s="31" t="str">
        <f t="shared" si="42"/>
        <v>3.3</v>
      </c>
      <c r="CG29" s="31" t="str">
        <f t="shared" si="43"/>
        <v>0.1</v>
      </c>
      <c r="CH29" s="19" t="e">
        <f t="shared" si="44"/>
        <v>#VALUE!</v>
      </c>
      <c r="CI29" s="31" t="e">
        <f t="shared" si="45"/>
        <v>#VALUE!</v>
      </c>
      <c r="CJ29" s="31" t="e">
        <f t="shared" si="46"/>
        <v>#VALUE!</v>
      </c>
      <c r="CK29" s="31" t="e">
        <f t="shared" si="47"/>
        <v>#VALUE!</v>
      </c>
      <c r="CL29" s="28" t="s">
        <v>728</v>
      </c>
    </row>
    <row r="30" spans="1:90" s="28" customFormat="1">
      <c r="A30" s="19" t="str">
        <f t="shared" si="35"/>
        <v>2-2</v>
      </c>
      <c r="B30" s="20">
        <v>2</v>
      </c>
      <c r="C30" s="21" t="s">
        <v>133</v>
      </c>
      <c r="D30" s="20" t="s">
        <v>170</v>
      </c>
      <c r="E30" s="20" t="s">
        <v>171</v>
      </c>
      <c r="F30" s="20" t="s">
        <v>172</v>
      </c>
      <c r="G30" s="22">
        <v>2</v>
      </c>
      <c r="H30" s="23" t="s">
        <v>77</v>
      </c>
      <c r="I30" s="24" t="s">
        <v>425</v>
      </c>
      <c r="J30" s="23" t="str">
        <f t="shared" si="36"/>
        <v xml:space="preserve">Hose, Radiator; Ø 33 mm × 42 mm; TSB5501G-1E </v>
      </c>
      <c r="K30" s="23" t="s">
        <v>140</v>
      </c>
      <c r="L30" s="23" t="s">
        <v>173</v>
      </c>
      <c r="M30" s="23" t="s">
        <v>3</v>
      </c>
      <c r="N30" s="21" t="s">
        <v>142</v>
      </c>
      <c r="O30" s="21" t="s">
        <v>142</v>
      </c>
      <c r="P30" s="25" t="s">
        <v>111</v>
      </c>
      <c r="Q30" s="25" t="s">
        <v>111</v>
      </c>
      <c r="R30" s="40" t="s">
        <v>143</v>
      </c>
      <c r="S30" s="40" t="s">
        <v>174</v>
      </c>
      <c r="T30" s="26" t="s">
        <v>93</v>
      </c>
      <c r="U30" s="26" t="s">
        <v>94</v>
      </c>
      <c r="V30" s="26" t="s">
        <v>175</v>
      </c>
      <c r="W30" s="26" t="s">
        <v>176</v>
      </c>
      <c r="X30" s="26" t="s">
        <v>177</v>
      </c>
      <c r="Y30" s="26" t="s">
        <v>178</v>
      </c>
      <c r="Z30" s="26" t="s">
        <v>125</v>
      </c>
      <c r="AA30" s="26" t="s">
        <v>149</v>
      </c>
      <c r="AB30" s="20" t="s">
        <v>511</v>
      </c>
      <c r="AC30" s="20" t="s">
        <v>97</v>
      </c>
      <c r="AD30" s="20" t="s">
        <v>511</v>
      </c>
      <c r="AE30" s="20" t="s">
        <v>97</v>
      </c>
      <c r="AF30" s="26" t="s">
        <v>79</v>
      </c>
      <c r="AG30" s="26" t="s">
        <v>75</v>
      </c>
      <c r="AH30" s="26" t="s">
        <v>76</v>
      </c>
      <c r="AI30" s="26" t="s">
        <v>112</v>
      </c>
      <c r="AJ30" s="26" t="s">
        <v>76</v>
      </c>
      <c r="AK30" s="26" t="s">
        <v>79</v>
      </c>
      <c r="AL30" s="26" t="s">
        <v>75</v>
      </c>
      <c r="AM30" s="26" t="s">
        <v>112</v>
      </c>
      <c r="AN30" s="26" t="s">
        <v>5</v>
      </c>
      <c r="AO30" s="26" t="s">
        <v>76</v>
      </c>
      <c r="AP30" s="20" t="s">
        <v>179</v>
      </c>
      <c r="AQ30" s="20" t="s">
        <v>180</v>
      </c>
      <c r="AR30" s="20" t="s">
        <v>152</v>
      </c>
      <c r="AS30" s="20" t="s">
        <v>181</v>
      </c>
      <c r="AT30" s="20" t="s">
        <v>154</v>
      </c>
      <c r="AU30" s="20" t="s">
        <v>155</v>
      </c>
      <c r="AV30" s="20" t="s">
        <v>126</v>
      </c>
      <c r="AW30" s="20" t="s">
        <v>163</v>
      </c>
      <c r="AX30" s="20" t="s">
        <v>157</v>
      </c>
      <c r="AY30" s="20" t="s">
        <v>182</v>
      </c>
      <c r="AZ30" s="20" t="s">
        <v>183</v>
      </c>
      <c r="BA30" s="20">
        <v>73</v>
      </c>
      <c r="BB30" s="20" t="s">
        <v>440</v>
      </c>
      <c r="BC30" s="26" t="s">
        <v>184</v>
      </c>
      <c r="BD30" s="26" t="s">
        <v>185</v>
      </c>
      <c r="BE30" s="26">
        <v>0.5</v>
      </c>
      <c r="BF30" s="20" t="s">
        <v>424</v>
      </c>
      <c r="BG30" s="20" t="s">
        <v>426</v>
      </c>
      <c r="BH30" s="20" t="s">
        <v>5</v>
      </c>
      <c r="BI30" s="20" t="s">
        <v>108</v>
      </c>
      <c r="BJ30" s="27" t="s">
        <v>165</v>
      </c>
      <c r="BK30" s="27" t="s">
        <v>157</v>
      </c>
      <c r="BL30" s="27" t="s">
        <v>186</v>
      </c>
      <c r="BM30" s="27" t="s">
        <v>186</v>
      </c>
      <c r="BN30" s="41" t="s">
        <v>109</v>
      </c>
      <c r="BO30" s="26" t="s">
        <v>418</v>
      </c>
      <c r="BP30" s="26" t="s">
        <v>400</v>
      </c>
      <c r="BQ30" s="26" t="s">
        <v>187</v>
      </c>
      <c r="BR30" s="26" t="s">
        <v>114</v>
      </c>
      <c r="BS30" s="26" t="s">
        <v>83</v>
      </c>
      <c r="BT30" s="31" t="str">
        <f>MID($BO$9, 1, 4)</f>
        <v>33.0</v>
      </c>
      <c r="BU30" s="31" t="str">
        <f>MID($BO$9,6,3)</f>
        <v>0.2</v>
      </c>
      <c r="BV30" s="31" t="e">
        <f t="shared" si="37"/>
        <v>#VALUE!</v>
      </c>
      <c r="BW30" s="31" t="e">
        <f t="shared" si="38"/>
        <v>#VALUE!</v>
      </c>
      <c r="BX30" s="31" t="e">
        <f t="shared" si="39"/>
        <v>#VALUE!</v>
      </c>
      <c r="BY30" s="31" t="e">
        <f t="shared" si="40"/>
        <v>#VALUE!</v>
      </c>
      <c r="BZ30" s="31" t="str">
        <f t="shared" si="6"/>
        <v>2.0</v>
      </c>
      <c r="CA30" s="31" t="str">
        <f t="shared" si="34"/>
        <v>0.1</v>
      </c>
      <c r="CB30" s="31" t="e">
        <f t="shared" si="24"/>
        <v>#VALUE!</v>
      </c>
      <c r="CC30" s="31" t="e">
        <f t="shared" si="25"/>
        <v>#VALUE!</v>
      </c>
      <c r="CD30" s="31" t="e">
        <f t="shared" si="26"/>
        <v>#VALUE!</v>
      </c>
      <c r="CE30" s="31" t="e">
        <f t="shared" si="41"/>
        <v>#VALUE!</v>
      </c>
      <c r="CF30" s="31" t="str">
        <f t="shared" si="42"/>
        <v>4.3</v>
      </c>
      <c r="CG30" s="31" t="str">
        <f t="shared" si="43"/>
        <v>0.1</v>
      </c>
      <c r="CH30" s="19" t="e">
        <f t="shared" si="44"/>
        <v>#VALUE!</v>
      </c>
      <c r="CI30" s="31" t="e">
        <f t="shared" si="45"/>
        <v>#VALUE!</v>
      </c>
      <c r="CJ30" s="31" t="e">
        <f t="shared" si="46"/>
        <v>#VALUE!</v>
      </c>
      <c r="CK30" s="31" t="e">
        <f t="shared" si="47"/>
        <v>#VALUE!</v>
      </c>
      <c r="CL30" s="28" t="s">
        <v>717</v>
      </c>
    </row>
    <row r="31" spans="1:90" s="28" customFormat="1">
      <c r="A31" s="19" t="str">
        <f t="shared" si="35"/>
        <v>3-3</v>
      </c>
      <c r="B31" s="20">
        <v>3</v>
      </c>
      <c r="C31" s="21" t="s">
        <v>133</v>
      </c>
      <c r="D31" s="20" t="s">
        <v>188</v>
      </c>
      <c r="E31" s="20" t="s">
        <v>189</v>
      </c>
      <c r="F31" s="20" t="s">
        <v>190</v>
      </c>
      <c r="G31" s="22">
        <v>3</v>
      </c>
      <c r="H31" s="23" t="s">
        <v>191</v>
      </c>
      <c r="I31" s="24" t="s">
        <v>425</v>
      </c>
      <c r="J31" s="23" t="str">
        <f t="shared" si="36"/>
        <v xml:space="preserve">Hose, Radiator; Ø 31 mm × 39 mm; TSB5501G-1F </v>
      </c>
      <c r="K31" s="23" t="s">
        <v>140</v>
      </c>
      <c r="L31" s="23" t="s">
        <v>192</v>
      </c>
      <c r="M31" s="23" t="s">
        <v>193</v>
      </c>
      <c r="N31" s="21" t="s">
        <v>194</v>
      </c>
      <c r="O31" s="21" t="s">
        <v>194</v>
      </c>
      <c r="P31" s="25" t="s">
        <v>111</v>
      </c>
      <c r="Q31" s="25" t="s">
        <v>111</v>
      </c>
      <c r="R31" s="40" t="s">
        <v>143</v>
      </c>
      <c r="S31" s="40" t="s">
        <v>195</v>
      </c>
      <c r="T31" s="26" t="s">
        <v>93</v>
      </c>
      <c r="U31" s="26" t="s">
        <v>94</v>
      </c>
      <c r="V31" s="26" t="s">
        <v>367</v>
      </c>
      <c r="W31" s="26" t="s">
        <v>368</v>
      </c>
      <c r="X31" s="26" t="s">
        <v>369</v>
      </c>
      <c r="Y31" s="26" t="s">
        <v>221</v>
      </c>
      <c r="Z31" s="26" t="s">
        <v>370</v>
      </c>
      <c r="AA31" s="26" t="s">
        <v>149</v>
      </c>
      <c r="AB31" s="20" t="s">
        <v>511</v>
      </c>
      <c r="AC31" s="20" t="s">
        <v>97</v>
      </c>
      <c r="AD31" s="20" t="s">
        <v>511</v>
      </c>
      <c r="AE31" s="20" t="s">
        <v>97</v>
      </c>
      <c r="AF31" s="26" t="s">
        <v>79</v>
      </c>
      <c r="AG31" s="26" t="s">
        <v>75</v>
      </c>
      <c r="AH31" s="26" t="s">
        <v>76</v>
      </c>
      <c r="AI31" s="26" t="s">
        <v>76</v>
      </c>
      <c r="AJ31" s="26" t="s">
        <v>76</v>
      </c>
      <c r="AK31" s="26" t="s">
        <v>79</v>
      </c>
      <c r="AL31" s="26" t="s">
        <v>371</v>
      </c>
      <c r="AM31" s="26" t="s">
        <v>372</v>
      </c>
      <c r="AN31" s="26" t="s">
        <v>5</v>
      </c>
      <c r="AO31" s="26" t="s">
        <v>372</v>
      </c>
      <c r="AP31" s="20" t="s">
        <v>200</v>
      </c>
      <c r="AQ31" s="20" t="s">
        <v>201</v>
      </c>
      <c r="AR31" s="20" t="s">
        <v>152</v>
      </c>
      <c r="AS31" s="20" t="s">
        <v>202</v>
      </c>
      <c r="AT31" s="20" t="s">
        <v>203</v>
      </c>
      <c r="AU31" s="20" t="s">
        <v>204</v>
      </c>
      <c r="AV31" s="20" t="s">
        <v>132</v>
      </c>
      <c r="AW31" s="20" t="s">
        <v>205</v>
      </c>
      <c r="AX31" s="20" t="s">
        <v>156</v>
      </c>
      <c r="AY31" s="20" t="s">
        <v>182</v>
      </c>
      <c r="AZ31" s="20" t="s">
        <v>183</v>
      </c>
      <c r="BA31" s="20">
        <v>77</v>
      </c>
      <c r="BB31" s="20" t="s">
        <v>441</v>
      </c>
      <c r="BC31" s="26" t="s">
        <v>206</v>
      </c>
      <c r="BD31" s="26" t="s">
        <v>373</v>
      </c>
      <c r="BE31" s="26">
        <v>0.5</v>
      </c>
      <c r="BF31" s="20" t="s">
        <v>424</v>
      </c>
      <c r="BG31" s="20" t="s">
        <v>426</v>
      </c>
      <c r="BH31" s="20" t="s">
        <v>5</v>
      </c>
      <c r="BI31" s="20" t="s">
        <v>108</v>
      </c>
      <c r="BJ31" s="27" t="s">
        <v>165</v>
      </c>
      <c r="BK31" s="27" t="s">
        <v>208</v>
      </c>
      <c r="BL31" s="27" t="s">
        <v>374</v>
      </c>
      <c r="BM31" s="27" t="s">
        <v>374</v>
      </c>
      <c r="BN31" s="41" t="s">
        <v>109</v>
      </c>
      <c r="BO31" s="26" t="s">
        <v>438</v>
      </c>
      <c r="BP31" s="26" t="s">
        <v>439</v>
      </c>
      <c r="BQ31" s="26" t="s">
        <v>212</v>
      </c>
      <c r="BR31" s="26" t="s">
        <v>81</v>
      </c>
      <c r="BS31" s="26" t="s">
        <v>83</v>
      </c>
      <c r="BT31" s="31">
        <v>31</v>
      </c>
      <c r="BU31" s="31" t="str">
        <f>MID($BO$22,6,3)</f>
        <v>0.2</v>
      </c>
      <c r="BV31" s="31" t="e">
        <f t="shared" si="37"/>
        <v>#VALUE!</v>
      </c>
      <c r="BW31" s="31" t="e">
        <f t="shared" si="38"/>
        <v>#VALUE!</v>
      </c>
      <c r="BX31" s="31" t="e">
        <f t="shared" si="39"/>
        <v>#VALUE!</v>
      </c>
      <c r="BY31" s="31" t="e">
        <f t="shared" si="40"/>
        <v>#VALUE!</v>
      </c>
      <c r="BZ31" s="31" t="str">
        <f t="shared" si="6"/>
        <v>1.9</v>
      </c>
      <c r="CA31" s="31" t="str">
        <f>MID(BQ31,8,3)</f>
        <v>0.1</v>
      </c>
      <c r="CB31" s="47" t="e">
        <f>BZ31+(CA31*25%)</f>
        <v>#VALUE!</v>
      </c>
      <c r="CC31" s="47" t="str">
        <f>BZ31</f>
        <v>1.9</v>
      </c>
      <c r="CD31" s="47" t="e">
        <f>BZ31+(CA31*75%)</f>
        <v>#VALUE!</v>
      </c>
      <c r="CE31" s="31" t="e">
        <f t="shared" si="41"/>
        <v>#VALUE!</v>
      </c>
      <c r="CF31" s="31" t="str">
        <f t="shared" si="42"/>
        <v>3.8</v>
      </c>
      <c r="CG31" s="31" t="str">
        <f t="shared" si="43"/>
        <v>0.1</v>
      </c>
      <c r="CH31" s="19" t="e">
        <f t="shared" si="44"/>
        <v>#VALUE!</v>
      </c>
      <c r="CI31" s="31" t="e">
        <f t="shared" si="45"/>
        <v>#VALUE!</v>
      </c>
      <c r="CJ31" s="31" t="e">
        <f t="shared" si="46"/>
        <v>#VALUE!</v>
      </c>
      <c r="CK31" s="31" t="e">
        <f t="shared" si="47"/>
        <v>#VALUE!</v>
      </c>
      <c r="CL31" s="28" t="s">
        <v>716</v>
      </c>
    </row>
    <row r="32" spans="1:90" s="28" customFormat="1">
      <c r="A32" s="19" t="str">
        <f t="shared" si="35"/>
        <v>4-3</v>
      </c>
      <c r="B32" s="20">
        <v>4</v>
      </c>
      <c r="C32" s="21" t="s">
        <v>133</v>
      </c>
      <c r="D32" s="20" t="s">
        <v>214</v>
      </c>
      <c r="E32" s="20" t="s">
        <v>215</v>
      </c>
      <c r="F32" s="20" t="s">
        <v>216</v>
      </c>
      <c r="G32" s="22">
        <v>3</v>
      </c>
      <c r="H32" s="23" t="s">
        <v>191</v>
      </c>
      <c r="I32" s="24" t="s">
        <v>425</v>
      </c>
      <c r="J32" s="23" t="str">
        <f t="shared" si="36"/>
        <v xml:space="preserve">Hose, Radiator; Ø 30 mm × 38 mm; TSB5501G-1F </v>
      </c>
      <c r="K32" s="23" t="s">
        <v>140</v>
      </c>
      <c r="L32" s="23" t="s">
        <v>217</v>
      </c>
      <c r="M32" s="23" t="s">
        <v>193</v>
      </c>
      <c r="N32" s="21" t="s">
        <v>194</v>
      </c>
      <c r="O32" s="21" t="s">
        <v>194</v>
      </c>
      <c r="P32" s="25" t="s">
        <v>111</v>
      </c>
      <c r="Q32" s="25" t="s">
        <v>111</v>
      </c>
      <c r="R32" s="40" t="s">
        <v>143</v>
      </c>
      <c r="S32" s="40" t="s">
        <v>218</v>
      </c>
      <c r="T32" s="26" t="s">
        <v>93</v>
      </c>
      <c r="U32" s="26" t="s">
        <v>94</v>
      </c>
      <c r="V32" s="26" t="s">
        <v>367</v>
      </c>
      <c r="W32" s="26" t="s">
        <v>368</v>
      </c>
      <c r="X32" s="26" t="s">
        <v>369</v>
      </c>
      <c r="Y32" s="26" t="s">
        <v>221</v>
      </c>
      <c r="Z32" s="26" t="s">
        <v>370</v>
      </c>
      <c r="AA32" s="26" t="s">
        <v>149</v>
      </c>
      <c r="AB32" s="20" t="s">
        <v>511</v>
      </c>
      <c r="AC32" s="20" t="s">
        <v>97</v>
      </c>
      <c r="AD32" s="20" t="s">
        <v>511</v>
      </c>
      <c r="AE32" s="20" t="s">
        <v>97</v>
      </c>
      <c r="AF32" s="26" t="s">
        <v>79</v>
      </c>
      <c r="AG32" s="26" t="s">
        <v>75</v>
      </c>
      <c r="AH32" s="26" t="s">
        <v>76</v>
      </c>
      <c r="AI32" s="26" t="s">
        <v>76</v>
      </c>
      <c r="AJ32" s="26" t="s">
        <v>76</v>
      </c>
      <c r="AK32" s="26" t="s">
        <v>79</v>
      </c>
      <c r="AL32" s="26" t="s">
        <v>371</v>
      </c>
      <c r="AM32" s="26" t="s">
        <v>372</v>
      </c>
      <c r="AN32" s="26" t="s">
        <v>5</v>
      </c>
      <c r="AO32" s="26" t="s">
        <v>372</v>
      </c>
      <c r="AP32" s="20" t="s">
        <v>200</v>
      </c>
      <c r="AQ32" s="20" t="s">
        <v>201</v>
      </c>
      <c r="AR32" s="20" t="s">
        <v>152</v>
      </c>
      <c r="AS32" s="20" t="s">
        <v>202</v>
      </c>
      <c r="AT32" s="20" t="s">
        <v>203</v>
      </c>
      <c r="AU32" s="20" t="s">
        <v>204</v>
      </c>
      <c r="AV32" s="20" t="s">
        <v>132</v>
      </c>
      <c r="AW32" s="20" t="s">
        <v>205</v>
      </c>
      <c r="AX32" s="20" t="s">
        <v>156</v>
      </c>
      <c r="AY32" s="20" t="s">
        <v>182</v>
      </c>
      <c r="AZ32" s="20" t="s">
        <v>183</v>
      </c>
      <c r="BA32" s="20">
        <v>73</v>
      </c>
      <c r="BB32" s="20" t="s">
        <v>440</v>
      </c>
      <c r="BC32" s="26" t="s">
        <v>206</v>
      </c>
      <c r="BD32" s="26" t="s">
        <v>373</v>
      </c>
      <c r="BE32" s="26">
        <v>0.5</v>
      </c>
      <c r="BF32" s="20" t="s">
        <v>424</v>
      </c>
      <c r="BG32" s="20" t="s">
        <v>426</v>
      </c>
      <c r="BH32" s="20" t="s">
        <v>5</v>
      </c>
      <c r="BI32" s="20" t="s">
        <v>108</v>
      </c>
      <c r="BJ32" s="27" t="s">
        <v>165</v>
      </c>
      <c r="BK32" s="27" t="s">
        <v>208</v>
      </c>
      <c r="BL32" s="27" t="s">
        <v>374</v>
      </c>
      <c r="BM32" s="27" t="s">
        <v>374</v>
      </c>
      <c r="BN32" s="41" t="s">
        <v>109</v>
      </c>
      <c r="BO32" s="26" t="s">
        <v>448</v>
      </c>
      <c r="BP32" s="26" t="s">
        <v>437</v>
      </c>
      <c r="BQ32" s="26" t="s">
        <v>212</v>
      </c>
      <c r="BR32" s="26" t="s">
        <v>81</v>
      </c>
      <c r="BS32" s="26" t="s">
        <v>83</v>
      </c>
      <c r="BT32" s="31">
        <v>30</v>
      </c>
      <c r="BU32" s="31" t="str">
        <f>MID($BO$23,6,3)</f>
        <v>0.2</v>
      </c>
      <c r="BV32" s="31" t="e">
        <f t="shared" si="37"/>
        <v>#VALUE!</v>
      </c>
      <c r="BW32" s="31" t="e">
        <f t="shared" si="38"/>
        <v>#VALUE!</v>
      </c>
      <c r="BX32" s="31" t="e">
        <f t="shared" si="39"/>
        <v>#VALUE!</v>
      </c>
      <c r="BY32" s="31" t="e">
        <f t="shared" si="40"/>
        <v>#VALUE!</v>
      </c>
      <c r="BZ32" s="31" t="str">
        <f t="shared" si="6"/>
        <v>1.9</v>
      </c>
      <c r="CA32" s="31" t="str">
        <f>MID(BQ32,8,3)</f>
        <v>0.1</v>
      </c>
      <c r="CB32" s="47" t="e">
        <f>BZ32+(CA32*25%)</f>
        <v>#VALUE!</v>
      </c>
      <c r="CC32" s="47" t="str">
        <f>BZ32</f>
        <v>1.9</v>
      </c>
      <c r="CD32" s="47" t="e">
        <f>BZ32+(CA32*75%)</f>
        <v>#VALUE!</v>
      </c>
      <c r="CE32" s="31" t="e">
        <f t="shared" si="41"/>
        <v>#VALUE!</v>
      </c>
      <c r="CF32" s="31" t="str">
        <f t="shared" si="42"/>
        <v>3.8</v>
      </c>
      <c r="CG32" s="31" t="str">
        <f t="shared" si="43"/>
        <v>0.1</v>
      </c>
      <c r="CH32" s="19" t="e">
        <f t="shared" si="44"/>
        <v>#VALUE!</v>
      </c>
      <c r="CI32" s="31" t="e">
        <f t="shared" si="45"/>
        <v>#VALUE!</v>
      </c>
      <c r="CJ32" s="31" t="e">
        <f t="shared" si="46"/>
        <v>#VALUE!</v>
      </c>
      <c r="CK32" s="31" t="e">
        <f t="shared" si="47"/>
        <v>#VALUE!</v>
      </c>
      <c r="CL32" s="28" t="s">
        <v>715</v>
      </c>
    </row>
    <row r="33" spans="1:90" s="73" customFormat="1">
      <c r="A33" s="61" t="str">
        <f t="shared" si="35"/>
        <v>5-3</v>
      </c>
      <c r="B33" s="62">
        <v>5</v>
      </c>
      <c r="C33" s="63" t="s">
        <v>133</v>
      </c>
      <c r="D33" s="62" t="s">
        <v>427</v>
      </c>
      <c r="E33" s="20" t="s">
        <v>428</v>
      </c>
      <c r="F33" s="62" t="s">
        <v>429</v>
      </c>
      <c r="G33" s="64">
        <v>3</v>
      </c>
      <c r="H33" s="65" t="s">
        <v>77</v>
      </c>
      <c r="I33" s="66" t="s">
        <v>425</v>
      </c>
      <c r="J33" s="65" t="str">
        <f t="shared" si="36"/>
        <v xml:space="preserve">Hose, Radiator; Ø 30 mm × 38 mm; TSB5501G-1E </v>
      </c>
      <c r="K33" s="65" t="s">
        <v>140</v>
      </c>
      <c r="L33" s="65" t="s">
        <v>217</v>
      </c>
      <c r="M33" s="65" t="s">
        <v>3</v>
      </c>
      <c r="N33" s="63" t="s">
        <v>142</v>
      </c>
      <c r="O33" s="63" t="s">
        <v>142</v>
      </c>
      <c r="P33" s="67" t="s">
        <v>111</v>
      </c>
      <c r="Q33" s="67" t="s">
        <v>111</v>
      </c>
      <c r="R33" s="68" t="s">
        <v>143</v>
      </c>
      <c r="S33" s="68" t="s">
        <v>195</v>
      </c>
      <c r="T33" s="69" t="s">
        <v>93</v>
      </c>
      <c r="U33" s="69" t="s">
        <v>94</v>
      </c>
      <c r="V33" s="69" t="s">
        <v>220</v>
      </c>
      <c r="W33" s="69" t="s">
        <v>375</v>
      </c>
      <c r="X33" s="69" t="s">
        <v>198</v>
      </c>
      <c r="Y33" s="69" t="s">
        <v>221</v>
      </c>
      <c r="Z33" s="69" t="s">
        <v>222</v>
      </c>
      <c r="AA33" s="69" t="s">
        <v>149</v>
      </c>
      <c r="AB33" s="62" t="s">
        <v>511</v>
      </c>
      <c r="AC33" s="62" t="s">
        <v>97</v>
      </c>
      <c r="AD33" s="62" t="s">
        <v>511</v>
      </c>
      <c r="AE33" s="62" t="s">
        <v>97</v>
      </c>
      <c r="AF33" s="69" t="s">
        <v>79</v>
      </c>
      <c r="AG33" s="69" t="s">
        <v>75</v>
      </c>
      <c r="AH33" s="69" t="s">
        <v>76</v>
      </c>
      <c r="AI33" s="69" t="s">
        <v>76</v>
      </c>
      <c r="AJ33" s="69" t="s">
        <v>76</v>
      </c>
      <c r="AK33" s="69" t="s">
        <v>79</v>
      </c>
      <c r="AL33" s="69" t="s">
        <v>75</v>
      </c>
      <c r="AM33" s="69" t="s">
        <v>76</v>
      </c>
      <c r="AN33" s="69" t="s">
        <v>5</v>
      </c>
      <c r="AO33" s="69" t="s">
        <v>76</v>
      </c>
      <c r="AP33" s="62" t="s">
        <v>200</v>
      </c>
      <c r="AQ33" s="62" t="s">
        <v>376</v>
      </c>
      <c r="AR33" s="62" t="s">
        <v>152</v>
      </c>
      <c r="AS33" s="62" t="s">
        <v>181</v>
      </c>
      <c r="AT33" s="62" t="s">
        <v>297</v>
      </c>
      <c r="AU33" s="62" t="s">
        <v>155</v>
      </c>
      <c r="AV33" s="62" t="s">
        <v>126</v>
      </c>
      <c r="AW33" s="62" t="s">
        <v>156</v>
      </c>
      <c r="AX33" s="62" t="s">
        <v>156</v>
      </c>
      <c r="AY33" s="62" t="s">
        <v>182</v>
      </c>
      <c r="AZ33" s="62" t="s">
        <v>183</v>
      </c>
      <c r="BA33" s="62">
        <v>73</v>
      </c>
      <c r="BB33" s="62" t="s">
        <v>440</v>
      </c>
      <c r="BC33" s="69" t="s">
        <v>225</v>
      </c>
      <c r="BD33" s="69" t="s">
        <v>377</v>
      </c>
      <c r="BE33" s="69">
        <v>0.5</v>
      </c>
      <c r="BF33" s="62" t="s">
        <v>424</v>
      </c>
      <c r="BG33" s="62" t="s">
        <v>426</v>
      </c>
      <c r="BH33" s="62" t="s">
        <v>5</v>
      </c>
      <c r="BI33" s="62" t="s">
        <v>108</v>
      </c>
      <c r="BJ33" s="70" t="s">
        <v>165</v>
      </c>
      <c r="BK33" s="70" t="s">
        <v>227</v>
      </c>
      <c r="BL33" s="70" t="s">
        <v>378</v>
      </c>
      <c r="BM33" s="70" t="s">
        <v>378</v>
      </c>
      <c r="BN33" s="71" t="s">
        <v>109</v>
      </c>
      <c r="BO33" s="69" t="s">
        <v>436</v>
      </c>
      <c r="BP33" s="69" t="s">
        <v>437</v>
      </c>
      <c r="BQ33" s="69" t="s">
        <v>229</v>
      </c>
      <c r="BR33" s="69" t="s">
        <v>185</v>
      </c>
      <c r="BS33" s="69" t="s">
        <v>83</v>
      </c>
      <c r="BT33" s="72">
        <v>30</v>
      </c>
      <c r="BU33" s="72" t="str">
        <f>MID($BO$24,6,3)</f>
        <v>0.1</v>
      </c>
      <c r="BV33" s="72" t="e">
        <f t="shared" si="37"/>
        <v>#VALUE!</v>
      </c>
      <c r="BW33" s="72" t="e">
        <f t="shared" si="38"/>
        <v>#VALUE!</v>
      </c>
      <c r="BX33" s="72" t="e">
        <f t="shared" si="39"/>
        <v>#VALUE!</v>
      </c>
      <c r="BY33" s="72" t="e">
        <f t="shared" si="40"/>
        <v>#VALUE!</v>
      </c>
      <c r="BZ33" s="72" t="str">
        <f t="shared" si="6"/>
        <v>1.7</v>
      </c>
      <c r="CA33" s="72" t="str">
        <f>MID(BQ33,8,3)</f>
        <v>0.1</v>
      </c>
      <c r="CB33" s="74" t="e">
        <f>BZ33+(CA33*25%)</f>
        <v>#VALUE!</v>
      </c>
      <c r="CC33" s="74" t="str">
        <f>BZ33</f>
        <v>1.7</v>
      </c>
      <c r="CD33" s="74" t="e">
        <f>BZ33+(CA33*75%)</f>
        <v>#VALUE!</v>
      </c>
      <c r="CE33" s="72" t="e">
        <f t="shared" si="41"/>
        <v>#VALUE!</v>
      </c>
      <c r="CF33" s="72" t="str">
        <f t="shared" si="42"/>
        <v>3.7</v>
      </c>
      <c r="CG33" s="72" t="str">
        <f t="shared" si="43"/>
        <v>0.1</v>
      </c>
      <c r="CH33" s="61" t="e">
        <f t="shared" si="44"/>
        <v>#VALUE!</v>
      </c>
      <c r="CI33" s="72" t="e">
        <f t="shared" si="45"/>
        <v>#VALUE!</v>
      </c>
      <c r="CJ33" s="72" t="e">
        <f t="shared" si="46"/>
        <v>#VALUE!</v>
      </c>
      <c r="CK33" s="72" t="e">
        <f t="shared" si="47"/>
        <v>#VALUE!</v>
      </c>
      <c r="CL33" s="73" t="s">
        <v>714</v>
      </c>
    </row>
    <row r="34" spans="1:90" s="73" customFormat="1">
      <c r="A34" s="61" t="str">
        <f t="shared" si="35"/>
        <v>6-2</v>
      </c>
      <c r="B34" s="62">
        <v>6</v>
      </c>
      <c r="C34" s="63" t="s">
        <v>133</v>
      </c>
      <c r="D34" s="62" t="s">
        <v>230</v>
      </c>
      <c r="E34" s="20" t="s">
        <v>231</v>
      </c>
      <c r="F34" s="62" t="s">
        <v>232</v>
      </c>
      <c r="G34" s="64">
        <v>2</v>
      </c>
      <c r="H34" s="65" t="s">
        <v>191</v>
      </c>
      <c r="I34" s="66" t="s">
        <v>425</v>
      </c>
      <c r="J34" s="65" t="str">
        <f t="shared" si="36"/>
        <v xml:space="preserve">Hose, Radiator; Ø 24 mm × 31 mm; TSB5501G-1F </v>
      </c>
      <c r="K34" s="65" t="s">
        <v>140</v>
      </c>
      <c r="L34" s="65" t="s">
        <v>233</v>
      </c>
      <c r="M34" s="65" t="s">
        <v>193</v>
      </c>
      <c r="N34" s="63" t="s">
        <v>194</v>
      </c>
      <c r="O34" s="63" t="s">
        <v>194</v>
      </c>
      <c r="P34" s="67" t="s">
        <v>111</v>
      </c>
      <c r="Q34" s="67" t="s">
        <v>111</v>
      </c>
      <c r="R34" s="68" t="s">
        <v>143</v>
      </c>
      <c r="S34" s="68" t="s">
        <v>234</v>
      </c>
      <c r="T34" s="69" t="s">
        <v>93</v>
      </c>
      <c r="U34" s="69" t="s">
        <v>94</v>
      </c>
      <c r="V34" s="69" t="s">
        <v>235</v>
      </c>
      <c r="W34" s="69" t="s">
        <v>236</v>
      </c>
      <c r="X34" s="69" t="s">
        <v>237</v>
      </c>
      <c r="Y34" s="69" t="s">
        <v>238</v>
      </c>
      <c r="Z34" s="69" t="s">
        <v>78</v>
      </c>
      <c r="AA34" s="69" t="s">
        <v>149</v>
      </c>
      <c r="AB34" s="62" t="s">
        <v>511</v>
      </c>
      <c r="AC34" s="62" t="s">
        <v>97</v>
      </c>
      <c r="AD34" s="62" t="s">
        <v>511</v>
      </c>
      <c r="AE34" s="62" t="s">
        <v>97</v>
      </c>
      <c r="AF34" s="69" t="s">
        <v>79</v>
      </c>
      <c r="AG34" s="69" t="s">
        <v>75</v>
      </c>
      <c r="AH34" s="69" t="s">
        <v>76</v>
      </c>
      <c r="AI34" s="69" t="s">
        <v>76</v>
      </c>
      <c r="AJ34" s="69" t="s">
        <v>76</v>
      </c>
      <c r="AK34" s="69" t="s">
        <v>79</v>
      </c>
      <c r="AL34" s="69" t="s">
        <v>75</v>
      </c>
      <c r="AM34" s="69" t="s">
        <v>76</v>
      </c>
      <c r="AN34" s="69" t="s">
        <v>5</v>
      </c>
      <c r="AO34" s="69" t="s">
        <v>76</v>
      </c>
      <c r="AP34" s="62" t="s">
        <v>239</v>
      </c>
      <c r="AQ34" s="62" t="s">
        <v>240</v>
      </c>
      <c r="AR34" s="62" t="s">
        <v>241</v>
      </c>
      <c r="AS34" s="62" t="s">
        <v>202</v>
      </c>
      <c r="AT34" s="62" t="s">
        <v>242</v>
      </c>
      <c r="AU34" s="62" t="s">
        <v>243</v>
      </c>
      <c r="AV34" s="62" t="s">
        <v>132</v>
      </c>
      <c r="AW34" s="62" t="s">
        <v>156</v>
      </c>
      <c r="AX34" s="62" t="s">
        <v>205</v>
      </c>
      <c r="AY34" s="62" t="s">
        <v>182</v>
      </c>
      <c r="AZ34" s="62" t="s">
        <v>183</v>
      </c>
      <c r="BA34" s="62">
        <v>73</v>
      </c>
      <c r="BB34" s="62" t="s">
        <v>440</v>
      </c>
      <c r="BC34" s="69" t="s">
        <v>244</v>
      </c>
      <c r="BD34" s="69" t="s">
        <v>245</v>
      </c>
      <c r="BE34" s="69">
        <v>0.5</v>
      </c>
      <c r="BF34" s="62" t="s">
        <v>424</v>
      </c>
      <c r="BG34" s="62" t="s">
        <v>426</v>
      </c>
      <c r="BH34" s="62" t="s">
        <v>5</v>
      </c>
      <c r="BI34" s="62" t="s">
        <v>108</v>
      </c>
      <c r="BJ34" s="70" t="s">
        <v>165</v>
      </c>
      <c r="BK34" s="70" t="s">
        <v>246</v>
      </c>
      <c r="BL34" s="70" t="s">
        <v>247</v>
      </c>
      <c r="BM34" s="70" t="s">
        <v>248</v>
      </c>
      <c r="BN34" s="71" t="s">
        <v>109</v>
      </c>
      <c r="BO34" s="69" t="s">
        <v>403</v>
      </c>
      <c r="BP34" s="69" t="s">
        <v>176</v>
      </c>
      <c r="BQ34" s="69" t="s">
        <v>249</v>
      </c>
      <c r="BR34" s="69" t="s">
        <v>250</v>
      </c>
      <c r="BS34" s="69" t="s">
        <v>83</v>
      </c>
      <c r="BT34" s="72" t="str">
        <f>MID($BO$13, 1, 4)</f>
        <v>23.9</v>
      </c>
      <c r="BU34" s="72" t="str">
        <f>MID($BO$13,6,3)</f>
        <v>0.2</v>
      </c>
      <c r="BV34" s="72" t="e">
        <f t="shared" si="37"/>
        <v>#VALUE!</v>
      </c>
      <c r="BW34" s="72" t="e">
        <f t="shared" si="38"/>
        <v>#VALUE!</v>
      </c>
      <c r="BX34" s="72" t="e">
        <f t="shared" si="39"/>
        <v>#VALUE!</v>
      </c>
      <c r="BY34" s="72" t="e">
        <f t="shared" si="40"/>
        <v>#VALUE!</v>
      </c>
      <c r="BZ34" s="72" t="str">
        <f t="shared" si="6"/>
        <v>1.8</v>
      </c>
      <c r="CA34" s="72" t="str">
        <f>MID(BQ34,8,3)</f>
        <v>0.1</v>
      </c>
      <c r="CB34" s="74" t="e">
        <f>BZ34+(CA34*25%)</f>
        <v>#VALUE!</v>
      </c>
      <c r="CC34" s="74" t="str">
        <f>BZ34</f>
        <v>1.8</v>
      </c>
      <c r="CD34" s="74" t="e">
        <f>BZ34+(CA34*75%)</f>
        <v>#VALUE!</v>
      </c>
      <c r="CE34" s="72" t="e">
        <f t="shared" si="41"/>
        <v>#VALUE!</v>
      </c>
      <c r="CF34" s="72" t="str">
        <f t="shared" si="42"/>
        <v>3.5</v>
      </c>
      <c r="CG34" s="72" t="str">
        <f t="shared" si="43"/>
        <v>0.1</v>
      </c>
      <c r="CH34" s="61" t="e">
        <f t="shared" si="44"/>
        <v>#VALUE!</v>
      </c>
      <c r="CI34" s="72" t="e">
        <f t="shared" si="45"/>
        <v>#VALUE!</v>
      </c>
      <c r="CJ34" s="72" t="e">
        <f t="shared" si="46"/>
        <v>#VALUE!</v>
      </c>
      <c r="CK34" s="72" t="e">
        <f t="shared" si="47"/>
        <v>#VALUE!</v>
      </c>
      <c r="CL34" s="73" t="s">
        <v>712</v>
      </c>
    </row>
    <row r="35" spans="1:90" s="28" customFormat="1">
      <c r="A35" s="19" t="str">
        <f t="shared" si="35"/>
        <v>7-3</v>
      </c>
      <c r="B35" s="20">
        <v>7</v>
      </c>
      <c r="C35" s="21" t="s">
        <v>133</v>
      </c>
      <c r="D35" s="20" t="s">
        <v>252</v>
      </c>
      <c r="E35" s="20" t="s">
        <v>253</v>
      </c>
      <c r="F35" s="20" t="s">
        <v>254</v>
      </c>
      <c r="G35" s="22">
        <v>3</v>
      </c>
      <c r="H35" s="23" t="s">
        <v>77</v>
      </c>
      <c r="I35" s="24" t="s">
        <v>425</v>
      </c>
      <c r="J35" s="23" t="str">
        <f t="shared" si="36"/>
        <v xml:space="preserve">Hose, Water By-Pass; Ø 21 mm × 29 mm; TSB5501G-1E </v>
      </c>
      <c r="K35" s="23" t="s">
        <v>255</v>
      </c>
      <c r="L35" s="23" t="s">
        <v>256</v>
      </c>
      <c r="M35" s="23" t="s">
        <v>3</v>
      </c>
      <c r="N35" s="21" t="s">
        <v>142</v>
      </c>
      <c r="O35" s="21" t="s">
        <v>142</v>
      </c>
      <c r="P35" s="25" t="s">
        <v>111</v>
      </c>
      <c r="Q35" s="25" t="s">
        <v>111</v>
      </c>
      <c r="R35" s="40" t="s">
        <v>257</v>
      </c>
      <c r="S35" s="40" t="s">
        <v>258</v>
      </c>
      <c r="T35" s="26" t="s">
        <v>93</v>
      </c>
      <c r="U35" s="26" t="s">
        <v>94</v>
      </c>
      <c r="V35" s="26" t="s">
        <v>379</v>
      </c>
      <c r="W35" s="26" t="s">
        <v>380</v>
      </c>
      <c r="X35" s="26" t="s">
        <v>261</v>
      </c>
      <c r="Y35" s="26" t="s">
        <v>237</v>
      </c>
      <c r="Z35" s="26" t="s">
        <v>370</v>
      </c>
      <c r="AA35" s="26" t="s">
        <v>149</v>
      </c>
      <c r="AB35" s="20" t="s">
        <v>511</v>
      </c>
      <c r="AC35" s="20" t="s">
        <v>97</v>
      </c>
      <c r="AD35" s="20" t="s">
        <v>511</v>
      </c>
      <c r="AE35" s="20" t="s">
        <v>97</v>
      </c>
      <c r="AF35" s="26" t="s">
        <v>79</v>
      </c>
      <c r="AG35" s="26" t="s">
        <v>75</v>
      </c>
      <c r="AH35" s="26" t="s">
        <v>76</v>
      </c>
      <c r="AI35" s="26" t="s">
        <v>76</v>
      </c>
      <c r="AJ35" s="26" t="s">
        <v>76</v>
      </c>
      <c r="AK35" s="26" t="s">
        <v>79</v>
      </c>
      <c r="AL35" s="26" t="s">
        <v>75</v>
      </c>
      <c r="AM35" s="26" t="s">
        <v>372</v>
      </c>
      <c r="AN35" s="26" t="s">
        <v>5</v>
      </c>
      <c r="AO35" s="26" t="s">
        <v>76</v>
      </c>
      <c r="AP35" s="20" t="s">
        <v>263</v>
      </c>
      <c r="AQ35" s="20" t="s">
        <v>223</v>
      </c>
      <c r="AR35" s="20" t="s">
        <v>241</v>
      </c>
      <c r="AS35" s="20" t="s">
        <v>181</v>
      </c>
      <c r="AT35" s="20" t="s">
        <v>224</v>
      </c>
      <c r="AU35" s="20" t="s">
        <v>155</v>
      </c>
      <c r="AV35" s="20" t="s">
        <v>126</v>
      </c>
      <c r="AW35" s="20" t="s">
        <v>156</v>
      </c>
      <c r="AX35" s="20" t="s">
        <v>156</v>
      </c>
      <c r="AY35" s="20" t="s">
        <v>264</v>
      </c>
      <c r="AZ35" s="20" t="s">
        <v>265</v>
      </c>
      <c r="BA35" s="20">
        <v>53</v>
      </c>
      <c r="BB35" s="20" t="s">
        <v>446</v>
      </c>
      <c r="BC35" s="26" t="s">
        <v>381</v>
      </c>
      <c r="BD35" s="26" t="s">
        <v>382</v>
      </c>
      <c r="BE35" s="26">
        <v>0.5</v>
      </c>
      <c r="BF35" s="20" t="s">
        <v>424</v>
      </c>
      <c r="BG35" s="20" t="s">
        <v>426</v>
      </c>
      <c r="BH35" s="20" t="s">
        <v>5</v>
      </c>
      <c r="BI35" s="20" t="s">
        <v>108</v>
      </c>
      <c r="BJ35" s="27" t="s">
        <v>165</v>
      </c>
      <c r="BK35" s="27" t="s">
        <v>268</v>
      </c>
      <c r="BL35" s="27" t="s">
        <v>382</v>
      </c>
      <c r="BM35" s="27" t="s">
        <v>383</v>
      </c>
      <c r="BN35" s="41" t="s">
        <v>109</v>
      </c>
      <c r="BO35" s="26" t="s">
        <v>404</v>
      </c>
      <c r="BP35" s="26" t="s">
        <v>251</v>
      </c>
      <c r="BQ35" s="26" t="s">
        <v>168</v>
      </c>
      <c r="BR35" s="26" t="s">
        <v>270</v>
      </c>
      <c r="BS35" s="26" t="s">
        <v>83</v>
      </c>
      <c r="BT35" s="31" t="str">
        <f>MID($BO$25, 1, 4)</f>
        <v>21.0</v>
      </c>
      <c r="BU35" s="31" t="str">
        <f>MID($BO$25,6,3)</f>
        <v>0.2</v>
      </c>
      <c r="BV35" s="31" t="e">
        <f t="shared" si="37"/>
        <v>#VALUE!</v>
      </c>
      <c r="BW35" s="31" t="e">
        <f t="shared" si="38"/>
        <v>#VALUE!</v>
      </c>
      <c r="BX35" s="31" t="e">
        <f t="shared" si="39"/>
        <v>#VALUE!</v>
      </c>
      <c r="BY35" s="31" t="e">
        <f t="shared" si="40"/>
        <v>#VALUE!</v>
      </c>
      <c r="BZ35" s="31" t="str">
        <f t="shared" si="6"/>
        <v>2.2</v>
      </c>
      <c r="CA35" s="31" t="str">
        <f t="shared" ref="CA35:CA41" si="48">MID(BQ35,5,3)</f>
        <v>0.1</v>
      </c>
      <c r="CB35" s="31" t="e">
        <f t="shared" ref="CB35:CB41" si="49">BZ35-(CA35/2)</f>
        <v>#VALUE!</v>
      </c>
      <c r="CC35" s="31" t="e">
        <f t="shared" ref="CC35:CC41" si="50">BZ35-CA35</f>
        <v>#VALUE!</v>
      </c>
      <c r="CD35" s="31" t="e">
        <f t="shared" ref="CD35:CD41" si="51">BZ35+(CA35/2)</f>
        <v>#VALUE!</v>
      </c>
      <c r="CE35" s="31" t="e">
        <f t="shared" si="41"/>
        <v>#VALUE!</v>
      </c>
      <c r="CF35" s="31" t="str">
        <f t="shared" si="42"/>
        <v>4.0</v>
      </c>
      <c r="CG35" s="31" t="str">
        <f t="shared" si="43"/>
        <v>0.1</v>
      </c>
      <c r="CH35" s="19" t="e">
        <f t="shared" si="44"/>
        <v>#VALUE!</v>
      </c>
      <c r="CI35" s="31" t="e">
        <f t="shared" si="45"/>
        <v>#VALUE!</v>
      </c>
      <c r="CJ35" s="31" t="e">
        <f t="shared" si="46"/>
        <v>#VALUE!</v>
      </c>
      <c r="CK35" s="31" t="e">
        <f t="shared" si="47"/>
        <v>#VALUE!</v>
      </c>
      <c r="CL35" s="28" t="s">
        <v>726</v>
      </c>
    </row>
    <row r="36" spans="1:90" s="49" customFormat="1">
      <c r="A36" s="19" t="str">
        <f t="shared" si="35"/>
        <v>8-2</v>
      </c>
      <c r="B36" s="20">
        <v>8</v>
      </c>
      <c r="C36" s="21" t="s">
        <v>133</v>
      </c>
      <c r="D36" s="20" t="s">
        <v>271</v>
      </c>
      <c r="E36" s="20" t="s">
        <v>272</v>
      </c>
      <c r="F36" s="20" t="s">
        <v>273</v>
      </c>
      <c r="G36" s="22">
        <v>2</v>
      </c>
      <c r="H36" s="23" t="s">
        <v>77</v>
      </c>
      <c r="I36" s="24" t="s">
        <v>425</v>
      </c>
      <c r="J36" s="23" t="str">
        <f t="shared" si="36"/>
        <v xml:space="preserve">Hose, Water By-Pass; Ø 16 mm × 24 mm; TSB5501G-1F </v>
      </c>
      <c r="K36" s="23" t="s">
        <v>255</v>
      </c>
      <c r="L36" s="23" t="s">
        <v>274</v>
      </c>
      <c r="M36" s="23" t="s">
        <v>193</v>
      </c>
      <c r="N36" s="21" t="s">
        <v>194</v>
      </c>
      <c r="O36" s="21" t="s">
        <v>194</v>
      </c>
      <c r="P36" s="25" t="s">
        <v>111</v>
      </c>
      <c r="Q36" s="25" t="s">
        <v>111</v>
      </c>
      <c r="R36" s="40" t="s">
        <v>257</v>
      </c>
      <c r="S36" s="40" t="s">
        <v>275</v>
      </c>
      <c r="T36" s="26" t="s">
        <v>93</v>
      </c>
      <c r="U36" s="26" t="s">
        <v>94</v>
      </c>
      <c r="V36" s="26" t="s">
        <v>276</v>
      </c>
      <c r="W36" s="26" t="s">
        <v>277</v>
      </c>
      <c r="X36" s="26" t="s">
        <v>278</v>
      </c>
      <c r="Y36" s="26" t="s">
        <v>279</v>
      </c>
      <c r="Z36" s="26" t="s">
        <v>78</v>
      </c>
      <c r="AA36" s="26" t="s">
        <v>149</v>
      </c>
      <c r="AB36" s="20" t="s">
        <v>511</v>
      </c>
      <c r="AC36" s="20" t="s">
        <v>97</v>
      </c>
      <c r="AD36" s="20" t="s">
        <v>511</v>
      </c>
      <c r="AE36" s="20" t="s">
        <v>97</v>
      </c>
      <c r="AF36" s="26" t="s">
        <v>79</v>
      </c>
      <c r="AG36" s="26" t="s">
        <v>75</v>
      </c>
      <c r="AH36" s="26" t="s">
        <v>76</v>
      </c>
      <c r="AI36" s="26" t="s">
        <v>112</v>
      </c>
      <c r="AJ36" s="26" t="s">
        <v>76</v>
      </c>
      <c r="AK36" s="26" t="s">
        <v>79</v>
      </c>
      <c r="AL36" s="26" t="s">
        <v>75</v>
      </c>
      <c r="AM36" s="26" t="s">
        <v>112</v>
      </c>
      <c r="AN36" s="26" t="s">
        <v>5</v>
      </c>
      <c r="AO36" s="26" t="s">
        <v>76</v>
      </c>
      <c r="AP36" s="20" t="s">
        <v>280</v>
      </c>
      <c r="AQ36" s="20" t="s">
        <v>281</v>
      </c>
      <c r="AR36" s="20" t="s">
        <v>241</v>
      </c>
      <c r="AS36" s="20" t="s">
        <v>282</v>
      </c>
      <c r="AT36" s="20" t="s">
        <v>283</v>
      </c>
      <c r="AU36" s="20" t="s">
        <v>284</v>
      </c>
      <c r="AV36" s="20" t="s">
        <v>126</v>
      </c>
      <c r="AW36" s="20" t="s">
        <v>157</v>
      </c>
      <c r="AX36" s="20" t="s">
        <v>157</v>
      </c>
      <c r="AY36" s="20" t="s">
        <v>285</v>
      </c>
      <c r="AZ36" s="20" t="s">
        <v>286</v>
      </c>
      <c r="BA36" s="20">
        <v>50</v>
      </c>
      <c r="BB36" s="20" t="s">
        <v>112</v>
      </c>
      <c r="BC36" s="26" t="s">
        <v>287</v>
      </c>
      <c r="BD36" s="26" t="s">
        <v>288</v>
      </c>
      <c r="BE36" s="26">
        <v>0.5</v>
      </c>
      <c r="BF36" s="20" t="s">
        <v>424</v>
      </c>
      <c r="BG36" s="20" t="s">
        <v>426</v>
      </c>
      <c r="BH36" s="20" t="s">
        <v>5</v>
      </c>
      <c r="BI36" s="20" t="s">
        <v>108</v>
      </c>
      <c r="BJ36" s="27" t="s">
        <v>165</v>
      </c>
      <c r="BK36" s="27" t="s">
        <v>289</v>
      </c>
      <c r="BL36" s="27" t="s">
        <v>290</v>
      </c>
      <c r="BM36" s="27" t="s">
        <v>290</v>
      </c>
      <c r="BN36" s="41" t="s">
        <v>109</v>
      </c>
      <c r="BO36" s="26" t="s">
        <v>405</v>
      </c>
      <c r="BP36" s="26" t="s">
        <v>406</v>
      </c>
      <c r="BQ36" s="26" t="s">
        <v>292</v>
      </c>
      <c r="BR36" s="26" t="s">
        <v>81</v>
      </c>
      <c r="BS36" s="26" t="s">
        <v>83</v>
      </c>
      <c r="BT36" s="31" t="str">
        <f>MID($BO$15, 1, 4)</f>
        <v>15.9</v>
      </c>
      <c r="BU36" s="31" t="str">
        <f>MID($BO$15,6,3)</f>
        <v>0.1</v>
      </c>
      <c r="BV36" s="31" t="e">
        <f t="shared" si="37"/>
        <v>#VALUE!</v>
      </c>
      <c r="BW36" s="31" t="e">
        <f t="shared" si="38"/>
        <v>#VALUE!</v>
      </c>
      <c r="BX36" s="31" t="e">
        <f t="shared" si="39"/>
        <v>#VALUE!</v>
      </c>
      <c r="BY36" s="31" t="e">
        <f t="shared" si="40"/>
        <v>#VALUE!</v>
      </c>
      <c r="BZ36" s="31" t="str">
        <f t="shared" si="6"/>
        <v>1.8</v>
      </c>
      <c r="CA36" s="31" t="str">
        <f t="shared" si="48"/>
        <v>0.1</v>
      </c>
      <c r="CB36" s="31" t="e">
        <f t="shared" si="49"/>
        <v>#VALUE!</v>
      </c>
      <c r="CC36" s="31" t="e">
        <f t="shared" si="50"/>
        <v>#VALUE!</v>
      </c>
      <c r="CD36" s="31" t="e">
        <f t="shared" si="51"/>
        <v>#VALUE!</v>
      </c>
      <c r="CE36" s="31" t="e">
        <f t="shared" si="41"/>
        <v>#VALUE!</v>
      </c>
      <c r="CF36" s="31" t="str">
        <f t="shared" si="42"/>
        <v>3.8</v>
      </c>
      <c r="CG36" s="31" t="str">
        <f t="shared" si="43"/>
        <v>0.1</v>
      </c>
      <c r="CH36" s="19" t="e">
        <f t="shared" si="44"/>
        <v>#VALUE!</v>
      </c>
      <c r="CI36" s="31" t="e">
        <f t="shared" si="45"/>
        <v>#VALUE!</v>
      </c>
      <c r="CJ36" s="31" t="e">
        <f t="shared" si="46"/>
        <v>#VALUE!</v>
      </c>
      <c r="CK36" s="31" t="e">
        <f t="shared" si="47"/>
        <v>#VALUE!</v>
      </c>
      <c r="CL36" s="28" t="s">
        <v>725</v>
      </c>
    </row>
    <row r="37" spans="1:90" s="28" customFormat="1">
      <c r="A37" s="19" t="str">
        <f t="shared" si="35"/>
        <v>9-3</v>
      </c>
      <c r="B37" s="20">
        <v>9</v>
      </c>
      <c r="C37" s="21" t="s">
        <v>133</v>
      </c>
      <c r="D37" s="20" t="s">
        <v>293</v>
      </c>
      <c r="E37" s="20" t="s">
        <v>294</v>
      </c>
      <c r="F37" s="20" t="s">
        <v>295</v>
      </c>
      <c r="G37" s="22">
        <v>3</v>
      </c>
      <c r="H37" s="23" t="s">
        <v>77</v>
      </c>
      <c r="I37" s="24" t="s">
        <v>425</v>
      </c>
      <c r="J37" s="23" t="str">
        <f t="shared" si="36"/>
        <v xml:space="preserve">Hose, Water By-Pass; Ø 16 mm × 24 mm; TSB5501G-1E </v>
      </c>
      <c r="K37" s="23" t="s">
        <v>255</v>
      </c>
      <c r="L37" s="23" t="s">
        <v>274</v>
      </c>
      <c r="M37" s="23" t="s">
        <v>3</v>
      </c>
      <c r="N37" s="21" t="s">
        <v>142</v>
      </c>
      <c r="O37" s="21" t="s">
        <v>142</v>
      </c>
      <c r="P37" s="25" t="s">
        <v>111</v>
      </c>
      <c r="Q37" s="25" t="s">
        <v>111</v>
      </c>
      <c r="R37" s="40" t="s">
        <v>257</v>
      </c>
      <c r="S37" s="40" t="s">
        <v>275</v>
      </c>
      <c r="T37" s="26" t="s">
        <v>93</v>
      </c>
      <c r="U37" s="26" t="s">
        <v>94</v>
      </c>
      <c r="V37" s="26" t="s">
        <v>276</v>
      </c>
      <c r="W37" s="26" t="s">
        <v>384</v>
      </c>
      <c r="X37" s="26" t="s">
        <v>385</v>
      </c>
      <c r="Y37" s="26" t="s">
        <v>279</v>
      </c>
      <c r="Z37" s="26" t="s">
        <v>349</v>
      </c>
      <c r="AA37" s="26" t="s">
        <v>149</v>
      </c>
      <c r="AB37" s="20" t="s">
        <v>511</v>
      </c>
      <c r="AC37" s="20" t="s">
        <v>97</v>
      </c>
      <c r="AD37" s="20" t="s">
        <v>511</v>
      </c>
      <c r="AE37" s="20" t="s">
        <v>97</v>
      </c>
      <c r="AF37" s="26" t="s">
        <v>79</v>
      </c>
      <c r="AG37" s="26" t="s">
        <v>75</v>
      </c>
      <c r="AH37" s="26" t="s">
        <v>76</v>
      </c>
      <c r="AI37" s="26" t="s">
        <v>112</v>
      </c>
      <c r="AJ37" s="26" t="s">
        <v>76</v>
      </c>
      <c r="AK37" s="26" t="s">
        <v>79</v>
      </c>
      <c r="AL37" s="26" t="s">
        <v>363</v>
      </c>
      <c r="AM37" s="26" t="s">
        <v>76</v>
      </c>
      <c r="AN37" s="26" t="s">
        <v>5</v>
      </c>
      <c r="AO37" s="26" t="s">
        <v>76</v>
      </c>
      <c r="AP37" s="20" t="s">
        <v>280</v>
      </c>
      <c r="AQ37" s="20" t="s">
        <v>281</v>
      </c>
      <c r="AR37" s="20" t="s">
        <v>241</v>
      </c>
      <c r="AS37" s="20" t="s">
        <v>202</v>
      </c>
      <c r="AT37" s="20" t="s">
        <v>386</v>
      </c>
      <c r="AU37" s="20" t="s">
        <v>298</v>
      </c>
      <c r="AV37" s="20" t="s">
        <v>126</v>
      </c>
      <c r="AW37" s="20" t="s">
        <v>157</v>
      </c>
      <c r="AX37" s="20" t="s">
        <v>157</v>
      </c>
      <c r="AY37" s="20" t="s">
        <v>285</v>
      </c>
      <c r="AZ37" s="20" t="s">
        <v>286</v>
      </c>
      <c r="BA37" s="20">
        <v>50</v>
      </c>
      <c r="BB37" s="20" t="s">
        <v>112</v>
      </c>
      <c r="BC37" s="26" t="s">
        <v>299</v>
      </c>
      <c r="BD37" s="26" t="s">
        <v>387</v>
      </c>
      <c r="BE37" s="26">
        <v>0.5</v>
      </c>
      <c r="BF37" s="20" t="s">
        <v>424</v>
      </c>
      <c r="BG37" s="20" t="s">
        <v>426</v>
      </c>
      <c r="BH37" s="20" t="s">
        <v>5</v>
      </c>
      <c r="BI37" s="20" t="s">
        <v>108</v>
      </c>
      <c r="BJ37" s="27" t="s">
        <v>165</v>
      </c>
      <c r="BK37" s="27" t="s">
        <v>289</v>
      </c>
      <c r="BL37" s="27" t="s">
        <v>387</v>
      </c>
      <c r="BM37" s="27" t="s">
        <v>387</v>
      </c>
      <c r="BN37" s="41" t="s">
        <v>109</v>
      </c>
      <c r="BO37" s="26" t="s">
        <v>405</v>
      </c>
      <c r="BP37" s="26" t="s">
        <v>406</v>
      </c>
      <c r="BQ37" s="26" t="s">
        <v>292</v>
      </c>
      <c r="BR37" s="26" t="s">
        <v>81</v>
      </c>
      <c r="BS37" s="26" t="s">
        <v>83</v>
      </c>
      <c r="BT37" s="31" t="str">
        <f>MID($BO$26, 1, 4)</f>
        <v>15.9</v>
      </c>
      <c r="BU37" s="31" t="str">
        <f>MID($BO$26,6,3)</f>
        <v>0.1</v>
      </c>
      <c r="BV37" s="31" t="e">
        <f t="shared" si="37"/>
        <v>#VALUE!</v>
      </c>
      <c r="BW37" s="31" t="e">
        <f t="shared" si="38"/>
        <v>#VALUE!</v>
      </c>
      <c r="BX37" s="31" t="e">
        <f t="shared" si="39"/>
        <v>#VALUE!</v>
      </c>
      <c r="BY37" s="31" t="e">
        <f t="shared" si="40"/>
        <v>#VALUE!</v>
      </c>
      <c r="BZ37" s="31" t="str">
        <f t="shared" si="6"/>
        <v>1.8</v>
      </c>
      <c r="CA37" s="31" t="str">
        <f t="shared" si="48"/>
        <v>0.1</v>
      </c>
      <c r="CB37" s="31" t="e">
        <f t="shared" si="49"/>
        <v>#VALUE!</v>
      </c>
      <c r="CC37" s="31" t="e">
        <f t="shared" si="50"/>
        <v>#VALUE!</v>
      </c>
      <c r="CD37" s="31" t="e">
        <f t="shared" si="51"/>
        <v>#VALUE!</v>
      </c>
      <c r="CE37" s="31" t="e">
        <f t="shared" si="41"/>
        <v>#VALUE!</v>
      </c>
      <c r="CF37" s="31" t="str">
        <f t="shared" si="42"/>
        <v>3.8</v>
      </c>
      <c r="CG37" s="31" t="str">
        <f t="shared" si="43"/>
        <v>0.1</v>
      </c>
      <c r="CH37" s="19" t="e">
        <f t="shared" si="44"/>
        <v>#VALUE!</v>
      </c>
      <c r="CI37" s="31" t="e">
        <f t="shared" si="45"/>
        <v>#VALUE!</v>
      </c>
      <c r="CJ37" s="31" t="e">
        <f t="shared" si="46"/>
        <v>#VALUE!</v>
      </c>
      <c r="CK37" s="31" t="e">
        <f t="shared" si="47"/>
        <v>#VALUE!</v>
      </c>
      <c r="CL37" s="28" t="s">
        <v>723</v>
      </c>
    </row>
    <row r="38" spans="1:90" s="28" customFormat="1">
      <c r="A38" s="19" t="str">
        <f t="shared" si="35"/>
        <v>10-3</v>
      </c>
      <c r="B38" s="20">
        <v>10</v>
      </c>
      <c r="C38" s="21" t="s">
        <v>133</v>
      </c>
      <c r="D38" s="20" t="s">
        <v>301</v>
      </c>
      <c r="E38" s="20" t="s">
        <v>302</v>
      </c>
      <c r="F38" s="20" t="s">
        <v>303</v>
      </c>
      <c r="G38" s="22">
        <v>3</v>
      </c>
      <c r="H38" s="23" t="s">
        <v>304</v>
      </c>
      <c r="I38" s="24" t="s">
        <v>425</v>
      </c>
      <c r="J38" s="23" t="str">
        <f t="shared" si="36"/>
        <v xml:space="preserve">Hose, Water By-Pass; Ø 13 mm × 21 mm; TSB5501G-1F </v>
      </c>
      <c r="K38" s="23" t="s">
        <v>255</v>
      </c>
      <c r="L38" s="23" t="s">
        <v>305</v>
      </c>
      <c r="M38" s="23" t="s">
        <v>193</v>
      </c>
      <c r="N38" s="21" t="s">
        <v>194</v>
      </c>
      <c r="O38" s="21" t="s">
        <v>194</v>
      </c>
      <c r="P38" s="25" t="s">
        <v>111</v>
      </c>
      <c r="Q38" s="25" t="s">
        <v>111</v>
      </c>
      <c r="R38" s="40" t="s">
        <v>257</v>
      </c>
      <c r="S38" s="40" t="s">
        <v>306</v>
      </c>
      <c r="T38" s="26" t="s">
        <v>93</v>
      </c>
      <c r="U38" s="26" t="s">
        <v>94</v>
      </c>
      <c r="V38" s="26" t="s">
        <v>307</v>
      </c>
      <c r="W38" s="26" t="s">
        <v>308</v>
      </c>
      <c r="X38" s="26" t="s">
        <v>291</v>
      </c>
      <c r="Y38" s="26" t="s">
        <v>296</v>
      </c>
      <c r="Z38" s="26" t="s">
        <v>78</v>
      </c>
      <c r="AA38" s="26" t="s">
        <v>149</v>
      </c>
      <c r="AB38" s="20" t="s">
        <v>511</v>
      </c>
      <c r="AC38" s="20" t="s">
        <v>97</v>
      </c>
      <c r="AD38" s="20" t="s">
        <v>511</v>
      </c>
      <c r="AE38" s="20" t="s">
        <v>97</v>
      </c>
      <c r="AF38" s="26" t="s">
        <v>79</v>
      </c>
      <c r="AG38" s="26" t="s">
        <v>75</v>
      </c>
      <c r="AH38" s="26" t="s">
        <v>76</v>
      </c>
      <c r="AI38" s="26" t="s">
        <v>76</v>
      </c>
      <c r="AJ38" s="26" t="s">
        <v>76</v>
      </c>
      <c r="AK38" s="26" t="s">
        <v>79</v>
      </c>
      <c r="AL38" s="26" t="s">
        <v>371</v>
      </c>
      <c r="AM38" s="26" t="s">
        <v>76</v>
      </c>
      <c r="AN38" s="26" t="s">
        <v>5</v>
      </c>
      <c r="AO38" s="26" t="s">
        <v>76</v>
      </c>
      <c r="AP38" s="20" t="s">
        <v>309</v>
      </c>
      <c r="AQ38" s="20" t="s">
        <v>310</v>
      </c>
      <c r="AR38" s="20" t="s">
        <v>241</v>
      </c>
      <c r="AS38" s="20" t="s">
        <v>202</v>
      </c>
      <c r="AT38" s="20" t="s">
        <v>311</v>
      </c>
      <c r="AU38" s="20" t="s">
        <v>312</v>
      </c>
      <c r="AV38" s="20" t="s">
        <v>126</v>
      </c>
      <c r="AW38" s="20" t="s">
        <v>156</v>
      </c>
      <c r="AX38" s="20" t="s">
        <v>156</v>
      </c>
      <c r="AY38" s="20" t="s">
        <v>313</v>
      </c>
      <c r="AZ38" s="20" t="s">
        <v>314</v>
      </c>
      <c r="BA38" s="20">
        <v>45</v>
      </c>
      <c r="BB38" s="20" t="s">
        <v>443</v>
      </c>
      <c r="BC38" s="26" t="s">
        <v>315</v>
      </c>
      <c r="BD38" s="26" t="s">
        <v>388</v>
      </c>
      <c r="BE38" s="26">
        <v>0.5</v>
      </c>
      <c r="BF38" s="20" t="s">
        <v>424</v>
      </c>
      <c r="BG38" s="20" t="s">
        <v>426</v>
      </c>
      <c r="BH38" s="20" t="s">
        <v>5</v>
      </c>
      <c r="BI38" s="20" t="s">
        <v>108</v>
      </c>
      <c r="BJ38" s="27" t="s">
        <v>165</v>
      </c>
      <c r="BK38" s="27" t="s">
        <v>316</v>
      </c>
      <c r="BL38" s="27" t="s">
        <v>388</v>
      </c>
      <c r="BM38" s="27" t="s">
        <v>388</v>
      </c>
      <c r="BN38" s="41" t="s">
        <v>109</v>
      </c>
      <c r="BO38" s="26" t="s">
        <v>407</v>
      </c>
      <c r="BP38" s="26" t="s">
        <v>408</v>
      </c>
      <c r="BQ38" s="26" t="s">
        <v>318</v>
      </c>
      <c r="BR38" s="26" t="s">
        <v>245</v>
      </c>
      <c r="BS38" s="26" t="s">
        <v>83</v>
      </c>
      <c r="BT38" s="31" t="str">
        <f>MID($BO$27, 1, 4)</f>
        <v>12.9</v>
      </c>
      <c r="BU38" s="31" t="str">
        <f>MID($BO$27,6,3)</f>
        <v>0.1</v>
      </c>
      <c r="BV38" s="31" t="e">
        <f t="shared" si="37"/>
        <v>#VALUE!</v>
      </c>
      <c r="BW38" s="31" t="e">
        <f t="shared" si="38"/>
        <v>#VALUE!</v>
      </c>
      <c r="BX38" s="31" t="e">
        <f t="shared" si="39"/>
        <v>#VALUE!</v>
      </c>
      <c r="BY38" s="31" t="e">
        <f t="shared" si="40"/>
        <v>#VALUE!</v>
      </c>
      <c r="BZ38" s="31" t="str">
        <f t="shared" si="6"/>
        <v>1.9</v>
      </c>
      <c r="CA38" s="31" t="str">
        <f t="shared" si="48"/>
        <v>0.1</v>
      </c>
      <c r="CB38" s="31" t="e">
        <f t="shared" si="49"/>
        <v>#VALUE!</v>
      </c>
      <c r="CC38" s="31" t="e">
        <f t="shared" si="50"/>
        <v>#VALUE!</v>
      </c>
      <c r="CD38" s="31" t="e">
        <f t="shared" si="51"/>
        <v>#VALUE!</v>
      </c>
      <c r="CE38" s="31" t="e">
        <f t="shared" si="41"/>
        <v>#VALUE!</v>
      </c>
      <c r="CF38" s="31" t="str">
        <f t="shared" si="42"/>
        <v>3.9</v>
      </c>
      <c r="CG38" s="31" t="str">
        <f t="shared" si="43"/>
        <v>0.1</v>
      </c>
      <c r="CH38" s="19" t="e">
        <f t="shared" si="44"/>
        <v>#VALUE!</v>
      </c>
      <c r="CI38" s="31" t="e">
        <f t="shared" si="45"/>
        <v>#VALUE!</v>
      </c>
      <c r="CJ38" s="31" t="e">
        <f t="shared" si="46"/>
        <v>#VALUE!</v>
      </c>
      <c r="CK38" s="31" t="e">
        <f t="shared" si="47"/>
        <v>#VALUE!</v>
      </c>
      <c r="CL38" s="28" t="s">
        <v>722</v>
      </c>
    </row>
    <row r="39" spans="1:90" s="73" customFormat="1">
      <c r="A39" s="61" t="str">
        <f t="shared" si="35"/>
        <v>11-1</v>
      </c>
      <c r="B39" s="62">
        <v>11</v>
      </c>
      <c r="C39" s="63" t="s">
        <v>133</v>
      </c>
      <c r="D39" s="62" t="s">
        <v>430</v>
      </c>
      <c r="E39" s="20" t="s">
        <v>431</v>
      </c>
      <c r="F39" s="62" t="s">
        <v>432</v>
      </c>
      <c r="G39" s="64">
        <v>1</v>
      </c>
      <c r="H39" s="65" t="s">
        <v>77</v>
      </c>
      <c r="I39" s="66" t="s">
        <v>425</v>
      </c>
      <c r="J39" s="65" t="str">
        <f t="shared" si="36"/>
        <v xml:space="preserve">Hose, Water By-Pass; Ø 13 mm × 21 mm; TSB5501G-1E </v>
      </c>
      <c r="K39" s="65" t="s">
        <v>255</v>
      </c>
      <c r="L39" s="65" t="s">
        <v>305</v>
      </c>
      <c r="M39" s="65" t="s">
        <v>3</v>
      </c>
      <c r="N39" s="63" t="s">
        <v>142</v>
      </c>
      <c r="O39" s="63" t="s">
        <v>142</v>
      </c>
      <c r="P39" s="67" t="s">
        <v>111</v>
      </c>
      <c r="Q39" s="67" t="s">
        <v>111</v>
      </c>
      <c r="R39" s="68" t="s">
        <v>257</v>
      </c>
      <c r="S39" s="68" t="s">
        <v>306</v>
      </c>
      <c r="T39" s="69" t="s">
        <v>93</v>
      </c>
      <c r="U39" s="69" t="s">
        <v>94</v>
      </c>
      <c r="V39" s="69" t="s">
        <v>307</v>
      </c>
      <c r="W39" s="69" t="s">
        <v>308</v>
      </c>
      <c r="X39" s="69" t="s">
        <v>277</v>
      </c>
      <c r="Y39" s="69" t="s">
        <v>296</v>
      </c>
      <c r="Z39" s="69" t="s">
        <v>78</v>
      </c>
      <c r="AA39" s="69" t="s">
        <v>149</v>
      </c>
      <c r="AB39" s="62" t="s">
        <v>511</v>
      </c>
      <c r="AC39" s="62" t="s">
        <v>97</v>
      </c>
      <c r="AD39" s="62" t="s">
        <v>511</v>
      </c>
      <c r="AE39" s="62" t="s">
        <v>97</v>
      </c>
      <c r="AF39" s="69" t="s">
        <v>79</v>
      </c>
      <c r="AG39" s="69" t="s">
        <v>75</v>
      </c>
      <c r="AH39" s="69" t="s">
        <v>76</v>
      </c>
      <c r="AI39" s="69" t="s">
        <v>76</v>
      </c>
      <c r="AJ39" s="69" t="s">
        <v>76</v>
      </c>
      <c r="AK39" s="69" t="s">
        <v>79</v>
      </c>
      <c r="AL39" s="69" t="s">
        <v>75</v>
      </c>
      <c r="AM39" s="69" t="s">
        <v>76</v>
      </c>
      <c r="AN39" s="69" t="s">
        <v>5</v>
      </c>
      <c r="AO39" s="69" t="s">
        <v>76</v>
      </c>
      <c r="AP39" s="62" t="s">
        <v>319</v>
      </c>
      <c r="AQ39" s="62" t="s">
        <v>310</v>
      </c>
      <c r="AR39" s="62" t="s">
        <v>241</v>
      </c>
      <c r="AS39" s="62" t="s">
        <v>202</v>
      </c>
      <c r="AT39" s="62" t="s">
        <v>320</v>
      </c>
      <c r="AU39" s="62" t="s">
        <v>312</v>
      </c>
      <c r="AV39" s="62" t="s">
        <v>126</v>
      </c>
      <c r="AW39" s="62" t="s">
        <v>156</v>
      </c>
      <c r="AX39" s="62" t="s">
        <v>156</v>
      </c>
      <c r="AY39" s="62" t="s">
        <v>313</v>
      </c>
      <c r="AZ39" s="62" t="s">
        <v>314</v>
      </c>
      <c r="BA39" s="62">
        <v>45</v>
      </c>
      <c r="BB39" s="62" t="s">
        <v>443</v>
      </c>
      <c r="BC39" s="69" t="s">
        <v>315</v>
      </c>
      <c r="BD39" s="69" t="s">
        <v>169</v>
      </c>
      <c r="BE39" s="69">
        <v>0.5</v>
      </c>
      <c r="BF39" s="62" t="s">
        <v>424</v>
      </c>
      <c r="BG39" s="62" t="s">
        <v>426</v>
      </c>
      <c r="BH39" s="62" t="s">
        <v>5</v>
      </c>
      <c r="BI39" s="62" t="s">
        <v>108</v>
      </c>
      <c r="BJ39" s="70" t="s">
        <v>165</v>
      </c>
      <c r="BK39" s="70" t="s">
        <v>316</v>
      </c>
      <c r="BL39" s="70" t="s">
        <v>317</v>
      </c>
      <c r="BM39" s="70" t="s">
        <v>317</v>
      </c>
      <c r="BN39" s="71" t="s">
        <v>109</v>
      </c>
      <c r="BO39" s="69" t="s">
        <v>407</v>
      </c>
      <c r="BP39" s="69" t="s">
        <v>408</v>
      </c>
      <c r="BQ39" s="69" t="s">
        <v>318</v>
      </c>
      <c r="BR39" s="69" t="s">
        <v>245</v>
      </c>
      <c r="BS39" s="69" t="s">
        <v>83</v>
      </c>
      <c r="BT39" s="72" t="str">
        <f>MID($BO$18, 1, 4)</f>
        <v>12.9</v>
      </c>
      <c r="BU39" s="72" t="str">
        <f>MID($BO$18,6,3)</f>
        <v>0.1</v>
      </c>
      <c r="BV39" s="72" t="e">
        <f t="shared" si="37"/>
        <v>#VALUE!</v>
      </c>
      <c r="BW39" s="72" t="e">
        <f t="shared" si="38"/>
        <v>#VALUE!</v>
      </c>
      <c r="BX39" s="72" t="e">
        <f t="shared" si="39"/>
        <v>#VALUE!</v>
      </c>
      <c r="BY39" s="72" t="e">
        <f t="shared" si="40"/>
        <v>#VALUE!</v>
      </c>
      <c r="BZ39" s="72" t="str">
        <f t="shared" si="6"/>
        <v>1.9</v>
      </c>
      <c r="CA39" s="72" t="str">
        <f t="shared" si="48"/>
        <v>0.1</v>
      </c>
      <c r="CB39" s="72" t="e">
        <f t="shared" si="49"/>
        <v>#VALUE!</v>
      </c>
      <c r="CC39" s="72" t="e">
        <f t="shared" si="50"/>
        <v>#VALUE!</v>
      </c>
      <c r="CD39" s="72" t="e">
        <f t="shared" si="51"/>
        <v>#VALUE!</v>
      </c>
      <c r="CE39" s="72" t="e">
        <f t="shared" si="41"/>
        <v>#VALUE!</v>
      </c>
      <c r="CF39" s="72" t="str">
        <f t="shared" si="42"/>
        <v>3.9</v>
      </c>
      <c r="CG39" s="72" t="str">
        <f t="shared" si="43"/>
        <v>0.1</v>
      </c>
      <c r="CH39" s="61" t="e">
        <f t="shared" si="44"/>
        <v>#VALUE!</v>
      </c>
      <c r="CI39" s="72" t="e">
        <f t="shared" si="45"/>
        <v>#VALUE!</v>
      </c>
      <c r="CJ39" s="72" t="e">
        <f t="shared" si="46"/>
        <v>#VALUE!</v>
      </c>
      <c r="CK39" s="72" t="e">
        <f t="shared" si="47"/>
        <v>#VALUE!</v>
      </c>
      <c r="CL39" s="73" t="s">
        <v>724</v>
      </c>
    </row>
    <row r="40" spans="1:90" s="28" customFormat="1">
      <c r="A40" s="19" t="str">
        <f t="shared" si="35"/>
        <v>12-3</v>
      </c>
      <c r="B40" s="20">
        <v>12</v>
      </c>
      <c r="C40" s="21" t="s">
        <v>133</v>
      </c>
      <c r="D40" s="20" t="s">
        <v>321</v>
      </c>
      <c r="E40" s="20" t="s">
        <v>322</v>
      </c>
      <c r="F40" s="20" t="s">
        <v>323</v>
      </c>
      <c r="G40" s="22">
        <v>3</v>
      </c>
      <c r="H40" s="23" t="s">
        <v>77</v>
      </c>
      <c r="I40" s="24" t="s">
        <v>425</v>
      </c>
      <c r="J40" s="23" t="str">
        <f t="shared" si="36"/>
        <v xml:space="preserve">Hose, Water By-Pass; Ø 11 mm × 18 mm; TSB5501G-1E </v>
      </c>
      <c r="K40" s="23" t="s">
        <v>255</v>
      </c>
      <c r="L40" s="23" t="s">
        <v>324</v>
      </c>
      <c r="M40" s="23" t="s">
        <v>3</v>
      </c>
      <c r="N40" s="21" t="s">
        <v>142</v>
      </c>
      <c r="O40" s="21" t="s">
        <v>142</v>
      </c>
      <c r="P40" s="25" t="s">
        <v>111</v>
      </c>
      <c r="Q40" s="25" t="s">
        <v>111</v>
      </c>
      <c r="R40" s="40" t="s">
        <v>325</v>
      </c>
      <c r="S40" s="40" t="s">
        <v>326</v>
      </c>
      <c r="T40" s="26" t="s">
        <v>93</v>
      </c>
      <c r="U40" s="26" t="s">
        <v>94</v>
      </c>
      <c r="V40" s="26" t="s">
        <v>382</v>
      </c>
      <c r="W40" s="26" t="s">
        <v>328</v>
      </c>
      <c r="X40" s="26" t="s">
        <v>390</v>
      </c>
      <c r="Y40" s="26" t="s">
        <v>330</v>
      </c>
      <c r="Z40" s="26" t="s">
        <v>78</v>
      </c>
      <c r="AA40" s="26" t="s">
        <v>149</v>
      </c>
      <c r="AB40" s="20" t="s">
        <v>511</v>
      </c>
      <c r="AC40" s="20" t="s">
        <v>97</v>
      </c>
      <c r="AD40" s="20" t="s">
        <v>511</v>
      </c>
      <c r="AE40" s="20" t="s">
        <v>97</v>
      </c>
      <c r="AF40" s="26" t="s">
        <v>79</v>
      </c>
      <c r="AG40" s="26" t="s">
        <v>75</v>
      </c>
      <c r="AH40" s="26" t="s">
        <v>76</v>
      </c>
      <c r="AI40" s="26" t="s">
        <v>112</v>
      </c>
      <c r="AJ40" s="26" t="s">
        <v>76</v>
      </c>
      <c r="AK40" s="26" t="s">
        <v>79</v>
      </c>
      <c r="AL40" s="26" t="s">
        <v>363</v>
      </c>
      <c r="AM40" s="26" t="s">
        <v>112</v>
      </c>
      <c r="AN40" s="26" t="s">
        <v>5</v>
      </c>
      <c r="AO40" s="26" t="s">
        <v>363</v>
      </c>
      <c r="AP40" s="20" t="s">
        <v>331</v>
      </c>
      <c r="AQ40" s="20" t="s">
        <v>310</v>
      </c>
      <c r="AR40" s="20" t="s">
        <v>332</v>
      </c>
      <c r="AS40" s="20" t="s">
        <v>202</v>
      </c>
      <c r="AT40" s="20" t="s">
        <v>333</v>
      </c>
      <c r="AU40" s="20" t="s">
        <v>334</v>
      </c>
      <c r="AV40" s="20" t="s">
        <v>335</v>
      </c>
      <c r="AW40" s="20" t="s">
        <v>163</v>
      </c>
      <c r="AX40" s="20" t="s">
        <v>157</v>
      </c>
      <c r="AY40" s="20" t="s">
        <v>336</v>
      </c>
      <c r="AZ40" s="20" t="s">
        <v>337</v>
      </c>
      <c r="BA40" s="20">
        <v>35</v>
      </c>
      <c r="BB40" s="20" t="s">
        <v>447</v>
      </c>
      <c r="BC40" s="26" t="s">
        <v>391</v>
      </c>
      <c r="BD40" s="26" t="s">
        <v>392</v>
      </c>
      <c r="BE40" s="26">
        <v>0.5</v>
      </c>
      <c r="BF40" s="20" t="s">
        <v>424</v>
      </c>
      <c r="BG40" s="20" t="s">
        <v>426</v>
      </c>
      <c r="BH40" s="20" t="s">
        <v>5</v>
      </c>
      <c r="BI40" s="20" t="s">
        <v>108</v>
      </c>
      <c r="BJ40" s="27" t="s">
        <v>340</v>
      </c>
      <c r="BK40" s="27" t="s">
        <v>341</v>
      </c>
      <c r="BL40" s="27" t="s">
        <v>392</v>
      </c>
      <c r="BM40" s="27" t="s">
        <v>393</v>
      </c>
      <c r="BN40" s="41" t="s">
        <v>109</v>
      </c>
      <c r="BO40" s="26" t="s">
        <v>419</v>
      </c>
      <c r="BP40" s="26" t="s">
        <v>409</v>
      </c>
      <c r="BQ40" s="26" t="s">
        <v>292</v>
      </c>
      <c r="BR40" s="26" t="s">
        <v>343</v>
      </c>
      <c r="BS40" s="26" t="s">
        <v>83</v>
      </c>
      <c r="BT40" s="31" t="str">
        <f>MID($BO$28, 1, 4)</f>
        <v>11.0</v>
      </c>
      <c r="BU40" s="31" t="str">
        <f>MID($BO$28,6,3)</f>
        <v>0.1</v>
      </c>
      <c r="BV40" s="31" t="e">
        <f t="shared" si="37"/>
        <v>#VALUE!</v>
      </c>
      <c r="BW40" s="31" t="e">
        <f t="shared" si="38"/>
        <v>#VALUE!</v>
      </c>
      <c r="BX40" s="31" t="e">
        <f t="shared" si="39"/>
        <v>#VALUE!</v>
      </c>
      <c r="BY40" s="31" t="e">
        <f t="shared" si="40"/>
        <v>#VALUE!</v>
      </c>
      <c r="BZ40" s="31" t="str">
        <f t="shared" si="6"/>
        <v>1.8</v>
      </c>
      <c r="CA40" s="31" t="str">
        <f t="shared" si="48"/>
        <v>0.1</v>
      </c>
      <c r="CB40" s="31" t="e">
        <f t="shared" si="49"/>
        <v>#VALUE!</v>
      </c>
      <c r="CC40" s="31" t="e">
        <f t="shared" si="50"/>
        <v>#VALUE!</v>
      </c>
      <c r="CD40" s="31" t="e">
        <f t="shared" si="51"/>
        <v>#VALUE!</v>
      </c>
      <c r="CE40" s="31" t="e">
        <f t="shared" si="41"/>
        <v>#VALUE!</v>
      </c>
      <c r="CF40" s="31" t="str">
        <f t="shared" si="42"/>
        <v>3.4</v>
      </c>
      <c r="CG40" s="31" t="str">
        <f t="shared" si="43"/>
        <v>0.1</v>
      </c>
      <c r="CH40" s="19" t="e">
        <f t="shared" si="44"/>
        <v>#VALUE!</v>
      </c>
      <c r="CI40" s="31" t="e">
        <f t="shared" si="45"/>
        <v>#VALUE!</v>
      </c>
      <c r="CJ40" s="31" t="e">
        <f t="shared" si="46"/>
        <v>#VALUE!</v>
      </c>
      <c r="CK40" s="31" t="e">
        <f t="shared" si="47"/>
        <v>#VALUE!</v>
      </c>
      <c r="CL40" s="28" t="s">
        <v>721</v>
      </c>
    </row>
    <row r="41" spans="1:90" s="28" customFormat="1">
      <c r="A41" s="19" t="str">
        <f t="shared" si="35"/>
        <v>13-3</v>
      </c>
      <c r="B41" s="20">
        <v>13</v>
      </c>
      <c r="C41" s="21" t="s">
        <v>133</v>
      </c>
      <c r="D41" s="20" t="s">
        <v>433</v>
      </c>
      <c r="E41" s="20" t="s">
        <v>434</v>
      </c>
      <c r="F41" s="20" t="s">
        <v>435</v>
      </c>
      <c r="G41" s="22">
        <v>3</v>
      </c>
      <c r="H41" s="23" t="s">
        <v>77</v>
      </c>
      <c r="I41" s="24" t="s">
        <v>425</v>
      </c>
      <c r="J41" s="23" t="str">
        <f t="shared" si="36"/>
        <v xml:space="preserve">Hose, Water By-Pass; Ø 7.5 mm × 14.5 mm; TSB5501G-1E </v>
      </c>
      <c r="K41" s="23" t="s">
        <v>255</v>
      </c>
      <c r="L41" s="23" t="s">
        <v>344</v>
      </c>
      <c r="M41" s="23" t="s">
        <v>3</v>
      </c>
      <c r="N41" s="21" t="s">
        <v>142</v>
      </c>
      <c r="O41" s="21" t="s">
        <v>142</v>
      </c>
      <c r="P41" s="25" t="s">
        <v>111</v>
      </c>
      <c r="Q41" s="25" t="s">
        <v>111</v>
      </c>
      <c r="R41" s="40" t="s">
        <v>325</v>
      </c>
      <c r="S41" s="40" t="s">
        <v>345</v>
      </c>
      <c r="T41" s="26" t="s">
        <v>93</v>
      </c>
      <c r="U41" s="26" t="s">
        <v>94</v>
      </c>
      <c r="V41" s="26" t="s">
        <v>300</v>
      </c>
      <c r="W41" s="26" t="s">
        <v>383</v>
      </c>
      <c r="X41" s="26" t="s">
        <v>394</v>
      </c>
      <c r="Y41" s="26" t="s">
        <v>348</v>
      </c>
      <c r="Z41" s="26" t="s">
        <v>356</v>
      </c>
      <c r="AA41" s="26" t="s">
        <v>350</v>
      </c>
      <c r="AB41" s="20" t="s">
        <v>511</v>
      </c>
      <c r="AC41" s="20" t="s">
        <v>97</v>
      </c>
      <c r="AD41" s="20" t="s">
        <v>511</v>
      </c>
      <c r="AE41" s="20" t="s">
        <v>97</v>
      </c>
      <c r="AF41" s="26" t="s">
        <v>79</v>
      </c>
      <c r="AG41" s="26" t="s">
        <v>75</v>
      </c>
      <c r="AH41" s="26" t="s">
        <v>76</v>
      </c>
      <c r="AI41" s="26" t="s">
        <v>112</v>
      </c>
      <c r="AJ41" s="26" t="s">
        <v>76</v>
      </c>
      <c r="AK41" s="26" t="s">
        <v>79</v>
      </c>
      <c r="AL41" s="26" t="s">
        <v>363</v>
      </c>
      <c r="AM41" s="26" t="s">
        <v>363</v>
      </c>
      <c r="AN41" s="26" t="s">
        <v>5</v>
      </c>
      <c r="AO41" s="26" t="s">
        <v>363</v>
      </c>
      <c r="AP41" s="20" t="s">
        <v>351</v>
      </c>
      <c r="AQ41" s="20" t="s">
        <v>352</v>
      </c>
      <c r="AR41" s="20" t="s">
        <v>241</v>
      </c>
      <c r="AS41" s="20" t="s">
        <v>181</v>
      </c>
      <c r="AT41" s="20" t="s">
        <v>333</v>
      </c>
      <c r="AU41" s="20" t="s">
        <v>334</v>
      </c>
      <c r="AV41" s="20" t="s">
        <v>126</v>
      </c>
      <c r="AW41" s="20" t="s">
        <v>163</v>
      </c>
      <c r="AX41" s="20" t="s">
        <v>157</v>
      </c>
      <c r="AY41" s="20" t="s">
        <v>353</v>
      </c>
      <c r="AZ41" s="20" t="s">
        <v>354</v>
      </c>
      <c r="BA41" s="20">
        <v>31</v>
      </c>
      <c r="BB41" s="20" t="s">
        <v>445</v>
      </c>
      <c r="BC41" s="26" t="s">
        <v>395</v>
      </c>
      <c r="BD41" s="26" t="s">
        <v>397</v>
      </c>
      <c r="BE41" s="26">
        <v>0.5</v>
      </c>
      <c r="BF41" s="20" t="s">
        <v>424</v>
      </c>
      <c r="BG41" s="20" t="s">
        <v>426</v>
      </c>
      <c r="BH41" s="20" t="s">
        <v>5</v>
      </c>
      <c r="BI41" s="20" t="s">
        <v>108</v>
      </c>
      <c r="BJ41" s="27" t="s">
        <v>165</v>
      </c>
      <c r="BK41" s="27" t="s">
        <v>357</v>
      </c>
      <c r="BL41" s="27" t="s">
        <v>396</v>
      </c>
      <c r="BM41" s="27" t="s">
        <v>397</v>
      </c>
      <c r="BN41" s="41" t="s">
        <v>109</v>
      </c>
      <c r="BO41" s="26" t="s">
        <v>359</v>
      </c>
      <c r="BP41" s="26" t="s">
        <v>362</v>
      </c>
      <c r="BQ41" s="26" t="s">
        <v>360</v>
      </c>
      <c r="BR41" s="26" t="s">
        <v>361</v>
      </c>
      <c r="BS41" s="26" t="s">
        <v>83</v>
      </c>
      <c r="BT41" s="31" t="str">
        <f>MID($BO$29, 1, 3)</f>
        <v>7.5</v>
      </c>
      <c r="BU41" s="31" t="str">
        <f>MID($BO$29,5,3)</f>
        <v>0.1</v>
      </c>
      <c r="BV41" s="31" t="e">
        <f t="shared" si="37"/>
        <v>#VALUE!</v>
      </c>
      <c r="BW41" s="31" t="e">
        <f t="shared" si="38"/>
        <v>#VALUE!</v>
      </c>
      <c r="BX41" s="31" t="e">
        <f t="shared" si="39"/>
        <v>#VALUE!</v>
      </c>
      <c r="BY41" s="31" t="e">
        <f t="shared" si="40"/>
        <v>#VALUE!</v>
      </c>
      <c r="BZ41" s="31" t="str">
        <f t="shared" si="6"/>
        <v>1.6</v>
      </c>
      <c r="CA41" s="31" t="str">
        <f t="shared" si="48"/>
        <v>0.1</v>
      </c>
      <c r="CB41" s="31" t="e">
        <f t="shared" si="49"/>
        <v>#VALUE!</v>
      </c>
      <c r="CC41" s="31" t="e">
        <f t="shared" si="50"/>
        <v>#VALUE!</v>
      </c>
      <c r="CD41" s="31" t="e">
        <f t="shared" si="51"/>
        <v>#VALUE!</v>
      </c>
      <c r="CE41" s="31" t="e">
        <f t="shared" si="41"/>
        <v>#VALUE!</v>
      </c>
      <c r="CF41" s="31" t="str">
        <f t="shared" si="42"/>
        <v>3.3</v>
      </c>
      <c r="CG41" s="31" t="str">
        <f t="shared" si="43"/>
        <v>0.1</v>
      </c>
      <c r="CH41" s="19" t="e">
        <f t="shared" si="44"/>
        <v>#VALUE!</v>
      </c>
      <c r="CI41" s="31" t="e">
        <f t="shared" si="45"/>
        <v>#VALUE!</v>
      </c>
      <c r="CJ41" s="31" t="e">
        <f t="shared" si="46"/>
        <v>#VALUE!</v>
      </c>
      <c r="CK41" s="31" t="e">
        <f t="shared" si="47"/>
        <v>#VALUE!</v>
      </c>
      <c r="CL41" s="28" t="s">
        <v>728</v>
      </c>
    </row>
    <row r="42" spans="1:90" s="28" customFormat="1">
      <c r="A42" s="19" t="str">
        <f t="shared" si="35"/>
        <v>14-0</v>
      </c>
      <c r="B42" s="20">
        <v>14</v>
      </c>
      <c r="C42" s="21" t="s">
        <v>133</v>
      </c>
      <c r="D42" s="20" t="s">
        <v>545</v>
      </c>
      <c r="E42" s="20" t="s">
        <v>5</v>
      </c>
      <c r="F42" s="20" t="s">
        <v>5</v>
      </c>
      <c r="G42" s="22">
        <v>0</v>
      </c>
      <c r="H42" s="23" t="s">
        <v>191</v>
      </c>
      <c r="I42" s="24" t="s">
        <v>449</v>
      </c>
      <c r="J42" s="23" t="str">
        <f t="shared" si="36"/>
        <v xml:space="preserve">Hose, Fuel Tank; Ø 34 mm × 42 mm; DTSE7351G-1 </v>
      </c>
      <c r="K42" s="23" t="s">
        <v>450</v>
      </c>
      <c r="L42" s="23" t="s">
        <v>451</v>
      </c>
      <c r="M42" s="23" t="s">
        <v>452</v>
      </c>
      <c r="N42" s="21" t="s">
        <v>453</v>
      </c>
      <c r="O42" s="21" t="s">
        <v>5</v>
      </c>
      <c r="P42" s="25" t="s">
        <v>111</v>
      </c>
      <c r="Q42" s="25" t="s">
        <v>5</v>
      </c>
      <c r="R42" s="40" t="s">
        <v>5</v>
      </c>
      <c r="S42" s="40" t="s">
        <v>5</v>
      </c>
      <c r="T42" s="26" t="s">
        <v>5</v>
      </c>
      <c r="U42" s="26" t="s">
        <v>5</v>
      </c>
      <c r="V42" s="26" t="s">
        <v>220</v>
      </c>
      <c r="W42" s="26" t="s">
        <v>454</v>
      </c>
      <c r="X42" s="26" t="s">
        <v>5</v>
      </c>
      <c r="Y42" s="26" t="s">
        <v>5</v>
      </c>
      <c r="Z42" s="26" t="s">
        <v>5</v>
      </c>
      <c r="AA42" s="26" t="s">
        <v>5</v>
      </c>
      <c r="AB42" s="20" t="s">
        <v>511</v>
      </c>
      <c r="AC42" s="20" t="s">
        <v>97</v>
      </c>
      <c r="AD42" s="20" t="s">
        <v>511</v>
      </c>
      <c r="AE42" s="20" t="s">
        <v>97</v>
      </c>
      <c r="AF42" s="26" t="s">
        <v>75</v>
      </c>
      <c r="AG42" s="26" t="s">
        <v>76</v>
      </c>
      <c r="AH42" s="26" t="s">
        <v>76</v>
      </c>
      <c r="AI42" s="26" t="s">
        <v>76</v>
      </c>
      <c r="AJ42" s="26" t="s">
        <v>76</v>
      </c>
      <c r="AK42" s="26" t="s">
        <v>5</v>
      </c>
      <c r="AL42" s="26" t="s">
        <v>5</v>
      </c>
      <c r="AM42" s="26" t="s">
        <v>5</v>
      </c>
      <c r="AN42" s="26" t="s">
        <v>5</v>
      </c>
      <c r="AO42" s="26" t="s">
        <v>5</v>
      </c>
      <c r="AP42" s="20" t="s">
        <v>455</v>
      </c>
      <c r="AQ42" s="20" t="s">
        <v>5</v>
      </c>
      <c r="AR42" s="20" t="s">
        <v>456</v>
      </c>
      <c r="AS42" s="20" t="s">
        <v>5</v>
      </c>
      <c r="AT42" s="20" t="s">
        <v>457</v>
      </c>
      <c r="AU42" s="20" t="s">
        <v>5</v>
      </c>
      <c r="AV42" s="20" t="s">
        <v>132</v>
      </c>
      <c r="AW42" s="20" t="s">
        <v>163</v>
      </c>
      <c r="AX42" s="20" t="s">
        <v>5</v>
      </c>
      <c r="AY42" s="20" t="s">
        <v>458</v>
      </c>
      <c r="AZ42" s="20" t="s">
        <v>458</v>
      </c>
      <c r="BA42" s="20" t="s">
        <v>5</v>
      </c>
      <c r="BB42" s="20" t="s">
        <v>5</v>
      </c>
      <c r="BC42" s="26" t="s">
        <v>5</v>
      </c>
      <c r="BD42" s="26" t="s">
        <v>459</v>
      </c>
      <c r="BE42" s="26">
        <v>0.5</v>
      </c>
      <c r="BF42" s="20" t="s">
        <v>424</v>
      </c>
      <c r="BG42" s="20" t="s">
        <v>460</v>
      </c>
      <c r="BH42" s="20" t="s">
        <v>5</v>
      </c>
      <c r="BI42" s="20" t="s">
        <v>108</v>
      </c>
      <c r="BJ42" s="27" t="s">
        <v>165</v>
      </c>
      <c r="BK42" s="27" t="s">
        <v>461</v>
      </c>
      <c r="BL42" s="27" t="s">
        <v>462</v>
      </c>
      <c r="BM42" s="27" t="s">
        <v>462</v>
      </c>
      <c r="BN42" s="41" t="s">
        <v>463</v>
      </c>
      <c r="BO42" s="26" t="s">
        <v>464</v>
      </c>
      <c r="BP42" s="26" t="s">
        <v>465</v>
      </c>
      <c r="BQ42" s="26" t="s">
        <v>81</v>
      </c>
      <c r="BR42" s="26" t="s">
        <v>81</v>
      </c>
      <c r="BS42" s="26" t="s">
        <v>83</v>
      </c>
      <c r="BT42" s="31">
        <v>32.299999999999997</v>
      </c>
      <c r="BU42" s="31" t="str">
        <f>MID($BO$29,5,3)</f>
        <v>0.1</v>
      </c>
      <c r="BV42" s="31" t="e">
        <f t="shared" si="37"/>
        <v>#VALUE!</v>
      </c>
      <c r="BW42" s="31" t="e">
        <f t="shared" si="38"/>
        <v>#VALUE!</v>
      </c>
      <c r="BX42" s="31" t="e">
        <f t="shared" si="39"/>
        <v>#VALUE!</v>
      </c>
      <c r="BY42" s="31" t="e">
        <f t="shared" si="40"/>
        <v>#VALUE!</v>
      </c>
      <c r="BZ42" s="31" t="s">
        <v>5</v>
      </c>
      <c r="CA42" s="31" t="s">
        <v>5</v>
      </c>
      <c r="CB42" s="31" t="s">
        <v>5</v>
      </c>
      <c r="CC42" s="31" t="s">
        <v>5</v>
      </c>
      <c r="CD42" s="31" t="s">
        <v>5</v>
      </c>
      <c r="CE42" s="31" t="s">
        <v>5</v>
      </c>
      <c r="CF42" s="31" t="str">
        <f t="shared" si="42"/>
        <v>3.8</v>
      </c>
      <c r="CG42" s="31" t="str">
        <f t="shared" si="43"/>
        <v>0.1</v>
      </c>
      <c r="CH42" s="19" t="e">
        <f t="shared" si="44"/>
        <v>#VALUE!</v>
      </c>
      <c r="CI42" s="31" t="e">
        <f t="shared" si="45"/>
        <v>#VALUE!</v>
      </c>
      <c r="CJ42" s="31" t="e">
        <f t="shared" si="46"/>
        <v>#VALUE!</v>
      </c>
      <c r="CK42" s="31" t="e">
        <f t="shared" si="47"/>
        <v>#VALUE!</v>
      </c>
      <c r="CL42" s="28" t="s">
        <v>710</v>
      </c>
    </row>
    <row r="43" spans="1:90" s="28" customFormat="1">
      <c r="A43" s="19" t="str">
        <f t="shared" si="35"/>
        <v>15-0</v>
      </c>
      <c r="B43" s="20">
        <v>15</v>
      </c>
      <c r="C43" s="21" t="s">
        <v>133</v>
      </c>
      <c r="D43" s="20" t="s">
        <v>546</v>
      </c>
      <c r="E43" s="20" t="s">
        <v>5</v>
      </c>
      <c r="F43" s="20" t="s">
        <v>5</v>
      </c>
      <c r="G43" s="22">
        <v>0</v>
      </c>
      <c r="H43" s="23" t="s">
        <v>466</v>
      </c>
      <c r="I43" s="24" t="s">
        <v>467</v>
      </c>
      <c r="J43" s="23" t="str">
        <f t="shared" si="36"/>
        <v xml:space="preserve">Hose, Fuel Tank; Ø 34 mm × 44 mm; TSM1647G-1C </v>
      </c>
      <c r="K43" s="23" t="s">
        <v>450</v>
      </c>
      <c r="L43" s="23" t="s">
        <v>468</v>
      </c>
      <c r="M43" s="23" t="s">
        <v>470</v>
      </c>
      <c r="N43" s="21" t="s">
        <v>469</v>
      </c>
      <c r="O43" s="21" t="s">
        <v>5</v>
      </c>
      <c r="P43" s="25" t="s">
        <v>111</v>
      </c>
      <c r="Q43" s="25" t="s">
        <v>5</v>
      </c>
      <c r="R43" s="40" t="s">
        <v>5</v>
      </c>
      <c r="S43" s="40" t="s">
        <v>5</v>
      </c>
      <c r="T43" s="26" t="s">
        <v>5</v>
      </c>
      <c r="U43" s="26" t="s">
        <v>5</v>
      </c>
      <c r="V43" s="26" t="s">
        <v>175</v>
      </c>
      <c r="W43" s="26" t="s">
        <v>476</v>
      </c>
      <c r="X43" s="26" t="s">
        <v>5</v>
      </c>
      <c r="Y43" s="26" t="s">
        <v>5</v>
      </c>
      <c r="Z43" s="26" t="s">
        <v>5</v>
      </c>
      <c r="AA43" s="26" t="s">
        <v>5</v>
      </c>
      <c r="AB43" s="20" t="s">
        <v>511</v>
      </c>
      <c r="AC43" s="20" t="s">
        <v>97</v>
      </c>
      <c r="AD43" s="20" t="s">
        <v>511</v>
      </c>
      <c r="AE43" s="20" t="s">
        <v>97</v>
      </c>
      <c r="AF43" s="26" t="s">
        <v>75</v>
      </c>
      <c r="AG43" s="26" t="s">
        <v>76</v>
      </c>
      <c r="AH43" s="26" t="s">
        <v>76</v>
      </c>
      <c r="AI43" s="26" t="s">
        <v>76</v>
      </c>
      <c r="AJ43" s="26" t="s">
        <v>76</v>
      </c>
      <c r="AK43" s="26" t="s">
        <v>5</v>
      </c>
      <c r="AL43" s="26" t="s">
        <v>5</v>
      </c>
      <c r="AM43" s="26" t="s">
        <v>5</v>
      </c>
      <c r="AN43" s="26" t="s">
        <v>5</v>
      </c>
      <c r="AO43" s="26" t="s">
        <v>5</v>
      </c>
      <c r="AP43" s="20" t="s">
        <v>471</v>
      </c>
      <c r="AQ43" s="20" t="s">
        <v>5</v>
      </c>
      <c r="AR43" s="20" t="s">
        <v>472</v>
      </c>
      <c r="AS43" s="20" t="s">
        <v>5</v>
      </c>
      <c r="AT43" s="20" t="s">
        <v>473</v>
      </c>
      <c r="AU43" s="20" t="s">
        <v>5</v>
      </c>
      <c r="AV43" s="20" t="s">
        <v>5</v>
      </c>
      <c r="AW43" s="20" t="s">
        <v>156</v>
      </c>
      <c r="AX43" s="20" t="s">
        <v>5</v>
      </c>
      <c r="AY43" s="20" t="s">
        <v>475</v>
      </c>
      <c r="AZ43" s="20" t="s">
        <v>475</v>
      </c>
      <c r="BA43" s="20" t="s">
        <v>5</v>
      </c>
      <c r="BB43" s="20" t="s">
        <v>5</v>
      </c>
      <c r="BC43" s="26" t="s">
        <v>5</v>
      </c>
      <c r="BD43" s="26" t="s">
        <v>81</v>
      </c>
      <c r="BE43" s="26">
        <v>0.5</v>
      </c>
      <c r="BF43" s="20" t="s">
        <v>110</v>
      </c>
      <c r="BG43" s="20" t="s">
        <v>460</v>
      </c>
      <c r="BH43" s="20" t="s">
        <v>80</v>
      </c>
      <c r="BI43" s="20" t="s">
        <v>108</v>
      </c>
      <c r="BJ43" s="27" t="s">
        <v>165</v>
      </c>
      <c r="BK43" s="27" t="s">
        <v>474</v>
      </c>
      <c r="BL43" s="27" t="s">
        <v>270</v>
      </c>
      <c r="BM43" s="27" t="s">
        <v>270</v>
      </c>
      <c r="BN43" s="41" t="s">
        <v>109</v>
      </c>
      <c r="BO43" s="26" t="s">
        <v>477</v>
      </c>
      <c r="BP43" s="26" t="s">
        <v>478</v>
      </c>
      <c r="BQ43" s="26" t="s">
        <v>373</v>
      </c>
      <c r="BR43" s="26" t="s">
        <v>373</v>
      </c>
      <c r="BS43" s="26" t="s">
        <v>83</v>
      </c>
      <c r="BT43" s="31">
        <v>32.5</v>
      </c>
      <c r="BU43" s="31" t="str">
        <f>MID($BO$29,5,3)</f>
        <v>0.1</v>
      </c>
      <c r="BV43" s="31" t="e">
        <f t="shared" si="37"/>
        <v>#VALUE!</v>
      </c>
      <c r="BW43" s="31" t="e">
        <f t="shared" si="38"/>
        <v>#VALUE!</v>
      </c>
      <c r="BX43" s="31" t="e">
        <f t="shared" si="39"/>
        <v>#VALUE!</v>
      </c>
      <c r="BY43" s="31" t="e">
        <f t="shared" si="40"/>
        <v>#VALUE!</v>
      </c>
      <c r="BZ43" s="31" t="s">
        <v>5</v>
      </c>
      <c r="CA43" s="31" t="s">
        <v>5</v>
      </c>
      <c r="CB43" s="31" t="s">
        <v>5</v>
      </c>
      <c r="CC43" s="31" t="s">
        <v>5</v>
      </c>
      <c r="CD43" s="31" t="s">
        <v>5</v>
      </c>
      <c r="CE43" s="31" t="s">
        <v>5</v>
      </c>
      <c r="CF43" s="31" t="str">
        <f t="shared" si="42"/>
        <v>4.5</v>
      </c>
      <c r="CG43" s="31" t="str">
        <f t="shared" si="43"/>
        <v>0.3</v>
      </c>
      <c r="CH43" s="19" t="e">
        <f t="shared" si="44"/>
        <v>#VALUE!</v>
      </c>
      <c r="CI43" s="31" t="e">
        <f t="shared" si="45"/>
        <v>#VALUE!</v>
      </c>
      <c r="CJ43" s="31" t="e">
        <f t="shared" si="46"/>
        <v>#VALUE!</v>
      </c>
      <c r="CK43" s="31" t="e">
        <f t="shared" si="47"/>
        <v>#VALUE!</v>
      </c>
      <c r="CL43" s="28" t="s">
        <v>711</v>
      </c>
    </row>
    <row r="44" spans="1:90" s="28" customFormat="1">
      <c r="A44" s="19" t="str">
        <f t="shared" si="35"/>
        <v>1-4</v>
      </c>
      <c r="B44" s="20">
        <v>1</v>
      </c>
      <c r="C44" s="21" t="s">
        <v>133</v>
      </c>
      <c r="D44" s="20" t="s">
        <v>136</v>
      </c>
      <c r="E44" s="20" t="s">
        <v>137</v>
      </c>
      <c r="F44" s="20" t="s">
        <v>138</v>
      </c>
      <c r="G44" s="22">
        <v>4</v>
      </c>
      <c r="H44" s="23" t="s">
        <v>77</v>
      </c>
      <c r="I44" s="24" t="s">
        <v>479</v>
      </c>
      <c r="J44" s="23" t="str">
        <f t="shared" si="36"/>
        <v xml:space="preserve">Hose, Radiator; Ø 37 mm × 47 mm; TSB5501G-1E </v>
      </c>
      <c r="K44" s="23" t="s">
        <v>140</v>
      </c>
      <c r="L44" s="23" t="s">
        <v>141</v>
      </c>
      <c r="M44" s="23" t="s">
        <v>3</v>
      </c>
      <c r="N44" s="21" t="s">
        <v>142</v>
      </c>
      <c r="O44" s="21" t="s">
        <v>142</v>
      </c>
      <c r="P44" s="25" t="s">
        <v>111</v>
      </c>
      <c r="Q44" s="25" t="s">
        <v>111</v>
      </c>
      <c r="R44" s="40" t="s">
        <v>143</v>
      </c>
      <c r="S44" s="40" t="s">
        <v>144</v>
      </c>
      <c r="T44" s="26" t="s">
        <v>93</v>
      </c>
      <c r="U44" s="26" t="s">
        <v>94</v>
      </c>
      <c r="V44" s="26" t="s">
        <v>145</v>
      </c>
      <c r="W44" s="26" t="s">
        <v>146</v>
      </c>
      <c r="X44" s="26" t="s">
        <v>147</v>
      </c>
      <c r="Y44" s="26" t="s">
        <v>148</v>
      </c>
      <c r="Z44" s="26" t="s">
        <v>125</v>
      </c>
      <c r="AA44" s="26" t="s">
        <v>149</v>
      </c>
      <c r="AB44" s="20" t="s">
        <v>511</v>
      </c>
      <c r="AC44" s="20" t="s">
        <v>97</v>
      </c>
      <c r="AD44" s="20" t="s">
        <v>511</v>
      </c>
      <c r="AE44" s="20" t="s">
        <v>97</v>
      </c>
      <c r="AF44" s="26" t="s">
        <v>79</v>
      </c>
      <c r="AG44" s="26" t="s">
        <v>75</v>
      </c>
      <c r="AH44" s="26" t="s">
        <v>76</v>
      </c>
      <c r="AI44" s="26" t="s">
        <v>112</v>
      </c>
      <c r="AJ44" s="26" t="s">
        <v>76</v>
      </c>
      <c r="AK44" s="26" t="s">
        <v>79</v>
      </c>
      <c r="AL44" s="26" t="s">
        <v>75</v>
      </c>
      <c r="AM44" s="26" t="s">
        <v>112</v>
      </c>
      <c r="AN44" s="26" t="s">
        <v>5</v>
      </c>
      <c r="AO44" s="26" t="s">
        <v>76</v>
      </c>
      <c r="AP44" s="20" t="s">
        <v>150</v>
      </c>
      <c r="AQ44" s="20" t="s">
        <v>151</v>
      </c>
      <c r="AR44" s="20" t="s">
        <v>152</v>
      </c>
      <c r="AS44" s="20" t="s">
        <v>153</v>
      </c>
      <c r="AT44" s="20" t="s">
        <v>154</v>
      </c>
      <c r="AU44" s="20" t="s">
        <v>155</v>
      </c>
      <c r="AV44" s="20" t="s">
        <v>126</v>
      </c>
      <c r="AW44" s="20" t="s">
        <v>156</v>
      </c>
      <c r="AX44" s="20" t="s">
        <v>157</v>
      </c>
      <c r="AY44" s="20" t="s">
        <v>158</v>
      </c>
      <c r="AZ44" s="20" t="s">
        <v>159</v>
      </c>
      <c r="BA44" s="20">
        <v>73</v>
      </c>
      <c r="BB44" s="20" t="s">
        <v>440</v>
      </c>
      <c r="BC44" s="26" t="s">
        <v>161</v>
      </c>
      <c r="BD44" s="26" t="s">
        <v>81</v>
      </c>
      <c r="BE44" s="26">
        <v>0.5</v>
      </c>
      <c r="BF44" s="20" t="s">
        <v>424</v>
      </c>
      <c r="BG44" s="20" t="s">
        <v>426</v>
      </c>
      <c r="BH44" s="20" t="s">
        <v>5</v>
      </c>
      <c r="BI44" s="20" t="s">
        <v>108</v>
      </c>
      <c r="BJ44" s="27" t="s">
        <v>165</v>
      </c>
      <c r="BK44" s="27" t="s">
        <v>163</v>
      </c>
      <c r="BL44" s="27" t="s">
        <v>166</v>
      </c>
      <c r="BM44" s="27" t="s">
        <v>167</v>
      </c>
      <c r="BN44" s="41" t="s">
        <v>109</v>
      </c>
      <c r="BO44" s="26" t="s">
        <v>417</v>
      </c>
      <c r="BP44" s="26" t="s">
        <v>399</v>
      </c>
      <c r="BQ44" s="26" t="s">
        <v>168</v>
      </c>
      <c r="BR44" s="26" t="s">
        <v>480</v>
      </c>
      <c r="BS44" s="26" t="s">
        <v>83</v>
      </c>
      <c r="BT44" s="31" t="str">
        <f>MID($BO$7, 1, 4)</f>
        <v>37.0</v>
      </c>
      <c r="BU44" s="31" t="str">
        <f>MID($BO$7,6,3)</f>
        <v>0.2</v>
      </c>
      <c r="BV44" s="31" t="e">
        <f t="shared" si="37"/>
        <v>#VALUE!</v>
      </c>
      <c r="BW44" s="31" t="e">
        <f t="shared" si="38"/>
        <v>#VALUE!</v>
      </c>
      <c r="BX44" s="31" t="e">
        <f t="shared" si="39"/>
        <v>#VALUE!</v>
      </c>
      <c r="BY44" s="31" t="e">
        <f t="shared" si="40"/>
        <v>#VALUE!</v>
      </c>
      <c r="BZ44" s="31" t="str">
        <f t="shared" ref="BZ44:BZ46" si="52">MID(BQ44,1,3)</f>
        <v>2.2</v>
      </c>
      <c r="CA44" s="31">
        <v>0.2</v>
      </c>
      <c r="CB44" s="31" t="e">
        <f>BZ44-(CA44/2)</f>
        <v>#VALUE!</v>
      </c>
      <c r="CC44" s="31" t="e">
        <f>BZ44-CA44</f>
        <v>#VALUE!</v>
      </c>
      <c r="CD44" s="31" t="e">
        <f>BZ44+(CA44/2)</f>
        <v>#VALUE!</v>
      </c>
      <c r="CE44" s="31" t="e">
        <f>BZ44+CA44</f>
        <v>#VALUE!</v>
      </c>
      <c r="CF44" s="31" t="str">
        <f t="shared" si="42"/>
        <v>4.9</v>
      </c>
      <c r="CG44" s="31" t="str">
        <f t="shared" si="43"/>
        <v>0.2</v>
      </c>
      <c r="CH44" s="19" t="e">
        <f t="shared" si="44"/>
        <v>#VALUE!</v>
      </c>
      <c r="CI44" s="31" t="e">
        <f t="shared" si="45"/>
        <v>#VALUE!</v>
      </c>
      <c r="CJ44" s="31" t="e">
        <f t="shared" si="46"/>
        <v>#VALUE!</v>
      </c>
      <c r="CK44" s="31" t="e">
        <f t="shared" si="47"/>
        <v>#VALUE!</v>
      </c>
      <c r="CL44" s="28" t="s">
        <v>719</v>
      </c>
    </row>
    <row r="45" spans="1:90" s="28" customFormat="1">
      <c r="A45" s="19" t="str">
        <f t="shared" si="35"/>
        <v>2-3</v>
      </c>
      <c r="B45" s="20">
        <v>2</v>
      </c>
      <c r="C45" s="21" t="s">
        <v>133</v>
      </c>
      <c r="D45" s="20" t="s">
        <v>170</v>
      </c>
      <c r="E45" s="20" t="s">
        <v>171</v>
      </c>
      <c r="F45" s="20" t="s">
        <v>172</v>
      </c>
      <c r="G45" s="22">
        <v>3</v>
      </c>
      <c r="H45" s="23" t="s">
        <v>77</v>
      </c>
      <c r="I45" s="24" t="s">
        <v>479</v>
      </c>
      <c r="J45" s="23" t="str">
        <f t="shared" si="36"/>
        <v xml:space="preserve">Hose, Radiator; Ø 33 mm × 42 mm; TSB5501G-1E </v>
      </c>
      <c r="K45" s="23" t="s">
        <v>140</v>
      </c>
      <c r="L45" s="23" t="s">
        <v>173</v>
      </c>
      <c r="M45" s="23" t="s">
        <v>3</v>
      </c>
      <c r="N45" s="21" t="s">
        <v>142</v>
      </c>
      <c r="O45" s="21" t="s">
        <v>142</v>
      </c>
      <c r="P45" s="25" t="s">
        <v>111</v>
      </c>
      <c r="Q45" s="25" t="s">
        <v>111</v>
      </c>
      <c r="R45" s="40" t="s">
        <v>143</v>
      </c>
      <c r="S45" s="40" t="s">
        <v>174</v>
      </c>
      <c r="T45" s="26" t="s">
        <v>93</v>
      </c>
      <c r="U45" s="26" t="s">
        <v>94</v>
      </c>
      <c r="V45" s="26" t="s">
        <v>175</v>
      </c>
      <c r="W45" s="26" t="s">
        <v>176</v>
      </c>
      <c r="X45" s="26" t="s">
        <v>177</v>
      </c>
      <c r="Y45" s="26" t="s">
        <v>178</v>
      </c>
      <c r="Z45" s="26" t="s">
        <v>125</v>
      </c>
      <c r="AA45" s="26" t="s">
        <v>149</v>
      </c>
      <c r="AB45" s="20" t="s">
        <v>511</v>
      </c>
      <c r="AC45" s="20" t="s">
        <v>97</v>
      </c>
      <c r="AD45" s="20" t="s">
        <v>511</v>
      </c>
      <c r="AE45" s="20" t="s">
        <v>97</v>
      </c>
      <c r="AF45" s="26" t="s">
        <v>79</v>
      </c>
      <c r="AG45" s="26" t="s">
        <v>75</v>
      </c>
      <c r="AH45" s="26" t="s">
        <v>76</v>
      </c>
      <c r="AI45" s="26" t="s">
        <v>112</v>
      </c>
      <c r="AJ45" s="26" t="s">
        <v>76</v>
      </c>
      <c r="AK45" s="26" t="s">
        <v>79</v>
      </c>
      <c r="AL45" s="26" t="s">
        <v>75</v>
      </c>
      <c r="AM45" s="26" t="s">
        <v>112</v>
      </c>
      <c r="AN45" s="26" t="s">
        <v>5</v>
      </c>
      <c r="AO45" s="26" t="s">
        <v>76</v>
      </c>
      <c r="AP45" s="20" t="s">
        <v>179</v>
      </c>
      <c r="AQ45" s="20" t="s">
        <v>180</v>
      </c>
      <c r="AR45" s="20" t="s">
        <v>152</v>
      </c>
      <c r="AS45" s="20" t="s">
        <v>181</v>
      </c>
      <c r="AT45" s="20" t="s">
        <v>154</v>
      </c>
      <c r="AU45" s="20" t="s">
        <v>155</v>
      </c>
      <c r="AV45" s="20" t="s">
        <v>126</v>
      </c>
      <c r="AW45" s="20" t="s">
        <v>163</v>
      </c>
      <c r="AX45" s="20" t="s">
        <v>157</v>
      </c>
      <c r="AY45" s="20" t="s">
        <v>182</v>
      </c>
      <c r="AZ45" s="20" t="s">
        <v>183</v>
      </c>
      <c r="BA45" s="20">
        <v>73</v>
      </c>
      <c r="BB45" s="20" t="s">
        <v>440</v>
      </c>
      <c r="BC45" s="26" t="s">
        <v>184</v>
      </c>
      <c r="BD45" s="26" t="s">
        <v>185</v>
      </c>
      <c r="BE45" s="26">
        <v>0.5</v>
      </c>
      <c r="BF45" s="20" t="s">
        <v>424</v>
      </c>
      <c r="BG45" s="20" t="s">
        <v>426</v>
      </c>
      <c r="BH45" s="20" t="s">
        <v>5</v>
      </c>
      <c r="BI45" s="20" t="s">
        <v>108</v>
      </c>
      <c r="BJ45" s="27" t="s">
        <v>165</v>
      </c>
      <c r="BK45" s="27" t="s">
        <v>157</v>
      </c>
      <c r="BL45" s="27" t="s">
        <v>186</v>
      </c>
      <c r="BM45" s="27" t="s">
        <v>186</v>
      </c>
      <c r="BN45" s="41" t="s">
        <v>109</v>
      </c>
      <c r="BO45" s="26" t="s">
        <v>418</v>
      </c>
      <c r="BP45" s="26" t="s">
        <v>400</v>
      </c>
      <c r="BQ45" s="26" t="s">
        <v>481</v>
      </c>
      <c r="BR45" s="26" t="s">
        <v>482</v>
      </c>
      <c r="BS45" s="26" t="s">
        <v>83</v>
      </c>
      <c r="BT45" s="31" t="str">
        <f>MID($BO$9, 1, 4)</f>
        <v>33.0</v>
      </c>
      <c r="BU45" s="31" t="str">
        <f>MID($BO$9,6,3)</f>
        <v>0.2</v>
      </c>
      <c r="BV45" s="31" t="e">
        <f t="shared" si="37"/>
        <v>#VALUE!</v>
      </c>
      <c r="BW45" s="31" t="e">
        <f t="shared" si="38"/>
        <v>#VALUE!</v>
      </c>
      <c r="BX45" s="31" t="e">
        <f t="shared" si="39"/>
        <v>#VALUE!</v>
      </c>
      <c r="BY45" s="31" t="e">
        <f t="shared" si="40"/>
        <v>#VALUE!</v>
      </c>
      <c r="BZ45" s="31" t="str">
        <f t="shared" si="52"/>
        <v>2.0</v>
      </c>
      <c r="CA45" s="31" t="str">
        <f>MID(BQ45,5,3)</f>
        <v>0.2</v>
      </c>
      <c r="CB45" s="31" t="e">
        <f>BZ45-(CA45/2)</f>
        <v>#VALUE!</v>
      </c>
      <c r="CC45" s="31" t="e">
        <f>BZ45-CA45</f>
        <v>#VALUE!</v>
      </c>
      <c r="CD45" s="31" t="e">
        <f>BZ45+(CA45/2)</f>
        <v>#VALUE!</v>
      </c>
      <c r="CE45" s="31" t="e">
        <f>BZ45+CA45</f>
        <v>#VALUE!</v>
      </c>
      <c r="CF45" s="31" t="str">
        <f t="shared" si="42"/>
        <v>4.3</v>
      </c>
      <c r="CG45" s="31" t="str">
        <f t="shared" si="43"/>
        <v>0.2</v>
      </c>
      <c r="CH45" s="19" t="e">
        <f t="shared" si="44"/>
        <v>#VALUE!</v>
      </c>
      <c r="CI45" s="31" t="e">
        <f t="shared" si="45"/>
        <v>#VALUE!</v>
      </c>
      <c r="CJ45" s="31" t="e">
        <f t="shared" si="46"/>
        <v>#VALUE!</v>
      </c>
      <c r="CK45" s="31" t="e">
        <f t="shared" si="47"/>
        <v>#VALUE!</v>
      </c>
      <c r="CL45" s="28" t="s">
        <v>717</v>
      </c>
    </row>
    <row r="46" spans="1:90" s="28" customFormat="1">
      <c r="A46" s="19" t="str">
        <f t="shared" si="35"/>
        <v>3-4</v>
      </c>
      <c r="B46" s="20">
        <v>3</v>
      </c>
      <c r="C46" s="21" t="s">
        <v>133</v>
      </c>
      <c r="D46" s="20" t="s">
        <v>188</v>
      </c>
      <c r="E46" s="20" t="s">
        <v>189</v>
      </c>
      <c r="F46" s="20" t="s">
        <v>190</v>
      </c>
      <c r="G46" s="22">
        <v>4</v>
      </c>
      <c r="H46" s="23" t="s">
        <v>191</v>
      </c>
      <c r="I46" s="24" t="s">
        <v>479</v>
      </c>
      <c r="J46" s="23" t="str">
        <f t="shared" si="36"/>
        <v xml:space="preserve">Hose, Radiator; Ø 31 mm × 39 mm; TSB5501G-1F </v>
      </c>
      <c r="K46" s="23" t="s">
        <v>140</v>
      </c>
      <c r="L46" s="23" t="s">
        <v>192</v>
      </c>
      <c r="M46" s="23" t="s">
        <v>193</v>
      </c>
      <c r="N46" s="21" t="s">
        <v>194</v>
      </c>
      <c r="O46" s="21" t="s">
        <v>194</v>
      </c>
      <c r="P46" s="25" t="s">
        <v>111</v>
      </c>
      <c r="Q46" s="25" t="s">
        <v>111</v>
      </c>
      <c r="R46" s="40" t="s">
        <v>143</v>
      </c>
      <c r="S46" s="40" t="s">
        <v>195</v>
      </c>
      <c r="T46" s="26" t="s">
        <v>93</v>
      </c>
      <c r="U46" s="26" t="s">
        <v>94</v>
      </c>
      <c r="V46" s="26" t="s">
        <v>367</v>
      </c>
      <c r="W46" s="26" t="s">
        <v>368</v>
      </c>
      <c r="X46" s="26" t="s">
        <v>369</v>
      </c>
      <c r="Y46" s="26" t="s">
        <v>221</v>
      </c>
      <c r="Z46" s="26" t="s">
        <v>370</v>
      </c>
      <c r="AA46" s="26" t="s">
        <v>149</v>
      </c>
      <c r="AB46" s="20" t="s">
        <v>511</v>
      </c>
      <c r="AC46" s="20" t="s">
        <v>97</v>
      </c>
      <c r="AD46" s="20" t="s">
        <v>511</v>
      </c>
      <c r="AE46" s="20" t="s">
        <v>97</v>
      </c>
      <c r="AF46" s="26" t="s">
        <v>79</v>
      </c>
      <c r="AG46" s="26" t="s">
        <v>75</v>
      </c>
      <c r="AH46" s="26" t="s">
        <v>76</v>
      </c>
      <c r="AI46" s="26" t="s">
        <v>76</v>
      </c>
      <c r="AJ46" s="26" t="s">
        <v>76</v>
      </c>
      <c r="AK46" s="26" t="s">
        <v>79</v>
      </c>
      <c r="AL46" s="26" t="s">
        <v>371</v>
      </c>
      <c r="AM46" s="26" t="s">
        <v>372</v>
      </c>
      <c r="AN46" s="26" t="s">
        <v>5</v>
      </c>
      <c r="AO46" s="26" t="s">
        <v>372</v>
      </c>
      <c r="AP46" s="20" t="s">
        <v>200</v>
      </c>
      <c r="AQ46" s="20" t="s">
        <v>201</v>
      </c>
      <c r="AR46" s="20" t="s">
        <v>152</v>
      </c>
      <c r="AS46" s="20" t="s">
        <v>202</v>
      </c>
      <c r="AT46" s="20" t="s">
        <v>203</v>
      </c>
      <c r="AU46" s="20" t="s">
        <v>204</v>
      </c>
      <c r="AV46" s="20" t="s">
        <v>132</v>
      </c>
      <c r="AW46" s="20" t="s">
        <v>205</v>
      </c>
      <c r="AX46" s="20" t="s">
        <v>156</v>
      </c>
      <c r="AY46" s="20" t="s">
        <v>182</v>
      </c>
      <c r="AZ46" s="20" t="s">
        <v>183</v>
      </c>
      <c r="BA46" s="20">
        <v>77</v>
      </c>
      <c r="BB46" s="20" t="s">
        <v>441</v>
      </c>
      <c r="BC46" s="26" t="s">
        <v>206</v>
      </c>
      <c r="BD46" s="26" t="s">
        <v>373</v>
      </c>
      <c r="BE46" s="26">
        <v>0.5</v>
      </c>
      <c r="BF46" s="20" t="s">
        <v>424</v>
      </c>
      <c r="BG46" s="20" t="s">
        <v>426</v>
      </c>
      <c r="BH46" s="20" t="s">
        <v>5</v>
      </c>
      <c r="BI46" s="20" t="s">
        <v>108</v>
      </c>
      <c r="BJ46" s="27" t="s">
        <v>165</v>
      </c>
      <c r="BK46" s="27" t="s">
        <v>208</v>
      </c>
      <c r="BL46" s="27" t="s">
        <v>374</v>
      </c>
      <c r="BM46" s="27" t="s">
        <v>374</v>
      </c>
      <c r="BN46" s="41" t="s">
        <v>109</v>
      </c>
      <c r="BO46" s="26" t="s">
        <v>438</v>
      </c>
      <c r="BP46" s="26" t="s">
        <v>439</v>
      </c>
      <c r="BQ46" s="26" t="s">
        <v>483</v>
      </c>
      <c r="BR46" s="26" t="s">
        <v>484</v>
      </c>
      <c r="BS46" s="26" t="s">
        <v>83</v>
      </c>
      <c r="BT46" s="31">
        <v>31</v>
      </c>
      <c r="BU46" s="31" t="str">
        <f>MID($BO$22,6,3)</f>
        <v>0.2</v>
      </c>
      <c r="BV46" s="31" t="e">
        <f t="shared" si="37"/>
        <v>#VALUE!</v>
      </c>
      <c r="BW46" s="31" t="e">
        <f t="shared" si="38"/>
        <v>#VALUE!</v>
      </c>
      <c r="BX46" s="31" t="e">
        <f t="shared" si="39"/>
        <v>#VALUE!</v>
      </c>
      <c r="BY46" s="31" t="e">
        <f t="shared" si="40"/>
        <v>#VALUE!</v>
      </c>
      <c r="BZ46" s="31" t="str">
        <f t="shared" si="52"/>
        <v>1.9</v>
      </c>
      <c r="CA46" s="31" t="str">
        <f>MID(BQ46,8,3)</f>
        <v>0.2</v>
      </c>
      <c r="CB46" s="47" t="e">
        <f>BZ46+(CA46*25%)</f>
        <v>#VALUE!</v>
      </c>
      <c r="CC46" s="47" t="str">
        <f>BZ46</f>
        <v>1.9</v>
      </c>
      <c r="CD46" s="47" t="e">
        <f>BZ46+(CA46*75%)</f>
        <v>#VALUE!</v>
      </c>
      <c r="CE46" s="31" t="e">
        <f>BZ46+CA46</f>
        <v>#VALUE!</v>
      </c>
      <c r="CF46" s="31" t="str">
        <f t="shared" si="42"/>
        <v>3.8</v>
      </c>
      <c r="CG46" s="31" t="str">
        <f t="shared" si="43"/>
        <v>0.2</v>
      </c>
      <c r="CH46" s="19" t="e">
        <f t="shared" si="44"/>
        <v>#VALUE!</v>
      </c>
      <c r="CI46" s="31" t="e">
        <f t="shared" si="45"/>
        <v>#VALUE!</v>
      </c>
      <c r="CJ46" s="31" t="e">
        <f t="shared" si="46"/>
        <v>#VALUE!</v>
      </c>
      <c r="CK46" s="31" t="e">
        <f t="shared" si="47"/>
        <v>#VALUE!</v>
      </c>
      <c r="CL46" s="28" t="s">
        <v>716</v>
      </c>
    </row>
    <row r="47" spans="1:90" s="73" customFormat="1">
      <c r="A47" s="61" t="str">
        <f t="shared" ref="A47:A58" si="53">CONCATENATE(B47,"-",G47)</f>
        <v>14-1</v>
      </c>
      <c r="B47" s="62">
        <v>14</v>
      </c>
      <c r="C47" s="63" t="s">
        <v>133</v>
      </c>
      <c r="D47" s="62" t="s">
        <v>5</v>
      </c>
      <c r="E47" s="20" t="s">
        <v>5</v>
      </c>
      <c r="F47" s="62" t="s">
        <v>5</v>
      </c>
      <c r="G47" s="64">
        <v>1</v>
      </c>
      <c r="H47" s="65" t="s">
        <v>191</v>
      </c>
      <c r="I47" s="66" t="s">
        <v>485</v>
      </c>
      <c r="J47" s="65" t="str">
        <f t="shared" ref="J47:J58" si="54">CONCATENATE(K47,"; ",L47,"; ",M47," ")</f>
        <v xml:space="preserve">Hose, Fuel Tank; Ø 34 mm × 42 mm; DTSE7351G-1 </v>
      </c>
      <c r="K47" s="65" t="s">
        <v>450</v>
      </c>
      <c r="L47" s="65" t="s">
        <v>451</v>
      </c>
      <c r="M47" s="65" t="s">
        <v>452</v>
      </c>
      <c r="N47" s="63" t="s">
        <v>453</v>
      </c>
      <c r="O47" s="63" t="s">
        <v>5</v>
      </c>
      <c r="P47" s="67" t="s">
        <v>111</v>
      </c>
      <c r="Q47" s="67" t="s">
        <v>5</v>
      </c>
      <c r="R47" s="68" t="s">
        <v>5</v>
      </c>
      <c r="S47" s="68" t="s">
        <v>5</v>
      </c>
      <c r="T47" s="69" t="s">
        <v>5</v>
      </c>
      <c r="U47" s="69" t="s">
        <v>5</v>
      </c>
      <c r="V47" s="69" t="s">
        <v>220</v>
      </c>
      <c r="W47" s="69" t="s">
        <v>454</v>
      </c>
      <c r="X47" s="69" t="s">
        <v>5</v>
      </c>
      <c r="Y47" s="69" t="s">
        <v>5</v>
      </c>
      <c r="Z47" s="69" t="s">
        <v>5</v>
      </c>
      <c r="AA47" s="69" t="s">
        <v>5</v>
      </c>
      <c r="AB47" s="62" t="s">
        <v>511</v>
      </c>
      <c r="AC47" s="62" t="s">
        <v>97</v>
      </c>
      <c r="AD47" s="62" t="s">
        <v>511</v>
      </c>
      <c r="AE47" s="62" t="s">
        <v>97</v>
      </c>
      <c r="AF47" s="69" t="s">
        <v>75</v>
      </c>
      <c r="AG47" s="69" t="s">
        <v>76</v>
      </c>
      <c r="AH47" s="69" t="s">
        <v>76</v>
      </c>
      <c r="AI47" s="69" t="s">
        <v>76</v>
      </c>
      <c r="AJ47" s="69" t="s">
        <v>76</v>
      </c>
      <c r="AK47" s="69" t="s">
        <v>5</v>
      </c>
      <c r="AL47" s="69" t="s">
        <v>5</v>
      </c>
      <c r="AM47" s="69" t="s">
        <v>5</v>
      </c>
      <c r="AN47" s="69" t="s">
        <v>5</v>
      </c>
      <c r="AO47" s="69" t="s">
        <v>5</v>
      </c>
      <c r="AP47" s="62" t="s">
        <v>455</v>
      </c>
      <c r="AQ47" s="62" t="s">
        <v>5</v>
      </c>
      <c r="AR47" s="62" t="s">
        <v>456</v>
      </c>
      <c r="AS47" s="62" t="s">
        <v>5</v>
      </c>
      <c r="AT47" s="62" t="s">
        <v>457</v>
      </c>
      <c r="AU47" s="62" t="s">
        <v>5</v>
      </c>
      <c r="AV47" s="62" t="s">
        <v>132</v>
      </c>
      <c r="AW47" s="62" t="s">
        <v>163</v>
      </c>
      <c r="AX47" s="62" t="s">
        <v>5</v>
      </c>
      <c r="AY47" s="62" t="s">
        <v>487</v>
      </c>
      <c r="AZ47" s="62" t="s">
        <v>487</v>
      </c>
      <c r="BA47" s="62" t="s">
        <v>5</v>
      </c>
      <c r="BB47" s="62" t="s">
        <v>5</v>
      </c>
      <c r="BC47" s="69" t="s">
        <v>5</v>
      </c>
      <c r="BD47" s="69" t="s">
        <v>459</v>
      </c>
      <c r="BE47" s="69">
        <v>0.5</v>
      </c>
      <c r="BF47" s="62" t="s">
        <v>110</v>
      </c>
      <c r="BG47" s="62" t="s">
        <v>460</v>
      </c>
      <c r="BH47" s="62" t="s">
        <v>80</v>
      </c>
      <c r="BI47" s="62" t="s">
        <v>108</v>
      </c>
      <c r="BJ47" s="70" t="s">
        <v>165</v>
      </c>
      <c r="BK47" s="70" t="s">
        <v>461</v>
      </c>
      <c r="BL47" s="70" t="s">
        <v>462</v>
      </c>
      <c r="BM47" s="70" t="s">
        <v>462</v>
      </c>
      <c r="BN47" s="71" t="s">
        <v>463</v>
      </c>
      <c r="BO47" s="69" t="s">
        <v>486</v>
      </c>
      <c r="BP47" s="69" t="s">
        <v>465</v>
      </c>
      <c r="BQ47" s="69" t="s">
        <v>488</v>
      </c>
      <c r="BR47" s="69" t="s">
        <v>488</v>
      </c>
      <c r="BS47" s="69" t="s">
        <v>83</v>
      </c>
      <c r="BT47" s="72">
        <v>32.4</v>
      </c>
      <c r="BU47" s="72" t="str">
        <f>MID($BO$47,6,3)</f>
        <v>0.2</v>
      </c>
      <c r="BV47" s="72" t="e">
        <f t="shared" ref="BV47:BV57" si="55">BT47-(BU47/2)</f>
        <v>#VALUE!</v>
      </c>
      <c r="BW47" s="72" t="e">
        <f t="shared" ref="BW47:BW57" si="56">BT47-BU47</f>
        <v>#VALUE!</v>
      </c>
      <c r="BX47" s="72" t="e">
        <f t="shared" ref="BX47:BX57" si="57">BT47+(BU47/2)</f>
        <v>#VALUE!</v>
      </c>
      <c r="BY47" s="72" t="e">
        <f t="shared" ref="BY47:BY57" si="58">BT47+BU47</f>
        <v>#VALUE!</v>
      </c>
      <c r="BZ47" s="72" t="s">
        <v>5</v>
      </c>
      <c r="CA47" s="72" t="s">
        <v>5</v>
      </c>
      <c r="CB47" s="72" t="s">
        <v>5</v>
      </c>
      <c r="CC47" s="72" t="s">
        <v>5</v>
      </c>
      <c r="CD47" s="72" t="s">
        <v>5</v>
      </c>
      <c r="CE47" s="72" t="s">
        <v>5</v>
      </c>
      <c r="CF47" s="72" t="str">
        <f t="shared" ref="CF47:CF57" si="59">MID(BR47,1,3)</f>
        <v>3.7</v>
      </c>
      <c r="CG47" s="72" t="str">
        <f t="shared" ref="CG47:CG57" si="60">MID(BR47,5,3)</f>
        <v>0.2</v>
      </c>
      <c r="CH47" s="61" t="e">
        <f t="shared" ref="CH47:CH57" si="61">CF47-(CG47/2)</f>
        <v>#VALUE!</v>
      </c>
      <c r="CI47" s="72" t="e">
        <f t="shared" ref="CI47:CI57" si="62">CF47-CG47</f>
        <v>#VALUE!</v>
      </c>
      <c r="CJ47" s="72" t="e">
        <f t="shared" ref="CJ47:CJ57" si="63">CF47+(CG47/2)</f>
        <v>#VALUE!</v>
      </c>
      <c r="CK47" s="72" t="e">
        <f t="shared" ref="CK47:CK57" si="64">CF47+CG47</f>
        <v>#VALUE!</v>
      </c>
      <c r="CL47" s="73" t="s">
        <v>710</v>
      </c>
    </row>
    <row r="48" spans="1:90" s="28" customFormat="1">
      <c r="A48" s="19" t="str">
        <f t="shared" si="53"/>
        <v>13-4</v>
      </c>
      <c r="B48" s="20">
        <v>13</v>
      </c>
      <c r="C48" s="21" t="s">
        <v>133</v>
      </c>
      <c r="D48" s="20" t="s">
        <v>433</v>
      </c>
      <c r="E48" s="20" t="s">
        <v>434</v>
      </c>
      <c r="F48" s="20" t="s">
        <v>435</v>
      </c>
      <c r="G48" s="22">
        <v>4</v>
      </c>
      <c r="H48" s="23" t="s">
        <v>77</v>
      </c>
      <c r="I48" s="24" t="s">
        <v>489</v>
      </c>
      <c r="J48" s="23" t="str">
        <f t="shared" si="54"/>
        <v xml:space="preserve">Hose, Water By-Pass; Ø 7.5 mm × 14.5 mm; TSB5501G-1E </v>
      </c>
      <c r="K48" s="23" t="s">
        <v>255</v>
      </c>
      <c r="L48" s="23" t="s">
        <v>344</v>
      </c>
      <c r="M48" s="23" t="s">
        <v>3</v>
      </c>
      <c r="N48" s="21" t="s">
        <v>142</v>
      </c>
      <c r="O48" s="21" t="s">
        <v>142</v>
      </c>
      <c r="P48" s="25" t="s">
        <v>111</v>
      </c>
      <c r="Q48" s="25" t="s">
        <v>111</v>
      </c>
      <c r="R48" s="40" t="s">
        <v>325</v>
      </c>
      <c r="S48" s="40" t="s">
        <v>345</v>
      </c>
      <c r="T48" s="26" t="s">
        <v>93</v>
      </c>
      <c r="U48" s="26" t="s">
        <v>94</v>
      </c>
      <c r="V48" s="26" t="s">
        <v>300</v>
      </c>
      <c r="W48" s="26" t="s">
        <v>383</v>
      </c>
      <c r="X48" s="26" t="s">
        <v>394</v>
      </c>
      <c r="Y48" s="26" t="s">
        <v>348</v>
      </c>
      <c r="Z48" s="26" t="s">
        <v>356</v>
      </c>
      <c r="AA48" s="26" t="s">
        <v>350</v>
      </c>
      <c r="AB48" s="20" t="s">
        <v>511</v>
      </c>
      <c r="AC48" s="20" t="s">
        <v>97</v>
      </c>
      <c r="AD48" s="20" t="s">
        <v>511</v>
      </c>
      <c r="AE48" s="20" t="s">
        <v>97</v>
      </c>
      <c r="AF48" s="26" t="s">
        <v>79</v>
      </c>
      <c r="AG48" s="26" t="s">
        <v>75</v>
      </c>
      <c r="AH48" s="26" t="s">
        <v>76</v>
      </c>
      <c r="AI48" s="26" t="s">
        <v>112</v>
      </c>
      <c r="AJ48" s="26" t="s">
        <v>76</v>
      </c>
      <c r="AK48" s="26" t="s">
        <v>79</v>
      </c>
      <c r="AL48" s="26" t="s">
        <v>363</v>
      </c>
      <c r="AM48" s="26" t="s">
        <v>363</v>
      </c>
      <c r="AN48" s="26" t="s">
        <v>5</v>
      </c>
      <c r="AO48" s="26" t="s">
        <v>363</v>
      </c>
      <c r="AP48" s="20" t="s">
        <v>351</v>
      </c>
      <c r="AQ48" s="20" t="s">
        <v>352</v>
      </c>
      <c r="AR48" s="20" t="s">
        <v>241</v>
      </c>
      <c r="AS48" s="20" t="s">
        <v>492</v>
      </c>
      <c r="AT48" s="20" t="s">
        <v>333</v>
      </c>
      <c r="AU48" s="20" t="s">
        <v>334</v>
      </c>
      <c r="AV48" s="20" t="s">
        <v>126</v>
      </c>
      <c r="AW48" s="20" t="s">
        <v>163</v>
      </c>
      <c r="AX48" s="20" t="s">
        <v>157</v>
      </c>
      <c r="AY48" s="20" t="s">
        <v>353</v>
      </c>
      <c r="AZ48" s="20" t="s">
        <v>354</v>
      </c>
      <c r="BA48" s="20">
        <v>31</v>
      </c>
      <c r="BB48" s="20" t="s">
        <v>445</v>
      </c>
      <c r="BC48" s="26" t="s">
        <v>491</v>
      </c>
      <c r="BD48" s="26" t="s">
        <v>490</v>
      </c>
      <c r="BE48" s="26">
        <v>0.5</v>
      </c>
      <c r="BF48" s="20" t="s">
        <v>5</v>
      </c>
      <c r="BG48" s="20" t="s">
        <v>5</v>
      </c>
      <c r="BH48" s="20" t="s">
        <v>5</v>
      </c>
      <c r="BI48" s="20" t="s">
        <v>108</v>
      </c>
      <c r="BJ48" s="27" t="s">
        <v>165</v>
      </c>
      <c r="BK48" s="27" t="s">
        <v>357</v>
      </c>
      <c r="BL48" s="27" t="s">
        <v>493</v>
      </c>
      <c r="BM48" s="27" t="s">
        <v>397</v>
      </c>
      <c r="BN48" s="41" t="s">
        <v>109</v>
      </c>
      <c r="BO48" s="26" t="s">
        <v>359</v>
      </c>
      <c r="BP48" s="26" t="s">
        <v>362</v>
      </c>
      <c r="BQ48" s="26" t="s">
        <v>360</v>
      </c>
      <c r="BR48" s="26" t="s">
        <v>361</v>
      </c>
      <c r="BS48" s="26" t="s">
        <v>83</v>
      </c>
      <c r="BT48" s="31" t="str">
        <f>MID($BO$29, 1, 3)</f>
        <v>7.5</v>
      </c>
      <c r="BU48" s="31" t="str">
        <f>MID($BO$29,5,3)</f>
        <v>0.1</v>
      </c>
      <c r="BV48" s="31" t="e">
        <f t="shared" si="55"/>
        <v>#VALUE!</v>
      </c>
      <c r="BW48" s="31" t="e">
        <f t="shared" si="56"/>
        <v>#VALUE!</v>
      </c>
      <c r="BX48" s="31" t="e">
        <f t="shared" si="57"/>
        <v>#VALUE!</v>
      </c>
      <c r="BY48" s="31" t="e">
        <f t="shared" si="58"/>
        <v>#VALUE!</v>
      </c>
      <c r="BZ48" s="31" t="str">
        <f t="shared" ref="BZ48:BZ56" si="65">MID(BQ48,1,3)</f>
        <v>1.6</v>
      </c>
      <c r="CA48" s="31" t="str">
        <f t="shared" ref="CA48:CA52" si="66">MID(BQ48,5,3)</f>
        <v>0.1</v>
      </c>
      <c r="CB48" s="31" t="e">
        <f t="shared" ref="CB48:CB52" si="67">BZ48-(CA48/2)</f>
        <v>#VALUE!</v>
      </c>
      <c r="CC48" s="31" t="e">
        <f t="shared" ref="CC48:CC52" si="68">BZ48-CA48</f>
        <v>#VALUE!</v>
      </c>
      <c r="CD48" s="31" t="e">
        <f t="shared" ref="CD48:CD52" si="69">BZ48+(CA48/2)</f>
        <v>#VALUE!</v>
      </c>
      <c r="CE48" s="31" t="e">
        <f t="shared" ref="CE48:CE53" si="70">BZ48+CA48</f>
        <v>#VALUE!</v>
      </c>
      <c r="CF48" s="31" t="str">
        <f t="shared" si="59"/>
        <v>3.3</v>
      </c>
      <c r="CG48" s="31" t="str">
        <f t="shared" si="60"/>
        <v>0.1</v>
      </c>
      <c r="CH48" s="19" t="e">
        <f t="shared" si="61"/>
        <v>#VALUE!</v>
      </c>
      <c r="CI48" s="31" t="e">
        <f t="shared" si="62"/>
        <v>#VALUE!</v>
      </c>
      <c r="CJ48" s="31" t="e">
        <f t="shared" si="63"/>
        <v>#VALUE!</v>
      </c>
      <c r="CK48" s="31" t="e">
        <f t="shared" si="64"/>
        <v>#VALUE!</v>
      </c>
      <c r="CL48" s="28" t="s">
        <v>728</v>
      </c>
    </row>
    <row r="49" spans="1:90" s="28" customFormat="1">
      <c r="A49" s="19" t="str">
        <f t="shared" si="53"/>
        <v>12-4</v>
      </c>
      <c r="B49" s="20">
        <v>12</v>
      </c>
      <c r="C49" s="21" t="s">
        <v>133</v>
      </c>
      <c r="D49" s="20" t="s">
        <v>321</v>
      </c>
      <c r="E49" s="20" t="s">
        <v>322</v>
      </c>
      <c r="F49" s="20" t="s">
        <v>323</v>
      </c>
      <c r="G49" s="22">
        <v>4</v>
      </c>
      <c r="H49" s="23" t="s">
        <v>77</v>
      </c>
      <c r="I49" s="24" t="s">
        <v>489</v>
      </c>
      <c r="J49" s="23" t="str">
        <f t="shared" si="54"/>
        <v xml:space="preserve">Hose, Water By-Pass; Ø 11 mm × 18 mm; TSB5501G-1E </v>
      </c>
      <c r="K49" s="23" t="s">
        <v>255</v>
      </c>
      <c r="L49" s="23" t="s">
        <v>324</v>
      </c>
      <c r="M49" s="23" t="s">
        <v>3</v>
      </c>
      <c r="N49" s="21" t="s">
        <v>142</v>
      </c>
      <c r="O49" s="21" t="s">
        <v>142</v>
      </c>
      <c r="P49" s="25" t="s">
        <v>111</v>
      </c>
      <c r="Q49" s="25" t="s">
        <v>111</v>
      </c>
      <c r="R49" s="40" t="s">
        <v>325</v>
      </c>
      <c r="S49" s="40" t="s">
        <v>326</v>
      </c>
      <c r="T49" s="26" t="s">
        <v>93</v>
      </c>
      <c r="U49" s="26" t="s">
        <v>94</v>
      </c>
      <c r="V49" s="26" t="s">
        <v>382</v>
      </c>
      <c r="W49" s="26" t="s">
        <v>328</v>
      </c>
      <c r="X49" s="26" t="s">
        <v>390</v>
      </c>
      <c r="Y49" s="26" t="s">
        <v>330</v>
      </c>
      <c r="Z49" s="26" t="s">
        <v>78</v>
      </c>
      <c r="AA49" s="26" t="s">
        <v>149</v>
      </c>
      <c r="AB49" s="20" t="s">
        <v>511</v>
      </c>
      <c r="AC49" s="20" t="s">
        <v>97</v>
      </c>
      <c r="AD49" s="20" t="s">
        <v>511</v>
      </c>
      <c r="AE49" s="20" t="s">
        <v>97</v>
      </c>
      <c r="AF49" s="26" t="s">
        <v>79</v>
      </c>
      <c r="AG49" s="26" t="s">
        <v>75</v>
      </c>
      <c r="AH49" s="26" t="s">
        <v>76</v>
      </c>
      <c r="AI49" s="26" t="s">
        <v>112</v>
      </c>
      <c r="AJ49" s="26" t="s">
        <v>76</v>
      </c>
      <c r="AK49" s="26" t="s">
        <v>79</v>
      </c>
      <c r="AL49" s="26" t="s">
        <v>363</v>
      </c>
      <c r="AM49" s="26" t="s">
        <v>112</v>
      </c>
      <c r="AN49" s="26" t="s">
        <v>5</v>
      </c>
      <c r="AO49" s="26" t="s">
        <v>363</v>
      </c>
      <c r="AP49" s="20" t="s">
        <v>331</v>
      </c>
      <c r="AQ49" s="20" t="s">
        <v>310</v>
      </c>
      <c r="AR49" s="20" t="s">
        <v>332</v>
      </c>
      <c r="AS49" s="20" t="s">
        <v>332</v>
      </c>
      <c r="AT49" s="20" t="s">
        <v>333</v>
      </c>
      <c r="AU49" s="20" t="s">
        <v>334</v>
      </c>
      <c r="AV49" s="20" t="s">
        <v>335</v>
      </c>
      <c r="AW49" s="20" t="s">
        <v>163</v>
      </c>
      <c r="AX49" s="20" t="s">
        <v>157</v>
      </c>
      <c r="AY49" s="20" t="s">
        <v>336</v>
      </c>
      <c r="AZ49" s="20" t="s">
        <v>337</v>
      </c>
      <c r="BA49" s="20">
        <v>35</v>
      </c>
      <c r="BB49" s="20" t="s">
        <v>447</v>
      </c>
      <c r="BC49" s="26" t="s">
        <v>494</v>
      </c>
      <c r="BD49" s="26" t="s">
        <v>495</v>
      </c>
      <c r="BE49" s="26">
        <v>0.5</v>
      </c>
      <c r="BF49" s="20" t="s">
        <v>5</v>
      </c>
      <c r="BG49" s="20" t="s">
        <v>5</v>
      </c>
      <c r="BH49" s="20" t="s">
        <v>5</v>
      </c>
      <c r="BI49" s="20" t="s">
        <v>108</v>
      </c>
      <c r="BJ49" s="27" t="s">
        <v>340</v>
      </c>
      <c r="BK49" s="27" t="s">
        <v>341</v>
      </c>
      <c r="BL49" s="27" t="s">
        <v>495</v>
      </c>
      <c r="BM49" s="27" t="s">
        <v>393</v>
      </c>
      <c r="BN49" s="41" t="s">
        <v>109</v>
      </c>
      <c r="BO49" s="26" t="s">
        <v>419</v>
      </c>
      <c r="BP49" s="26" t="s">
        <v>409</v>
      </c>
      <c r="BQ49" s="26" t="s">
        <v>292</v>
      </c>
      <c r="BR49" s="26" t="s">
        <v>343</v>
      </c>
      <c r="BS49" s="26" t="s">
        <v>83</v>
      </c>
      <c r="BT49" s="31" t="str">
        <f>MID($BO$28, 1, 4)</f>
        <v>11.0</v>
      </c>
      <c r="BU49" s="31" t="str">
        <f>MID($BO$28,6,3)</f>
        <v>0.1</v>
      </c>
      <c r="BV49" s="31" t="e">
        <f t="shared" si="55"/>
        <v>#VALUE!</v>
      </c>
      <c r="BW49" s="31" t="e">
        <f t="shared" si="56"/>
        <v>#VALUE!</v>
      </c>
      <c r="BX49" s="31" t="e">
        <f t="shared" si="57"/>
        <v>#VALUE!</v>
      </c>
      <c r="BY49" s="31" t="e">
        <f t="shared" si="58"/>
        <v>#VALUE!</v>
      </c>
      <c r="BZ49" s="31" t="str">
        <f t="shared" si="65"/>
        <v>1.8</v>
      </c>
      <c r="CA49" s="31" t="str">
        <f t="shared" si="66"/>
        <v>0.1</v>
      </c>
      <c r="CB49" s="31" t="e">
        <f t="shared" si="67"/>
        <v>#VALUE!</v>
      </c>
      <c r="CC49" s="31" t="e">
        <f t="shared" si="68"/>
        <v>#VALUE!</v>
      </c>
      <c r="CD49" s="31" t="e">
        <f t="shared" si="69"/>
        <v>#VALUE!</v>
      </c>
      <c r="CE49" s="31" t="e">
        <f t="shared" si="70"/>
        <v>#VALUE!</v>
      </c>
      <c r="CF49" s="31" t="str">
        <f t="shared" si="59"/>
        <v>3.4</v>
      </c>
      <c r="CG49" s="31" t="str">
        <f t="shared" si="60"/>
        <v>0.1</v>
      </c>
      <c r="CH49" s="19" t="e">
        <f t="shared" si="61"/>
        <v>#VALUE!</v>
      </c>
      <c r="CI49" s="31" t="e">
        <f t="shared" si="62"/>
        <v>#VALUE!</v>
      </c>
      <c r="CJ49" s="31" t="e">
        <f t="shared" si="63"/>
        <v>#VALUE!</v>
      </c>
      <c r="CK49" s="31" t="e">
        <f t="shared" si="64"/>
        <v>#VALUE!</v>
      </c>
      <c r="CL49" s="28" t="s">
        <v>721</v>
      </c>
    </row>
    <row r="50" spans="1:90" s="28" customFormat="1">
      <c r="A50" s="19" t="str">
        <f t="shared" si="53"/>
        <v>10-4</v>
      </c>
      <c r="B50" s="20">
        <v>10</v>
      </c>
      <c r="C50" s="21" t="s">
        <v>133</v>
      </c>
      <c r="D50" s="20" t="s">
        <v>301</v>
      </c>
      <c r="E50" s="20" t="s">
        <v>302</v>
      </c>
      <c r="F50" s="20" t="s">
        <v>303</v>
      </c>
      <c r="G50" s="22">
        <v>4</v>
      </c>
      <c r="H50" s="23" t="s">
        <v>304</v>
      </c>
      <c r="I50" s="24" t="s">
        <v>489</v>
      </c>
      <c r="J50" s="23" t="str">
        <f t="shared" si="54"/>
        <v xml:space="preserve">Hose, Water By-Pass; Ø 13 mm × 21 mm; TSB5501G-1F </v>
      </c>
      <c r="K50" s="23" t="s">
        <v>255</v>
      </c>
      <c r="L50" s="23" t="s">
        <v>305</v>
      </c>
      <c r="M50" s="23" t="s">
        <v>193</v>
      </c>
      <c r="N50" s="21" t="s">
        <v>194</v>
      </c>
      <c r="O50" s="21" t="s">
        <v>194</v>
      </c>
      <c r="P50" s="25" t="s">
        <v>111</v>
      </c>
      <c r="Q50" s="25" t="s">
        <v>111</v>
      </c>
      <c r="R50" s="40" t="s">
        <v>257</v>
      </c>
      <c r="S50" s="40" t="s">
        <v>306</v>
      </c>
      <c r="T50" s="26" t="s">
        <v>93</v>
      </c>
      <c r="U50" s="26" t="s">
        <v>94</v>
      </c>
      <c r="V50" s="26" t="s">
        <v>307</v>
      </c>
      <c r="W50" s="26" t="s">
        <v>308</v>
      </c>
      <c r="X50" s="26" t="s">
        <v>291</v>
      </c>
      <c r="Y50" s="26" t="s">
        <v>296</v>
      </c>
      <c r="Z50" s="26" t="s">
        <v>78</v>
      </c>
      <c r="AA50" s="26" t="s">
        <v>149</v>
      </c>
      <c r="AB50" s="20" t="s">
        <v>511</v>
      </c>
      <c r="AC50" s="20" t="s">
        <v>97</v>
      </c>
      <c r="AD50" s="20" t="s">
        <v>511</v>
      </c>
      <c r="AE50" s="20" t="s">
        <v>97</v>
      </c>
      <c r="AF50" s="26" t="s">
        <v>79</v>
      </c>
      <c r="AG50" s="26" t="s">
        <v>75</v>
      </c>
      <c r="AH50" s="26" t="s">
        <v>76</v>
      </c>
      <c r="AI50" s="26" t="s">
        <v>76</v>
      </c>
      <c r="AJ50" s="26" t="s">
        <v>76</v>
      </c>
      <c r="AK50" s="26" t="s">
        <v>79</v>
      </c>
      <c r="AL50" s="26" t="s">
        <v>371</v>
      </c>
      <c r="AM50" s="26" t="s">
        <v>76</v>
      </c>
      <c r="AN50" s="26" t="s">
        <v>5</v>
      </c>
      <c r="AO50" s="26" t="s">
        <v>76</v>
      </c>
      <c r="AP50" s="20" t="s">
        <v>309</v>
      </c>
      <c r="AQ50" s="20" t="s">
        <v>310</v>
      </c>
      <c r="AR50" s="20" t="s">
        <v>241</v>
      </c>
      <c r="AS50" s="20" t="s">
        <v>332</v>
      </c>
      <c r="AT50" s="20" t="s">
        <v>311</v>
      </c>
      <c r="AU50" s="20" t="s">
        <v>312</v>
      </c>
      <c r="AV50" s="20" t="s">
        <v>126</v>
      </c>
      <c r="AW50" s="20" t="s">
        <v>156</v>
      </c>
      <c r="AX50" s="20" t="s">
        <v>156</v>
      </c>
      <c r="AY50" s="20" t="s">
        <v>313</v>
      </c>
      <c r="AZ50" s="20" t="s">
        <v>314</v>
      </c>
      <c r="BA50" s="20">
        <v>45</v>
      </c>
      <c r="BB50" s="20" t="s">
        <v>443</v>
      </c>
      <c r="BC50" s="26" t="s">
        <v>315</v>
      </c>
      <c r="BD50" s="26" t="s">
        <v>388</v>
      </c>
      <c r="BE50" s="26">
        <v>0.5</v>
      </c>
      <c r="BF50" s="20" t="s">
        <v>424</v>
      </c>
      <c r="BG50" s="20" t="s">
        <v>426</v>
      </c>
      <c r="BH50" s="20" t="s">
        <v>5</v>
      </c>
      <c r="BI50" s="20" t="s">
        <v>108</v>
      </c>
      <c r="BJ50" s="27" t="s">
        <v>165</v>
      </c>
      <c r="BK50" s="27" t="s">
        <v>316</v>
      </c>
      <c r="BL50" s="27" t="s">
        <v>388</v>
      </c>
      <c r="BM50" s="27" t="s">
        <v>388</v>
      </c>
      <c r="BN50" s="41" t="s">
        <v>109</v>
      </c>
      <c r="BO50" s="26" t="s">
        <v>407</v>
      </c>
      <c r="BP50" s="26" t="s">
        <v>408</v>
      </c>
      <c r="BQ50" s="26" t="s">
        <v>318</v>
      </c>
      <c r="BR50" s="26" t="s">
        <v>245</v>
      </c>
      <c r="BS50" s="26" t="s">
        <v>83</v>
      </c>
      <c r="BT50" s="31" t="str">
        <f>MID($BO$27, 1, 4)</f>
        <v>12.9</v>
      </c>
      <c r="BU50" s="31" t="str">
        <f>MID($BO$27,6,3)</f>
        <v>0.1</v>
      </c>
      <c r="BV50" s="31" t="e">
        <f t="shared" si="55"/>
        <v>#VALUE!</v>
      </c>
      <c r="BW50" s="31" t="e">
        <f t="shared" si="56"/>
        <v>#VALUE!</v>
      </c>
      <c r="BX50" s="31" t="e">
        <f t="shared" si="57"/>
        <v>#VALUE!</v>
      </c>
      <c r="BY50" s="31" t="e">
        <f t="shared" si="58"/>
        <v>#VALUE!</v>
      </c>
      <c r="BZ50" s="31" t="str">
        <f t="shared" si="65"/>
        <v>1.9</v>
      </c>
      <c r="CA50" s="31" t="str">
        <f t="shared" si="66"/>
        <v>0.1</v>
      </c>
      <c r="CB50" s="31" t="e">
        <f t="shared" si="67"/>
        <v>#VALUE!</v>
      </c>
      <c r="CC50" s="31" t="e">
        <f t="shared" si="68"/>
        <v>#VALUE!</v>
      </c>
      <c r="CD50" s="31" t="e">
        <f t="shared" si="69"/>
        <v>#VALUE!</v>
      </c>
      <c r="CE50" s="31" t="e">
        <f t="shared" si="70"/>
        <v>#VALUE!</v>
      </c>
      <c r="CF50" s="31" t="str">
        <f t="shared" si="59"/>
        <v>3.9</v>
      </c>
      <c r="CG50" s="31" t="str">
        <f t="shared" si="60"/>
        <v>0.1</v>
      </c>
      <c r="CH50" s="19" t="e">
        <f t="shared" si="61"/>
        <v>#VALUE!</v>
      </c>
      <c r="CI50" s="31" t="e">
        <f t="shared" si="62"/>
        <v>#VALUE!</v>
      </c>
      <c r="CJ50" s="31" t="e">
        <f t="shared" si="63"/>
        <v>#VALUE!</v>
      </c>
      <c r="CK50" s="31" t="e">
        <f t="shared" si="64"/>
        <v>#VALUE!</v>
      </c>
      <c r="CL50" s="28" t="s">
        <v>722</v>
      </c>
    </row>
    <row r="51" spans="1:90" s="28" customFormat="1">
      <c r="A51" s="19" t="str">
        <f t="shared" si="53"/>
        <v>9-4</v>
      </c>
      <c r="B51" s="20">
        <v>9</v>
      </c>
      <c r="C51" s="21" t="s">
        <v>133</v>
      </c>
      <c r="D51" s="20" t="s">
        <v>293</v>
      </c>
      <c r="E51" s="20" t="s">
        <v>294</v>
      </c>
      <c r="F51" s="20" t="s">
        <v>295</v>
      </c>
      <c r="G51" s="22">
        <v>4</v>
      </c>
      <c r="H51" s="23" t="s">
        <v>77</v>
      </c>
      <c r="I51" s="24" t="s">
        <v>489</v>
      </c>
      <c r="J51" s="23" t="str">
        <f t="shared" si="54"/>
        <v xml:space="preserve">Hose, Water By-Pass; Ø 16 mm × 24 mm; TSB5501G-1E </v>
      </c>
      <c r="K51" s="23" t="s">
        <v>255</v>
      </c>
      <c r="L51" s="23" t="s">
        <v>274</v>
      </c>
      <c r="M51" s="23" t="s">
        <v>3</v>
      </c>
      <c r="N51" s="21" t="s">
        <v>142</v>
      </c>
      <c r="O51" s="21" t="s">
        <v>142</v>
      </c>
      <c r="P51" s="25" t="s">
        <v>111</v>
      </c>
      <c r="Q51" s="25" t="s">
        <v>111</v>
      </c>
      <c r="R51" s="40" t="s">
        <v>257</v>
      </c>
      <c r="S51" s="40" t="s">
        <v>275</v>
      </c>
      <c r="T51" s="26" t="s">
        <v>93</v>
      </c>
      <c r="U51" s="26" t="s">
        <v>94</v>
      </c>
      <c r="V51" s="26" t="s">
        <v>276</v>
      </c>
      <c r="W51" s="26" t="s">
        <v>384</v>
      </c>
      <c r="X51" s="26" t="s">
        <v>385</v>
      </c>
      <c r="Y51" s="26" t="s">
        <v>279</v>
      </c>
      <c r="Z51" s="26" t="s">
        <v>349</v>
      </c>
      <c r="AA51" s="26" t="s">
        <v>149</v>
      </c>
      <c r="AB51" s="20" t="s">
        <v>511</v>
      </c>
      <c r="AC51" s="20" t="s">
        <v>97</v>
      </c>
      <c r="AD51" s="20" t="s">
        <v>511</v>
      </c>
      <c r="AE51" s="20" t="s">
        <v>97</v>
      </c>
      <c r="AF51" s="26" t="s">
        <v>79</v>
      </c>
      <c r="AG51" s="26" t="s">
        <v>75</v>
      </c>
      <c r="AH51" s="26" t="s">
        <v>76</v>
      </c>
      <c r="AI51" s="26" t="s">
        <v>112</v>
      </c>
      <c r="AJ51" s="26" t="s">
        <v>76</v>
      </c>
      <c r="AK51" s="26" t="s">
        <v>79</v>
      </c>
      <c r="AL51" s="26" t="s">
        <v>363</v>
      </c>
      <c r="AM51" s="26" t="s">
        <v>76</v>
      </c>
      <c r="AN51" s="26" t="s">
        <v>5</v>
      </c>
      <c r="AO51" s="26" t="s">
        <v>76</v>
      </c>
      <c r="AP51" s="20" t="s">
        <v>280</v>
      </c>
      <c r="AQ51" s="20" t="s">
        <v>281</v>
      </c>
      <c r="AR51" s="20" t="s">
        <v>241</v>
      </c>
      <c r="AS51" s="20" t="s">
        <v>332</v>
      </c>
      <c r="AT51" s="20" t="s">
        <v>386</v>
      </c>
      <c r="AU51" s="20" t="s">
        <v>298</v>
      </c>
      <c r="AV51" s="20" t="s">
        <v>126</v>
      </c>
      <c r="AW51" s="20" t="s">
        <v>157</v>
      </c>
      <c r="AX51" s="20" t="s">
        <v>157</v>
      </c>
      <c r="AY51" s="20" t="s">
        <v>285</v>
      </c>
      <c r="AZ51" s="20" t="s">
        <v>286</v>
      </c>
      <c r="BA51" s="20">
        <v>50</v>
      </c>
      <c r="BB51" s="20" t="s">
        <v>112</v>
      </c>
      <c r="BC51" s="26" t="s">
        <v>299</v>
      </c>
      <c r="BD51" s="26" t="s">
        <v>387</v>
      </c>
      <c r="BE51" s="26">
        <v>0.5</v>
      </c>
      <c r="BF51" s="20" t="s">
        <v>424</v>
      </c>
      <c r="BG51" s="20" t="s">
        <v>426</v>
      </c>
      <c r="BH51" s="20" t="s">
        <v>5</v>
      </c>
      <c r="BI51" s="20" t="s">
        <v>108</v>
      </c>
      <c r="BJ51" s="27" t="s">
        <v>165</v>
      </c>
      <c r="BK51" s="27" t="s">
        <v>289</v>
      </c>
      <c r="BL51" s="27" t="s">
        <v>387</v>
      </c>
      <c r="BM51" s="27" t="s">
        <v>387</v>
      </c>
      <c r="BN51" s="41" t="s">
        <v>109</v>
      </c>
      <c r="BO51" s="26" t="s">
        <v>405</v>
      </c>
      <c r="BP51" s="26" t="s">
        <v>406</v>
      </c>
      <c r="BQ51" s="26" t="s">
        <v>292</v>
      </c>
      <c r="BR51" s="26" t="s">
        <v>81</v>
      </c>
      <c r="BS51" s="26" t="s">
        <v>83</v>
      </c>
      <c r="BT51" s="31" t="str">
        <f>MID($BO$26, 1, 4)</f>
        <v>15.9</v>
      </c>
      <c r="BU51" s="31" t="str">
        <f>MID($BO$26,6,3)</f>
        <v>0.1</v>
      </c>
      <c r="BV51" s="31" t="e">
        <f t="shared" si="55"/>
        <v>#VALUE!</v>
      </c>
      <c r="BW51" s="31" t="e">
        <f t="shared" si="56"/>
        <v>#VALUE!</v>
      </c>
      <c r="BX51" s="31" t="e">
        <f t="shared" si="57"/>
        <v>#VALUE!</v>
      </c>
      <c r="BY51" s="31" t="e">
        <f t="shared" si="58"/>
        <v>#VALUE!</v>
      </c>
      <c r="BZ51" s="31" t="str">
        <f t="shared" si="65"/>
        <v>1.8</v>
      </c>
      <c r="CA51" s="31" t="str">
        <f t="shared" si="66"/>
        <v>0.1</v>
      </c>
      <c r="CB51" s="31" t="e">
        <f t="shared" si="67"/>
        <v>#VALUE!</v>
      </c>
      <c r="CC51" s="31" t="e">
        <f t="shared" si="68"/>
        <v>#VALUE!</v>
      </c>
      <c r="CD51" s="31" t="e">
        <f t="shared" si="69"/>
        <v>#VALUE!</v>
      </c>
      <c r="CE51" s="31" t="e">
        <f t="shared" si="70"/>
        <v>#VALUE!</v>
      </c>
      <c r="CF51" s="31" t="str">
        <f t="shared" si="59"/>
        <v>3.8</v>
      </c>
      <c r="CG51" s="31" t="str">
        <f t="shared" si="60"/>
        <v>0.1</v>
      </c>
      <c r="CH51" s="19" t="e">
        <f t="shared" si="61"/>
        <v>#VALUE!</v>
      </c>
      <c r="CI51" s="31" t="e">
        <f t="shared" si="62"/>
        <v>#VALUE!</v>
      </c>
      <c r="CJ51" s="31" t="e">
        <f t="shared" si="63"/>
        <v>#VALUE!</v>
      </c>
      <c r="CK51" s="31" t="e">
        <f t="shared" si="64"/>
        <v>#VALUE!</v>
      </c>
      <c r="CL51" s="28" t="s">
        <v>723</v>
      </c>
    </row>
    <row r="52" spans="1:90" s="28" customFormat="1">
      <c r="A52" s="19" t="str">
        <f t="shared" si="53"/>
        <v>7-4</v>
      </c>
      <c r="B52" s="20">
        <v>7</v>
      </c>
      <c r="C52" s="21" t="s">
        <v>133</v>
      </c>
      <c r="D52" s="20" t="s">
        <v>252</v>
      </c>
      <c r="E52" s="20" t="s">
        <v>253</v>
      </c>
      <c r="F52" s="20" t="s">
        <v>254</v>
      </c>
      <c r="G52" s="22">
        <v>4</v>
      </c>
      <c r="H52" s="23" t="s">
        <v>77</v>
      </c>
      <c r="I52" s="24" t="s">
        <v>489</v>
      </c>
      <c r="J52" s="23" t="str">
        <f t="shared" si="54"/>
        <v xml:space="preserve">Hose, Water By-Pass; Ø 21 mm × 29 mm; TSB5501G-1E </v>
      </c>
      <c r="K52" s="23" t="s">
        <v>255</v>
      </c>
      <c r="L52" s="23" t="s">
        <v>256</v>
      </c>
      <c r="M52" s="23" t="s">
        <v>3</v>
      </c>
      <c r="N52" s="21" t="s">
        <v>142</v>
      </c>
      <c r="O52" s="21" t="s">
        <v>142</v>
      </c>
      <c r="P52" s="25" t="s">
        <v>111</v>
      </c>
      <c r="Q52" s="25" t="s">
        <v>111</v>
      </c>
      <c r="R52" s="40" t="s">
        <v>257</v>
      </c>
      <c r="S52" s="40" t="s">
        <v>258</v>
      </c>
      <c r="T52" s="26" t="s">
        <v>93</v>
      </c>
      <c r="U52" s="26" t="s">
        <v>94</v>
      </c>
      <c r="V52" s="26" t="s">
        <v>379</v>
      </c>
      <c r="W52" s="26" t="s">
        <v>380</v>
      </c>
      <c r="X52" s="26" t="s">
        <v>261</v>
      </c>
      <c r="Y52" s="26" t="s">
        <v>237</v>
      </c>
      <c r="Z52" s="26" t="s">
        <v>370</v>
      </c>
      <c r="AA52" s="26" t="s">
        <v>149</v>
      </c>
      <c r="AB52" s="20" t="s">
        <v>511</v>
      </c>
      <c r="AC52" s="20" t="s">
        <v>97</v>
      </c>
      <c r="AD52" s="20" t="s">
        <v>511</v>
      </c>
      <c r="AE52" s="20" t="s">
        <v>97</v>
      </c>
      <c r="AF52" s="26" t="s">
        <v>79</v>
      </c>
      <c r="AG52" s="26" t="s">
        <v>75</v>
      </c>
      <c r="AH52" s="26" t="s">
        <v>76</v>
      </c>
      <c r="AI52" s="26" t="s">
        <v>76</v>
      </c>
      <c r="AJ52" s="26" t="s">
        <v>76</v>
      </c>
      <c r="AK52" s="26" t="s">
        <v>79</v>
      </c>
      <c r="AL52" s="26" t="s">
        <v>75</v>
      </c>
      <c r="AM52" s="26" t="s">
        <v>372</v>
      </c>
      <c r="AN52" s="26" t="s">
        <v>5</v>
      </c>
      <c r="AO52" s="26" t="s">
        <v>76</v>
      </c>
      <c r="AP52" s="20" t="s">
        <v>263</v>
      </c>
      <c r="AQ52" s="20" t="s">
        <v>223</v>
      </c>
      <c r="AR52" s="20" t="s">
        <v>241</v>
      </c>
      <c r="AS52" s="20" t="s">
        <v>332</v>
      </c>
      <c r="AT52" s="20" t="s">
        <v>224</v>
      </c>
      <c r="AU52" s="20" t="s">
        <v>155</v>
      </c>
      <c r="AV52" s="20" t="s">
        <v>126</v>
      </c>
      <c r="AW52" s="20" t="s">
        <v>156</v>
      </c>
      <c r="AX52" s="20" t="s">
        <v>156</v>
      </c>
      <c r="AY52" s="20" t="s">
        <v>264</v>
      </c>
      <c r="AZ52" s="20" t="s">
        <v>265</v>
      </c>
      <c r="BA52" s="20">
        <v>53</v>
      </c>
      <c r="BB52" s="20" t="s">
        <v>446</v>
      </c>
      <c r="BC52" s="26" t="s">
        <v>381</v>
      </c>
      <c r="BD52" s="26" t="s">
        <v>496</v>
      </c>
      <c r="BE52" s="26">
        <v>0.5</v>
      </c>
      <c r="BF52" s="20" t="s">
        <v>424</v>
      </c>
      <c r="BG52" s="20" t="s">
        <v>426</v>
      </c>
      <c r="BH52" s="20" t="s">
        <v>5</v>
      </c>
      <c r="BI52" s="20" t="s">
        <v>108</v>
      </c>
      <c r="BJ52" s="27" t="s">
        <v>165</v>
      </c>
      <c r="BK52" s="27" t="s">
        <v>268</v>
      </c>
      <c r="BL52" s="27" t="s">
        <v>497</v>
      </c>
      <c r="BM52" s="27" t="s">
        <v>383</v>
      </c>
      <c r="BN52" s="41" t="s">
        <v>109</v>
      </c>
      <c r="BO52" s="26" t="s">
        <v>404</v>
      </c>
      <c r="BP52" s="26" t="s">
        <v>251</v>
      </c>
      <c r="BQ52" s="26" t="s">
        <v>168</v>
      </c>
      <c r="BR52" s="26" t="s">
        <v>270</v>
      </c>
      <c r="BS52" s="26" t="s">
        <v>83</v>
      </c>
      <c r="BT52" s="31" t="str">
        <f>MID($BO$25, 1, 4)</f>
        <v>21.0</v>
      </c>
      <c r="BU52" s="31" t="str">
        <f>MID($BO$25,6,3)</f>
        <v>0.2</v>
      </c>
      <c r="BV52" s="31" t="e">
        <f t="shared" si="55"/>
        <v>#VALUE!</v>
      </c>
      <c r="BW52" s="31" t="e">
        <f t="shared" si="56"/>
        <v>#VALUE!</v>
      </c>
      <c r="BX52" s="31" t="e">
        <f t="shared" si="57"/>
        <v>#VALUE!</v>
      </c>
      <c r="BY52" s="31" t="e">
        <f t="shared" si="58"/>
        <v>#VALUE!</v>
      </c>
      <c r="BZ52" s="31" t="str">
        <f t="shared" si="65"/>
        <v>2.2</v>
      </c>
      <c r="CA52" s="31" t="str">
        <f t="shared" si="66"/>
        <v>0.1</v>
      </c>
      <c r="CB52" s="31" t="e">
        <f t="shared" si="67"/>
        <v>#VALUE!</v>
      </c>
      <c r="CC52" s="31" t="e">
        <f t="shared" si="68"/>
        <v>#VALUE!</v>
      </c>
      <c r="CD52" s="31" t="e">
        <f t="shared" si="69"/>
        <v>#VALUE!</v>
      </c>
      <c r="CE52" s="31" t="e">
        <f t="shared" si="70"/>
        <v>#VALUE!</v>
      </c>
      <c r="CF52" s="31" t="str">
        <f t="shared" si="59"/>
        <v>4.0</v>
      </c>
      <c r="CG52" s="31" t="str">
        <f t="shared" si="60"/>
        <v>0.1</v>
      </c>
      <c r="CH52" s="19" t="e">
        <f t="shared" si="61"/>
        <v>#VALUE!</v>
      </c>
      <c r="CI52" s="31" t="e">
        <f t="shared" si="62"/>
        <v>#VALUE!</v>
      </c>
      <c r="CJ52" s="31" t="e">
        <f t="shared" si="63"/>
        <v>#VALUE!</v>
      </c>
      <c r="CK52" s="31" t="e">
        <f t="shared" si="64"/>
        <v>#VALUE!</v>
      </c>
      <c r="CL52" s="28" t="s">
        <v>726</v>
      </c>
    </row>
    <row r="53" spans="1:90" s="73" customFormat="1">
      <c r="A53" s="61" t="str">
        <f t="shared" si="53"/>
        <v>4-4</v>
      </c>
      <c r="B53" s="62">
        <v>4</v>
      </c>
      <c r="C53" s="63" t="s">
        <v>133</v>
      </c>
      <c r="D53" s="62" t="s">
        <v>214</v>
      </c>
      <c r="E53" s="20" t="s">
        <v>215</v>
      </c>
      <c r="F53" s="62" t="s">
        <v>216</v>
      </c>
      <c r="G53" s="64">
        <v>4</v>
      </c>
      <c r="H53" s="65" t="s">
        <v>191</v>
      </c>
      <c r="I53" s="66" t="s">
        <v>489</v>
      </c>
      <c r="J53" s="65" t="str">
        <f t="shared" si="54"/>
        <v xml:space="preserve">Hose, Radiator; Ø 30 mm × 38 mm; TSB5501G-1F </v>
      </c>
      <c r="K53" s="65" t="s">
        <v>140</v>
      </c>
      <c r="L53" s="65" t="s">
        <v>217</v>
      </c>
      <c r="M53" s="65" t="s">
        <v>193</v>
      </c>
      <c r="N53" s="63" t="s">
        <v>194</v>
      </c>
      <c r="O53" s="63" t="s">
        <v>194</v>
      </c>
      <c r="P53" s="67" t="s">
        <v>111</v>
      </c>
      <c r="Q53" s="67" t="s">
        <v>111</v>
      </c>
      <c r="R53" s="68" t="s">
        <v>143</v>
      </c>
      <c r="S53" s="68" t="s">
        <v>218</v>
      </c>
      <c r="T53" s="69" t="s">
        <v>93</v>
      </c>
      <c r="U53" s="69" t="s">
        <v>94</v>
      </c>
      <c r="V53" s="69" t="s">
        <v>367</v>
      </c>
      <c r="W53" s="69" t="s">
        <v>368</v>
      </c>
      <c r="X53" s="69" t="s">
        <v>369</v>
      </c>
      <c r="Y53" s="69" t="s">
        <v>221</v>
      </c>
      <c r="Z53" s="69" t="s">
        <v>370</v>
      </c>
      <c r="AA53" s="69" t="s">
        <v>149</v>
      </c>
      <c r="AB53" s="62" t="s">
        <v>511</v>
      </c>
      <c r="AC53" s="62" t="s">
        <v>97</v>
      </c>
      <c r="AD53" s="62" t="s">
        <v>511</v>
      </c>
      <c r="AE53" s="62" t="s">
        <v>97</v>
      </c>
      <c r="AF53" s="69" t="s">
        <v>79</v>
      </c>
      <c r="AG53" s="69" t="s">
        <v>75</v>
      </c>
      <c r="AH53" s="69" t="s">
        <v>76</v>
      </c>
      <c r="AI53" s="69" t="s">
        <v>76</v>
      </c>
      <c r="AJ53" s="69" t="s">
        <v>76</v>
      </c>
      <c r="AK53" s="69" t="s">
        <v>79</v>
      </c>
      <c r="AL53" s="69" t="s">
        <v>371</v>
      </c>
      <c r="AM53" s="69" t="s">
        <v>372</v>
      </c>
      <c r="AN53" s="69" t="s">
        <v>5</v>
      </c>
      <c r="AO53" s="69" t="s">
        <v>372</v>
      </c>
      <c r="AP53" s="62" t="s">
        <v>200</v>
      </c>
      <c r="AQ53" s="62" t="s">
        <v>201</v>
      </c>
      <c r="AR53" s="62" t="s">
        <v>152</v>
      </c>
      <c r="AS53" s="62" t="s">
        <v>332</v>
      </c>
      <c r="AT53" s="62" t="s">
        <v>203</v>
      </c>
      <c r="AU53" s="62" t="s">
        <v>204</v>
      </c>
      <c r="AV53" s="62" t="s">
        <v>132</v>
      </c>
      <c r="AW53" s="62" t="s">
        <v>205</v>
      </c>
      <c r="AX53" s="62" t="s">
        <v>156</v>
      </c>
      <c r="AY53" s="62" t="s">
        <v>182</v>
      </c>
      <c r="AZ53" s="62" t="s">
        <v>183</v>
      </c>
      <c r="BA53" s="62">
        <v>73</v>
      </c>
      <c r="BB53" s="62" t="s">
        <v>440</v>
      </c>
      <c r="BC53" s="69" t="s">
        <v>206</v>
      </c>
      <c r="BD53" s="69" t="s">
        <v>498</v>
      </c>
      <c r="BE53" s="69">
        <v>0.5</v>
      </c>
      <c r="BF53" s="62" t="s">
        <v>424</v>
      </c>
      <c r="BG53" s="62" t="s">
        <v>426</v>
      </c>
      <c r="BH53" s="62" t="s">
        <v>5</v>
      </c>
      <c r="BI53" s="62" t="s">
        <v>108</v>
      </c>
      <c r="BJ53" s="70" t="s">
        <v>165</v>
      </c>
      <c r="BK53" s="70" t="s">
        <v>208</v>
      </c>
      <c r="BL53" s="70" t="s">
        <v>374</v>
      </c>
      <c r="BM53" s="70" t="s">
        <v>374</v>
      </c>
      <c r="BN53" s="71" t="s">
        <v>109</v>
      </c>
      <c r="BO53" s="69" t="s">
        <v>448</v>
      </c>
      <c r="BP53" s="69" t="s">
        <v>437</v>
      </c>
      <c r="BQ53" s="69" t="s">
        <v>212</v>
      </c>
      <c r="BR53" s="69" t="s">
        <v>81</v>
      </c>
      <c r="BS53" s="69" t="s">
        <v>83</v>
      </c>
      <c r="BT53" s="72">
        <v>30</v>
      </c>
      <c r="BU53" s="72" t="str">
        <f>MID($BO$23,6,3)</f>
        <v>0.2</v>
      </c>
      <c r="BV53" s="72" t="e">
        <f t="shared" si="55"/>
        <v>#VALUE!</v>
      </c>
      <c r="BW53" s="72" t="e">
        <f t="shared" si="56"/>
        <v>#VALUE!</v>
      </c>
      <c r="BX53" s="72" t="e">
        <f t="shared" si="57"/>
        <v>#VALUE!</v>
      </c>
      <c r="BY53" s="72" t="e">
        <f t="shared" si="58"/>
        <v>#VALUE!</v>
      </c>
      <c r="BZ53" s="72" t="str">
        <f t="shared" si="65"/>
        <v>1.9</v>
      </c>
      <c r="CA53" s="72" t="str">
        <f>MID(BQ53,8,3)</f>
        <v>0.1</v>
      </c>
      <c r="CB53" s="74" t="e">
        <f>BZ53+(CA53*25%)</f>
        <v>#VALUE!</v>
      </c>
      <c r="CC53" s="74" t="str">
        <f>BZ53</f>
        <v>1.9</v>
      </c>
      <c r="CD53" s="74" t="e">
        <f>BZ53+(CA53*75%)</f>
        <v>#VALUE!</v>
      </c>
      <c r="CE53" s="72" t="e">
        <f t="shared" si="70"/>
        <v>#VALUE!</v>
      </c>
      <c r="CF53" s="72" t="str">
        <f t="shared" si="59"/>
        <v>3.8</v>
      </c>
      <c r="CG53" s="72" t="str">
        <f t="shared" si="60"/>
        <v>0.1</v>
      </c>
      <c r="CH53" s="61" t="e">
        <f t="shared" si="61"/>
        <v>#VALUE!</v>
      </c>
      <c r="CI53" s="72" t="e">
        <f t="shared" si="62"/>
        <v>#VALUE!</v>
      </c>
      <c r="CJ53" s="72" t="e">
        <f t="shared" si="63"/>
        <v>#VALUE!</v>
      </c>
      <c r="CK53" s="72" t="e">
        <f t="shared" si="64"/>
        <v>#VALUE!</v>
      </c>
      <c r="CL53" s="73" t="s">
        <v>715</v>
      </c>
    </row>
    <row r="54" spans="1:90" s="28" customFormat="1">
      <c r="A54" s="19" t="str">
        <f t="shared" si="53"/>
        <v>3-5</v>
      </c>
      <c r="B54" s="20">
        <v>3</v>
      </c>
      <c r="C54" s="21" t="s">
        <v>133</v>
      </c>
      <c r="D54" s="20" t="s">
        <v>188</v>
      </c>
      <c r="E54" s="20" t="s">
        <v>189</v>
      </c>
      <c r="F54" s="20" t="s">
        <v>190</v>
      </c>
      <c r="G54" s="22">
        <v>5</v>
      </c>
      <c r="H54" s="23" t="s">
        <v>191</v>
      </c>
      <c r="I54" s="24" t="s">
        <v>489</v>
      </c>
      <c r="J54" s="23" t="str">
        <f t="shared" si="54"/>
        <v xml:space="preserve">Hose, Radiator; Ø 31 mm × 39 mm; TSB5501G-1F </v>
      </c>
      <c r="K54" s="23" t="s">
        <v>140</v>
      </c>
      <c r="L54" s="23" t="s">
        <v>192</v>
      </c>
      <c r="M54" s="23" t="s">
        <v>193</v>
      </c>
      <c r="N54" s="21" t="s">
        <v>194</v>
      </c>
      <c r="O54" s="21" t="s">
        <v>194</v>
      </c>
      <c r="P54" s="25" t="s">
        <v>111</v>
      </c>
      <c r="Q54" s="25" t="s">
        <v>111</v>
      </c>
      <c r="R54" s="40" t="s">
        <v>143</v>
      </c>
      <c r="S54" s="40" t="s">
        <v>195</v>
      </c>
      <c r="T54" s="26" t="s">
        <v>93</v>
      </c>
      <c r="U54" s="26" t="s">
        <v>94</v>
      </c>
      <c r="V54" s="26" t="s">
        <v>367</v>
      </c>
      <c r="W54" s="26" t="s">
        <v>368</v>
      </c>
      <c r="X54" s="26" t="s">
        <v>369</v>
      </c>
      <c r="Y54" s="26" t="s">
        <v>221</v>
      </c>
      <c r="Z54" s="26" t="s">
        <v>370</v>
      </c>
      <c r="AA54" s="26" t="s">
        <v>149</v>
      </c>
      <c r="AB54" s="20" t="s">
        <v>511</v>
      </c>
      <c r="AC54" s="20" t="s">
        <v>97</v>
      </c>
      <c r="AD54" s="20" t="s">
        <v>511</v>
      </c>
      <c r="AE54" s="20" t="s">
        <v>97</v>
      </c>
      <c r="AF54" s="26" t="s">
        <v>79</v>
      </c>
      <c r="AG54" s="26" t="s">
        <v>75</v>
      </c>
      <c r="AH54" s="26" t="s">
        <v>76</v>
      </c>
      <c r="AI54" s="26" t="s">
        <v>76</v>
      </c>
      <c r="AJ54" s="26" t="s">
        <v>76</v>
      </c>
      <c r="AK54" s="26" t="s">
        <v>79</v>
      </c>
      <c r="AL54" s="26" t="s">
        <v>371</v>
      </c>
      <c r="AM54" s="26" t="s">
        <v>372</v>
      </c>
      <c r="AN54" s="26" t="s">
        <v>5</v>
      </c>
      <c r="AO54" s="26" t="s">
        <v>372</v>
      </c>
      <c r="AP54" s="20" t="s">
        <v>200</v>
      </c>
      <c r="AQ54" s="20" t="s">
        <v>201</v>
      </c>
      <c r="AR54" s="20" t="s">
        <v>152</v>
      </c>
      <c r="AS54" s="20" t="s">
        <v>332</v>
      </c>
      <c r="AT54" s="20" t="s">
        <v>203</v>
      </c>
      <c r="AU54" s="20" t="s">
        <v>204</v>
      </c>
      <c r="AV54" s="20" t="s">
        <v>132</v>
      </c>
      <c r="AW54" s="20" t="s">
        <v>205</v>
      </c>
      <c r="AX54" s="20" t="s">
        <v>156</v>
      </c>
      <c r="AY54" s="20" t="s">
        <v>182</v>
      </c>
      <c r="AZ54" s="20" t="s">
        <v>183</v>
      </c>
      <c r="BA54" s="20">
        <v>77</v>
      </c>
      <c r="BB54" s="20" t="s">
        <v>441</v>
      </c>
      <c r="BC54" s="26" t="s">
        <v>206</v>
      </c>
      <c r="BD54" s="26" t="s">
        <v>373</v>
      </c>
      <c r="BE54" s="26">
        <v>0.5</v>
      </c>
      <c r="BF54" s="20" t="s">
        <v>424</v>
      </c>
      <c r="BG54" s="20" t="s">
        <v>426</v>
      </c>
      <c r="BH54" s="20" t="s">
        <v>5</v>
      </c>
      <c r="BI54" s="20" t="s">
        <v>108</v>
      </c>
      <c r="BJ54" s="27" t="s">
        <v>165</v>
      </c>
      <c r="BK54" s="27" t="s">
        <v>208</v>
      </c>
      <c r="BL54" s="27" t="s">
        <v>374</v>
      </c>
      <c r="BM54" s="27" t="s">
        <v>374</v>
      </c>
      <c r="BN54" s="41" t="s">
        <v>109</v>
      </c>
      <c r="BO54" s="26" t="s">
        <v>438</v>
      </c>
      <c r="BP54" s="26" t="s">
        <v>439</v>
      </c>
      <c r="BQ54" s="26" t="s">
        <v>483</v>
      </c>
      <c r="BR54" s="26" t="s">
        <v>484</v>
      </c>
      <c r="BS54" s="26" t="s">
        <v>83</v>
      </c>
      <c r="BT54" s="31">
        <v>31</v>
      </c>
      <c r="BU54" s="31" t="str">
        <f>MID($BO$22,6,3)</f>
        <v>0.2</v>
      </c>
      <c r="BV54" s="31" t="e">
        <f t="shared" si="55"/>
        <v>#VALUE!</v>
      </c>
      <c r="BW54" s="31" t="e">
        <f t="shared" si="56"/>
        <v>#VALUE!</v>
      </c>
      <c r="BX54" s="31" t="e">
        <f t="shared" si="57"/>
        <v>#VALUE!</v>
      </c>
      <c r="BY54" s="31" t="e">
        <f t="shared" si="58"/>
        <v>#VALUE!</v>
      </c>
      <c r="BZ54" s="31" t="str">
        <f t="shared" si="65"/>
        <v>1.9</v>
      </c>
      <c r="CA54" s="31" t="str">
        <f>MID(BQ54,8,3)</f>
        <v>0.2</v>
      </c>
      <c r="CB54" s="47" t="e">
        <f>BZ54+(CA54*25%)</f>
        <v>#VALUE!</v>
      </c>
      <c r="CC54" s="47" t="str">
        <f>BZ54</f>
        <v>1.9</v>
      </c>
      <c r="CD54" s="47" t="e">
        <f>BZ54+(CA54*75%)</f>
        <v>#VALUE!</v>
      </c>
      <c r="CE54" s="31" t="e">
        <f>BZ54+CA54</f>
        <v>#VALUE!</v>
      </c>
      <c r="CF54" s="31" t="str">
        <f t="shared" si="59"/>
        <v>3.8</v>
      </c>
      <c r="CG54" s="31" t="str">
        <f t="shared" si="60"/>
        <v>0.2</v>
      </c>
      <c r="CH54" s="19" t="e">
        <f t="shared" si="61"/>
        <v>#VALUE!</v>
      </c>
      <c r="CI54" s="31" t="e">
        <f t="shared" si="62"/>
        <v>#VALUE!</v>
      </c>
      <c r="CJ54" s="31" t="e">
        <f t="shared" si="63"/>
        <v>#VALUE!</v>
      </c>
      <c r="CK54" s="31" t="e">
        <f t="shared" si="64"/>
        <v>#VALUE!</v>
      </c>
      <c r="CL54" s="28" t="s">
        <v>716</v>
      </c>
    </row>
    <row r="55" spans="1:90" s="28" customFormat="1">
      <c r="A55" s="19" t="str">
        <f t="shared" si="53"/>
        <v>2-4</v>
      </c>
      <c r="B55" s="20">
        <v>2</v>
      </c>
      <c r="C55" s="21" t="s">
        <v>133</v>
      </c>
      <c r="D55" s="20" t="s">
        <v>170</v>
      </c>
      <c r="E55" s="20" t="s">
        <v>171</v>
      </c>
      <c r="F55" s="20" t="s">
        <v>172</v>
      </c>
      <c r="G55" s="22">
        <v>4</v>
      </c>
      <c r="H55" s="23" t="s">
        <v>77</v>
      </c>
      <c r="I55" s="24" t="s">
        <v>489</v>
      </c>
      <c r="J55" s="23" t="str">
        <f t="shared" si="54"/>
        <v xml:space="preserve">Hose, Radiator; Ø 33 mm × 42 mm; TSB5501G-1E </v>
      </c>
      <c r="K55" s="23" t="s">
        <v>140</v>
      </c>
      <c r="L55" s="23" t="s">
        <v>173</v>
      </c>
      <c r="M55" s="23" t="s">
        <v>3</v>
      </c>
      <c r="N55" s="21" t="s">
        <v>142</v>
      </c>
      <c r="O55" s="21" t="s">
        <v>142</v>
      </c>
      <c r="P55" s="25" t="s">
        <v>111</v>
      </c>
      <c r="Q55" s="25" t="s">
        <v>111</v>
      </c>
      <c r="R55" s="40" t="s">
        <v>143</v>
      </c>
      <c r="S55" s="40" t="s">
        <v>174</v>
      </c>
      <c r="T55" s="26" t="s">
        <v>93</v>
      </c>
      <c r="U55" s="26" t="s">
        <v>94</v>
      </c>
      <c r="V55" s="26" t="s">
        <v>175</v>
      </c>
      <c r="W55" s="26" t="s">
        <v>176</v>
      </c>
      <c r="X55" s="26" t="s">
        <v>177</v>
      </c>
      <c r="Y55" s="26" t="s">
        <v>178</v>
      </c>
      <c r="Z55" s="26" t="s">
        <v>125</v>
      </c>
      <c r="AA55" s="26" t="s">
        <v>149</v>
      </c>
      <c r="AB55" s="20" t="s">
        <v>511</v>
      </c>
      <c r="AC55" s="20" t="s">
        <v>97</v>
      </c>
      <c r="AD55" s="20" t="s">
        <v>511</v>
      </c>
      <c r="AE55" s="20" t="s">
        <v>97</v>
      </c>
      <c r="AF55" s="26" t="s">
        <v>79</v>
      </c>
      <c r="AG55" s="26" t="s">
        <v>75</v>
      </c>
      <c r="AH55" s="26" t="s">
        <v>76</v>
      </c>
      <c r="AI55" s="26" t="s">
        <v>112</v>
      </c>
      <c r="AJ55" s="26" t="s">
        <v>76</v>
      </c>
      <c r="AK55" s="26" t="s">
        <v>79</v>
      </c>
      <c r="AL55" s="26" t="s">
        <v>75</v>
      </c>
      <c r="AM55" s="26" t="s">
        <v>112</v>
      </c>
      <c r="AN55" s="26" t="s">
        <v>5</v>
      </c>
      <c r="AO55" s="26" t="s">
        <v>76</v>
      </c>
      <c r="AP55" s="20" t="s">
        <v>179</v>
      </c>
      <c r="AQ55" s="20" t="s">
        <v>180</v>
      </c>
      <c r="AR55" s="20" t="s">
        <v>152</v>
      </c>
      <c r="AS55" s="20" t="s">
        <v>332</v>
      </c>
      <c r="AT55" s="20" t="s">
        <v>154</v>
      </c>
      <c r="AU55" s="20" t="s">
        <v>155</v>
      </c>
      <c r="AV55" s="20" t="s">
        <v>126</v>
      </c>
      <c r="AW55" s="20" t="s">
        <v>163</v>
      </c>
      <c r="AX55" s="20" t="s">
        <v>157</v>
      </c>
      <c r="AY55" s="20" t="s">
        <v>182</v>
      </c>
      <c r="AZ55" s="20" t="s">
        <v>183</v>
      </c>
      <c r="BA55" s="20">
        <v>73</v>
      </c>
      <c r="BB55" s="20" t="s">
        <v>440</v>
      </c>
      <c r="BC55" s="26" t="s">
        <v>499</v>
      </c>
      <c r="BD55" s="26" t="s">
        <v>500</v>
      </c>
      <c r="BE55" s="26">
        <v>0.5</v>
      </c>
      <c r="BF55" s="20" t="s">
        <v>424</v>
      </c>
      <c r="BG55" s="20" t="s">
        <v>426</v>
      </c>
      <c r="BH55" s="20" t="s">
        <v>5</v>
      </c>
      <c r="BI55" s="20" t="s">
        <v>108</v>
      </c>
      <c r="BJ55" s="27" t="s">
        <v>165</v>
      </c>
      <c r="BK55" s="27" t="s">
        <v>157</v>
      </c>
      <c r="BL55" s="27" t="s">
        <v>500</v>
      </c>
      <c r="BM55" s="27" t="s">
        <v>186</v>
      </c>
      <c r="BN55" s="41" t="s">
        <v>109</v>
      </c>
      <c r="BO55" s="26" t="s">
        <v>418</v>
      </c>
      <c r="BP55" s="26" t="s">
        <v>400</v>
      </c>
      <c r="BQ55" s="26" t="s">
        <v>481</v>
      </c>
      <c r="BR55" s="26" t="s">
        <v>482</v>
      </c>
      <c r="BS55" s="26" t="s">
        <v>83</v>
      </c>
      <c r="BT55" s="31" t="str">
        <f>MID($BO$9, 1, 4)</f>
        <v>33.0</v>
      </c>
      <c r="BU55" s="31" t="str">
        <f>MID($BO$9,6,3)</f>
        <v>0.2</v>
      </c>
      <c r="BV55" s="31" t="e">
        <f t="shared" si="55"/>
        <v>#VALUE!</v>
      </c>
      <c r="BW55" s="31" t="e">
        <f t="shared" si="56"/>
        <v>#VALUE!</v>
      </c>
      <c r="BX55" s="31" t="e">
        <f t="shared" si="57"/>
        <v>#VALUE!</v>
      </c>
      <c r="BY55" s="31" t="e">
        <f t="shared" si="58"/>
        <v>#VALUE!</v>
      </c>
      <c r="BZ55" s="31" t="str">
        <f t="shared" si="65"/>
        <v>2.0</v>
      </c>
      <c r="CA55" s="31" t="str">
        <f>MID(BQ55,5,3)</f>
        <v>0.2</v>
      </c>
      <c r="CB55" s="31" t="e">
        <f>BZ55-(CA55/2)</f>
        <v>#VALUE!</v>
      </c>
      <c r="CC55" s="31" t="e">
        <f>BZ55-CA55</f>
        <v>#VALUE!</v>
      </c>
      <c r="CD55" s="31" t="e">
        <f>BZ55+(CA55/2)</f>
        <v>#VALUE!</v>
      </c>
      <c r="CE55" s="31" t="e">
        <f>BZ55+CA55</f>
        <v>#VALUE!</v>
      </c>
      <c r="CF55" s="31" t="str">
        <f t="shared" si="59"/>
        <v>4.3</v>
      </c>
      <c r="CG55" s="31" t="str">
        <f t="shared" si="60"/>
        <v>0.2</v>
      </c>
      <c r="CH55" s="19" t="e">
        <f t="shared" si="61"/>
        <v>#VALUE!</v>
      </c>
      <c r="CI55" s="31" t="e">
        <f t="shared" si="62"/>
        <v>#VALUE!</v>
      </c>
      <c r="CJ55" s="31" t="e">
        <f t="shared" si="63"/>
        <v>#VALUE!</v>
      </c>
      <c r="CK55" s="31" t="e">
        <f t="shared" si="64"/>
        <v>#VALUE!</v>
      </c>
      <c r="CL55" s="28" t="s">
        <v>717</v>
      </c>
    </row>
    <row r="56" spans="1:90" s="28" customFormat="1">
      <c r="A56" s="19" t="str">
        <f t="shared" si="53"/>
        <v>1-5</v>
      </c>
      <c r="B56" s="20">
        <v>1</v>
      </c>
      <c r="C56" s="21" t="s">
        <v>133</v>
      </c>
      <c r="D56" s="20" t="s">
        <v>136</v>
      </c>
      <c r="E56" s="20" t="s">
        <v>137</v>
      </c>
      <c r="F56" s="20" t="s">
        <v>138</v>
      </c>
      <c r="G56" s="22">
        <v>5</v>
      </c>
      <c r="H56" s="23" t="s">
        <v>77</v>
      </c>
      <c r="I56" s="24" t="s">
        <v>489</v>
      </c>
      <c r="J56" s="23" t="str">
        <f t="shared" si="54"/>
        <v xml:space="preserve">Hose, Radiator; Ø 37 mm × 47 mm; TSB5501G-1E </v>
      </c>
      <c r="K56" s="23" t="s">
        <v>140</v>
      </c>
      <c r="L56" s="23" t="s">
        <v>141</v>
      </c>
      <c r="M56" s="23" t="s">
        <v>3</v>
      </c>
      <c r="N56" s="21" t="s">
        <v>142</v>
      </c>
      <c r="O56" s="21" t="s">
        <v>142</v>
      </c>
      <c r="P56" s="25" t="s">
        <v>111</v>
      </c>
      <c r="Q56" s="25" t="s">
        <v>111</v>
      </c>
      <c r="R56" s="40" t="s">
        <v>143</v>
      </c>
      <c r="S56" s="40" t="s">
        <v>144</v>
      </c>
      <c r="T56" s="26" t="s">
        <v>93</v>
      </c>
      <c r="U56" s="26" t="s">
        <v>94</v>
      </c>
      <c r="V56" s="26" t="s">
        <v>145</v>
      </c>
      <c r="W56" s="26" t="s">
        <v>146</v>
      </c>
      <c r="X56" s="26" t="s">
        <v>147</v>
      </c>
      <c r="Y56" s="26" t="s">
        <v>148</v>
      </c>
      <c r="Z56" s="26" t="s">
        <v>125</v>
      </c>
      <c r="AA56" s="26" t="s">
        <v>149</v>
      </c>
      <c r="AB56" s="20" t="s">
        <v>511</v>
      </c>
      <c r="AC56" s="20" t="s">
        <v>97</v>
      </c>
      <c r="AD56" s="20" t="s">
        <v>511</v>
      </c>
      <c r="AE56" s="20" t="s">
        <v>97</v>
      </c>
      <c r="AF56" s="26" t="s">
        <v>79</v>
      </c>
      <c r="AG56" s="26" t="s">
        <v>75</v>
      </c>
      <c r="AH56" s="26" t="s">
        <v>76</v>
      </c>
      <c r="AI56" s="26" t="s">
        <v>112</v>
      </c>
      <c r="AJ56" s="26" t="s">
        <v>76</v>
      </c>
      <c r="AK56" s="26" t="s">
        <v>79</v>
      </c>
      <c r="AL56" s="26" t="s">
        <v>75</v>
      </c>
      <c r="AM56" s="26" t="s">
        <v>112</v>
      </c>
      <c r="AN56" s="26" t="s">
        <v>5</v>
      </c>
      <c r="AO56" s="26" t="s">
        <v>76</v>
      </c>
      <c r="AP56" s="20" t="s">
        <v>150</v>
      </c>
      <c r="AQ56" s="20" t="s">
        <v>151</v>
      </c>
      <c r="AR56" s="20" t="s">
        <v>152</v>
      </c>
      <c r="AS56" s="20" t="s">
        <v>332</v>
      </c>
      <c r="AT56" s="20" t="s">
        <v>154</v>
      </c>
      <c r="AU56" s="20" t="s">
        <v>155</v>
      </c>
      <c r="AV56" s="20" t="s">
        <v>126</v>
      </c>
      <c r="AW56" s="20" t="s">
        <v>156</v>
      </c>
      <c r="AX56" s="20" t="s">
        <v>157</v>
      </c>
      <c r="AY56" s="20" t="s">
        <v>158</v>
      </c>
      <c r="AZ56" s="20" t="s">
        <v>159</v>
      </c>
      <c r="BA56" s="20">
        <v>73</v>
      </c>
      <c r="BB56" s="20" t="s">
        <v>440</v>
      </c>
      <c r="BC56" s="26" t="s">
        <v>502</v>
      </c>
      <c r="BD56" s="26" t="s">
        <v>365</v>
      </c>
      <c r="BE56" s="26">
        <v>0.5</v>
      </c>
      <c r="BF56" s="20" t="s">
        <v>424</v>
      </c>
      <c r="BG56" s="20" t="s">
        <v>426</v>
      </c>
      <c r="BH56" s="20" t="s">
        <v>5</v>
      </c>
      <c r="BI56" s="20" t="s">
        <v>108</v>
      </c>
      <c r="BJ56" s="27" t="s">
        <v>165</v>
      </c>
      <c r="BK56" s="27" t="s">
        <v>163</v>
      </c>
      <c r="BL56" s="27" t="s">
        <v>365</v>
      </c>
      <c r="BM56" s="27" t="s">
        <v>167</v>
      </c>
      <c r="BN56" s="41" t="s">
        <v>109</v>
      </c>
      <c r="BO56" s="26" t="s">
        <v>417</v>
      </c>
      <c r="BP56" s="26" t="s">
        <v>399</v>
      </c>
      <c r="BQ56" s="26" t="s">
        <v>168</v>
      </c>
      <c r="BR56" s="26" t="s">
        <v>480</v>
      </c>
      <c r="BS56" s="26" t="s">
        <v>83</v>
      </c>
      <c r="BT56" s="31" t="str">
        <f>MID($BO$7, 1, 4)</f>
        <v>37.0</v>
      </c>
      <c r="BU56" s="31" t="str">
        <f>MID($BO$7,6,3)</f>
        <v>0.2</v>
      </c>
      <c r="BV56" s="31" t="e">
        <f t="shared" si="55"/>
        <v>#VALUE!</v>
      </c>
      <c r="BW56" s="31" t="e">
        <f t="shared" si="56"/>
        <v>#VALUE!</v>
      </c>
      <c r="BX56" s="31" t="e">
        <f t="shared" si="57"/>
        <v>#VALUE!</v>
      </c>
      <c r="BY56" s="31" t="e">
        <f t="shared" si="58"/>
        <v>#VALUE!</v>
      </c>
      <c r="BZ56" s="31" t="str">
        <f t="shared" si="65"/>
        <v>2.2</v>
      </c>
      <c r="CA56" s="31">
        <v>0.2</v>
      </c>
      <c r="CB56" s="31" t="e">
        <f>BZ56-(CA56/2)</f>
        <v>#VALUE!</v>
      </c>
      <c r="CC56" s="31" t="e">
        <f>BZ56-CA56</f>
        <v>#VALUE!</v>
      </c>
      <c r="CD56" s="31" t="e">
        <f>BZ56+(CA56/2)</f>
        <v>#VALUE!</v>
      </c>
      <c r="CE56" s="31" t="e">
        <f>BZ56+CA56</f>
        <v>#VALUE!</v>
      </c>
      <c r="CF56" s="31" t="str">
        <f t="shared" si="59"/>
        <v>4.9</v>
      </c>
      <c r="CG56" s="31" t="str">
        <f t="shared" si="60"/>
        <v>0.2</v>
      </c>
      <c r="CH56" s="19" t="e">
        <f t="shared" si="61"/>
        <v>#VALUE!</v>
      </c>
      <c r="CI56" s="31" t="e">
        <f t="shared" si="62"/>
        <v>#VALUE!</v>
      </c>
      <c r="CJ56" s="31" t="e">
        <f t="shared" si="63"/>
        <v>#VALUE!</v>
      </c>
      <c r="CK56" s="31" t="e">
        <f t="shared" si="64"/>
        <v>#VALUE!</v>
      </c>
      <c r="CL56" s="28" t="s">
        <v>719</v>
      </c>
    </row>
    <row r="57" spans="1:90" s="73" customFormat="1">
      <c r="A57" s="61" t="str">
        <f t="shared" si="53"/>
        <v>15-1</v>
      </c>
      <c r="B57" s="62">
        <v>15</v>
      </c>
      <c r="C57" s="63" t="s">
        <v>133</v>
      </c>
      <c r="D57" s="62" t="s">
        <v>5</v>
      </c>
      <c r="E57" s="20" t="s">
        <v>5</v>
      </c>
      <c r="F57" s="62" t="s">
        <v>5</v>
      </c>
      <c r="G57" s="64">
        <v>1</v>
      </c>
      <c r="H57" s="65" t="s">
        <v>466</v>
      </c>
      <c r="I57" s="66" t="s">
        <v>467</v>
      </c>
      <c r="J57" s="65" t="str">
        <f t="shared" si="54"/>
        <v xml:space="preserve">Hose, Fuel Tank; Ø 34 mm × 44 mm; TSM1647G-1C </v>
      </c>
      <c r="K57" s="65" t="s">
        <v>450</v>
      </c>
      <c r="L57" s="65" t="s">
        <v>468</v>
      </c>
      <c r="M57" s="65" t="s">
        <v>470</v>
      </c>
      <c r="N57" s="63" t="s">
        <v>453</v>
      </c>
      <c r="O57" s="63" t="s">
        <v>5</v>
      </c>
      <c r="P57" s="67" t="s">
        <v>111</v>
      </c>
      <c r="Q57" s="67" t="s">
        <v>5</v>
      </c>
      <c r="R57" s="68" t="s">
        <v>5</v>
      </c>
      <c r="S57" s="68" t="s">
        <v>5</v>
      </c>
      <c r="T57" s="69" t="s">
        <v>5</v>
      </c>
      <c r="U57" s="69" t="s">
        <v>5</v>
      </c>
      <c r="V57" s="69" t="s">
        <v>175</v>
      </c>
      <c r="W57" s="69" t="s">
        <v>476</v>
      </c>
      <c r="X57" s="69" t="s">
        <v>5</v>
      </c>
      <c r="Y57" s="69" t="s">
        <v>5</v>
      </c>
      <c r="Z57" s="69" t="s">
        <v>5</v>
      </c>
      <c r="AA57" s="69" t="s">
        <v>5</v>
      </c>
      <c r="AB57" s="62" t="s">
        <v>511</v>
      </c>
      <c r="AC57" s="62" t="s">
        <v>97</v>
      </c>
      <c r="AD57" s="62" t="s">
        <v>511</v>
      </c>
      <c r="AE57" s="62" t="s">
        <v>97</v>
      </c>
      <c r="AF57" s="69" t="s">
        <v>75</v>
      </c>
      <c r="AG57" s="69" t="s">
        <v>76</v>
      </c>
      <c r="AH57" s="69" t="s">
        <v>76</v>
      </c>
      <c r="AI57" s="69" t="s">
        <v>76</v>
      </c>
      <c r="AJ57" s="69" t="s">
        <v>76</v>
      </c>
      <c r="AK57" s="69" t="s">
        <v>5</v>
      </c>
      <c r="AL57" s="69" t="s">
        <v>5</v>
      </c>
      <c r="AM57" s="69" t="s">
        <v>5</v>
      </c>
      <c r="AN57" s="69" t="s">
        <v>5</v>
      </c>
      <c r="AO57" s="69" t="s">
        <v>5</v>
      </c>
      <c r="AP57" s="62" t="s">
        <v>471</v>
      </c>
      <c r="AQ57" s="62" t="s">
        <v>5</v>
      </c>
      <c r="AR57" s="62" t="s">
        <v>472</v>
      </c>
      <c r="AS57" s="62" t="s">
        <v>5</v>
      </c>
      <c r="AT57" s="62" t="s">
        <v>473</v>
      </c>
      <c r="AU57" s="62" t="s">
        <v>5</v>
      </c>
      <c r="AV57" s="62" t="s">
        <v>5</v>
      </c>
      <c r="AW57" s="62" t="s">
        <v>156</v>
      </c>
      <c r="AX57" s="62" t="s">
        <v>5</v>
      </c>
      <c r="AY57" s="62" t="s">
        <v>475</v>
      </c>
      <c r="AZ57" s="62" t="s">
        <v>475</v>
      </c>
      <c r="BA57" s="62" t="s">
        <v>5</v>
      </c>
      <c r="BB57" s="62" t="s">
        <v>5</v>
      </c>
      <c r="BC57" s="69" t="s">
        <v>5</v>
      </c>
      <c r="BD57" s="69" t="s">
        <v>81</v>
      </c>
      <c r="BE57" s="69">
        <v>0.5</v>
      </c>
      <c r="BF57" s="62" t="s">
        <v>110</v>
      </c>
      <c r="BG57" s="62" t="s">
        <v>460</v>
      </c>
      <c r="BH57" s="62" t="s">
        <v>80</v>
      </c>
      <c r="BI57" s="62" t="s">
        <v>108</v>
      </c>
      <c r="BJ57" s="70" t="s">
        <v>165</v>
      </c>
      <c r="BK57" s="70" t="s">
        <v>474</v>
      </c>
      <c r="BL57" s="70" t="s">
        <v>270</v>
      </c>
      <c r="BM57" s="70" t="s">
        <v>270</v>
      </c>
      <c r="BN57" s="71" t="s">
        <v>109</v>
      </c>
      <c r="BO57" s="69" t="s">
        <v>477</v>
      </c>
      <c r="BP57" s="69" t="s">
        <v>478</v>
      </c>
      <c r="BQ57" s="69" t="s">
        <v>373</v>
      </c>
      <c r="BR57" s="69" t="s">
        <v>373</v>
      </c>
      <c r="BS57" s="69" t="s">
        <v>83</v>
      </c>
      <c r="BT57" s="72">
        <v>32.5</v>
      </c>
      <c r="BU57" s="72" t="str">
        <f>MID($BO$29,5,3)</f>
        <v>0.1</v>
      </c>
      <c r="BV57" s="72" t="e">
        <f t="shared" si="55"/>
        <v>#VALUE!</v>
      </c>
      <c r="BW57" s="72" t="e">
        <f t="shared" si="56"/>
        <v>#VALUE!</v>
      </c>
      <c r="BX57" s="72" t="e">
        <f t="shared" si="57"/>
        <v>#VALUE!</v>
      </c>
      <c r="BY57" s="72" t="e">
        <f t="shared" si="58"/>
        <v>#VALUE!</v>
      </c>
      <c r="BZ57" s="72" t="s">
        <v>5</v>
      </c>
      <c r="CA57" s="72" t="s">
        <v>5</v>
      </c>
      <c r="CB57" s="72" t="s">
        <v>5</v>
      </c>
      <c r="CC57" s="72" t="s">
        <v>5</v>
      </c>
      <c r="CD57" s="72" t="s">
        <v>5</v>
      </c>
      <c r="CE57" s="72" t="s">
        <v>5</v>
      </c>
      <c r="CF57" s="72" t="str">
        <f t="shared" si="59"/>
        <v>4.5</v>
      </c>
      <c r="CG57" s="72" t="str">
        <f t="shared" si="60"/>
        <v>0.3</v>
      </c>
      <c r="CH57" s="61" t="e">
        <f t="shared" si="61"/>
        <v>#VALUE!</v>
      </c>
      <c r="CI57" s="72" t="e">
        <f t="shared" si="62"/>
        <v>#VALUE!</v>
      </c>
      <c r="CJ57" s="72" t="e">
        <f t="shared" si="63"/>
        <v>#VALUE!</v>
      </c>
      <c r="CK57" s="72" t="e">
        <f t="shared" si="64"/>
        <v>#VALUE!</v>
      </c>
      <c r="CL57" s="73" t="s">
        <v>711</v>
      </c>
    </row>
    <row r="58" spans="1:90" s="28" customFormat="1">
      <c r="A58" s="28" t="str">
        <f t="shared" si="53"/>
        <v>16-0</v>
      </c>
      <c r="B58" s="50">
        <v>16</v>
      </c>
      <c r="C58" s="21" t="s">
        <v>133</v>
      </c>
      <c r="D58" s="20" t="s">
        <v>547</v>
      </c>
      <c r="E58" s="20" t="s">
        <v>527</v>
      </c>
      <c r="F58" s="20" t="s">
        <v>528</v>
      </c>
      <c r="G58" s="48">
        <v>0</v>
      </c>
      <c r="H58" s="29" t="s">
        <v>191</v>
      </c>
      <c r="I58" s="24" t="s">
        <v>503</v>
      </c>
      <c r="J58" s="23" t="str">
        <f t="shared" si="54"/>
        <v xml:space="preserve">Hose, Ventilation; Ø 11 mm × 18 mm; DTSM1662G-2A </v>
      </c>
      <c r="K58" s="29" t="s">
        <v>504</v>
      </c>
      <c r="L58" s="23" t="s">
        <v>324</v>
      </c>
      <c r="M58" s="23" t="s">
        <v>505</v>
      </c>
      <c r="N58" s="21" t="s">
        <v>506</v>
      </c>
      <c r="O58" s="21" t="s">
        <v>506</v>
      </c>
      <c r="P58" s="25" t="s">
        <v>111</v>
      </c>
      <c r="Q58" s="25" t="s">
        <v>111</v>
      </c>
      <c r="R58" s="40" t="s">
        <v>508</v>
      </c>
      <c r="S58" s="40" t="s">
        <v>507</v>
      </c>
      <c r="T58" s="26" t="s">
        <v>93</v>
      </c>
      <c r="U58" s="26" t="s">
        <v>94</v>
      </c>
      <c r="V58" s="26" t="s">
        <v>327</v>
      </c>
      <c r="W58" s="26" t="s">
        <v>347</v>
      </c>
      <c r="X58" s="26" t="s">
        <v>509</v>
      </c>
      <c r="Y58" s="26" t="s">
        <v>330</v>
      </c>
      <c r="Z58" s="26" t="s">
        <v>78</v>
      </c>
      <c r="AA58" s="26" t="s">
        <v>510</v>
      </c>
      <c r="AB58" s="20" t="s">
        <v>511</v>
      </c>
      <c r="AC58" s="20" t="s">
        <v>97</v>
      </c>
      <c r="AD58" s="20" t="s">
        <v>511</v>
      </c>
      <c r="AE58" s="20" t="s">
        <v>97</v>
      </c>
      <c r="AF58" s="26" t="s">
        <v>512</v>
      </c>
      <c r="AG58" s="26" t="s">
        <v>512</v>
      </c>
      <c r="AH58" s="26" t="s">
        <v>512</v>
      </c>
      <c r="AI58" s="26" t="s">
        <v>512</v>
      </c>
      <c r="AJ58" s="26" t="s">
        <v>512</v>
      </c>
      <c r="AK58" s="26" t="s">
        <v>512</v>
      </c>
      <c r="AL58" s="26" t="s">
        <v>512</v>
      </c>
      <c r="AM58" s="26" t="s">
        <v>512</v>
      </c>
      <c r="AN58" s="26" t="s">
        <v>5</v>
      </c>
      <c r="AO58" s="26" t="s">
        <v>512</v>
      </c>
      <c r="AP58" s="20" t="s">
        <v>513</v>
      </c>
      <c r="AQ58" s="20" t="s">
        <v>514</v>
      </c>
      <c r="AR58" s="20" t="s">
        <v>515</v>
      </c>
      <c r="AS58" s="20" t="s">
        <v>515</v>
      </c>
      <c r="AT58" s="20" t="s">
        <v>516</v>
      </c>
      <c r="AU58" s="20" t="s">
        <v>516</v>
      </c>
      <c r="AV58" s="20" t="s">
        <v>5</v>
      </c>
      <c r="AW58" s="20" t="s">
        <v>5</v>
      </c>
      <c r="AX58" s="20" t="s">
        <v>5</v>
      </c>
      <c r="AY58" s="20" t="s">
        <v>517</v>
      </c>
      <c r="AZ58" s="20" t="s">
        <v>517</v>
      </c>
      <c r="BA58" s="20" t="s">
        <v>447</v>
      </c>
      <c r="BB58" s="20" t="s">
        <v>447</v>
      </c>
      <c r="BC58" s="26" t="s">
        <v>518</v>
      </c>
      <c r="BD58" s="26" t="s">
        <v>519</v>
      </c>
      <c r="BE58" s="26">
        <v>0.5</v>
      </c>
      <c r="BF58" s="20" t="s">
        <v>5</v>
      </c>
      <c r="BG58" s="20" t="s">
        <v>5</v>
      </c>
      <c r="BH58" s="20" t="s">
        <v>5</v>
      </c>
      <c r="BI58" s="20" t="s">
        <v>108</v>
      </c>
      <c r="BJ58" s="27" t="s">
        <v>165</v>
      </c>
      <c r="BK58" s="27" t="s">
        <v>520</v>
      </c>
      <c r="BL58" s="27" t="s">
        <v>519</v>
      </c>
      <c r="BM58" s="27" t="s">
        <v>519</v>
      </c>
      <c r="BN58" s="41" t="s">
        <v>109</v>
      </c>
      <c r="BO58" s="26" t="s">
        <v>521</v>
      </c>
      <c r="BP58" s="26" t="s">
        <v>522</v>
      </c>
      <c r="BQ58" s="26" t="s">
        <v>168</v>
      </c>
      <c r="BR58" s="26" t="s">
        <v>523</v>
      </c>
      <c r="BS58" s="26" t="s">
        <v>524</v>
      </c>
      <c r="BT58" s="31">
        <v>11</v>
      </c>
      <c r="BU58" s="31" t="str">
        <f>MID($BO$29,5,3)</f>
        <v>0.1</v>
      </c>
      <c r="BV58" s="31" t="e">
        <f t="shared" ref="BV58" si="71">BT58-(BU58/2)</f>
        <v>#VALUE!</v>
      </c>
      <c r="BW58" s="31" t="e">
        <f t="shared" ref="BW58" si="72">BT58-BU58</f>
        <v>#VALUE!</v>
      </c>
      <c r="BX58" s="31" t="e">
        <f t="shared" ref="BX58" si="73">BT58+(BU58/2)</f>
        <v>#VALUE!</v>
      </c>
      <c r="BY58" s="31" t="e">
        <f t="shared" ref="BY58" si="74">BT58+BU58</f>
        <v>#VALUE!</v>
      </c>
      <c r="BZ58" s="31" t="s">
        <v>5</v>
      </c>
      <c r="CA58" s="31" t="s">
        <v>5</v>
      </c>
      <c r="CB58" s="31" t="s">
        <v>5</v>
      </c>
      <c r="CC58" s="31" t="s">
        <v>5</v>
      </c>
      <c r="CD58" s="31" t="s">
        <v>5</v>
      </c>
      <c r="CE58" s="31" t="s">
        <v>5</v>
      </c>
      <c r="CF58" s="31" t="str">
        <f t="shared" ref="CF58" si="75">MID(BR58,1,3)</f>
        <v>3.6</v>
      </c>
      <c r="CG58" s="31" t="str">
        <f t="shared" ref="CG58" si="76">MID(BR58,5,3)</f>
        <v>0.2</v>
      </c>
      <c r="CH58" s="19" t="e">
        <f t="shared" ref="CH58" si="77">CF58-(CG58/2)</f>
        <v>#VALUE!</v>
      </c>
      <c r="CI58" s="31" t="e">
        <f t="shared" ref="CI58" si="78">CF58-CG58</f>
        <v>#VALUE!</v>
      </c>
      <c r="CJ58" s="31" t="e">
        <f t="shared" ref="CJ58" si="79">CF58+(CG58/2)</f>
        <v>#VALUE!</v>
      </c>
      <c r="CK58" s="31" t="e">
        <f t="shared" ref="CK58" si="80">CF58+CG58</f>
        <v>#VALUE!</v>
      </c>
      <c r="CL58" s="28" t="s">
        <v>720</v>
      </c>
    </row>
    <row r="59" spans="1:90" s="73" customFormat="1">
      <c r="A59" s="61" t="str">
        <f t="shared" ref="A59" si="81">CONCATENATE(B59,"-",G59)</f>
        <v>17-0</v>
      </c>
      <c r="B59" s="62">
        <v>17</v>
      </c>
      <c r="C59" s="63" t="s">
        <v>133</v>
      </c>
      <c r="D59" s="62" t="s">
        <v>548</v>
      </c>
      <c r="E59" s="20" t="s">
        <v>529</v>
      </c>
      <c r="F59" s="62" t="s">
        <v>530</v>
      </c>
      <c r="G59" s="64">
        <v>0</v>
      </c>
      <c r="H59" s="65" t="s">
        <v>191</v>
      </c>
      <c r="I59" s="66" t="s">
        <v>525</v>
      </c>
      <c r="J59" s="65" t="str">
        <f t="shared" ref="J59" si="82">CONCATENATE(K59,"; ",L59,"; ",M59," ")</f>
        <v xml:space="preserve">Hose, Radiator; Ø 30 mm × 38 mm; DTSM1677G-1F </v>
      </c>
      <c r="K59" s="65" t="s">
        <v>140</v>
      </c>
      <c r="L59" s="65" t="s">
        <v>217</v>
      </c>
      <c r="M59" s="65" t="s">
        <v>526</v>
      </c>
      <c r="N59" s="63" t="s">
        <v>194</v>
      </c>
      <c r="O59" s="63" t="s">
        <v>194</v>
      </c>
      <c r="P59" s="67" t="s">
        <v>111</v>
      </c>
      <c r="Q59" s="67" t="s">
        <v>111</v>
      </c>
      <c r="R59" s="68" t="s">
        <v>143</v>
      </c>
      <c r="S59" s="68" t="s">
        <v>218</v>
      </c>
      <c r="T59" s="69" t="s">
        <v>93</v>
      </c>
      <c r="U59" s="69" t="s">
        <v>94</v>
      </c>
      <c r="V59" s="69" t="s">
        <v>367</v>
      </c>
      <c r="W59" s="69" t="s">
        <v>368</v>
      </c>
      <c r="X59" s="69" t="s">
        <v>369</v>
      </c>
      <c r="Y59" s="69" t="s">
        <v>221</v>
      </c>
      <c r="Z59" s="69" t="s">
        <v>370</v>
      </c>
      <c r="AA59" s="69" t="s">
        <v>149</v>
      </c>
      <c r="AB59" s="62" t="s">
        <v>511</v>
      </c>
      <c r="AC59" s="62" t="s">
        <v>97</v>
      </c>
      <c r="AD59" s="62" t="s">
        <v>511</v>
      </c>
      <c r="AE59" s="62" t="s">
        <v>97</v>
      </c>
      <c r="AF59" s="69" t="s">
        <v>79</v>
      </c>
      <c r="AG59" s="69" t="s">
        <v>75</v>
      </c>
      <c r="AH59" s="69" t="s">
        <v>76</v>
      </c>
      <c r="AI59" s="69" t="s">
        <v>76</v>
      </c>
      <c r="AJ59" s="69" t="s">
        <v>76</v>
      </c>
      <c r="AK59" s="69" t="s">
        <v>79</v>
      </c>
      <c r="AL59" s="69" t="s">
        <v>371</v>
      </c>
      <c r="AM59" s="69" t="s">
        <v>372</v>
      </c>
      <c r="AN59" s="69" t="s">
        <v>5</v>
      </c>
      <c r="AO59" s="69" t="s">
        <v>372</v>
      </c>
      <c r="AP59" s="62" t="s">
        <v>200</v>
      </c>
      <c r="AQ59" s="62" t="s">
        <v>201</v>
      </c>
      <c r="AR59" s="62" t="s">
        <v>152</v>
      </c>
      <c r="AS59" s="62" t="s">
        <v>332</v>
      </c>
      <c r="AT59" s="62" t="s">
        <v>203</v>
      </c>
      <c r="AU59" s="62" t="s">
        <v>204</v>
      </c>
      <c r="AV59" s="62" t="s">
        <v>132</v>
      </c>
      <c r="AW59" s="62" t="s">
        <v>205</v>
      </c>
      <c r="AX59" s="62" t="s">
        <v>156</v>
      </c>
      <c r="AY59" s="62" t="s">
        <v>182</v>
      </c>
      <c r="AZ59" s="62" t="s">
        <v>183</v>
      </c>
      <c r="BA59" s="62">
        <v>73</v>
      </c>
      <c r="BB59" s="62" t="s">
        <v>440</v>
      </c>
      <c r="BC59" s="69" t="s">
        <v>206</v>
      </c>
      <c r="BD59" s="69" t="s">
        <v>498</v>
      </c>
      <c r="BE59" s="69">
        <v>0.5</v>
      </c>
      <c r="BF59" s="62" t="s">
        <v>424</v>
      </c>
      <c r="BG59" s="62" t="s">
        <v>426</v>
      </c>
      <c r="BH59" s="62" t="s">
        <v>5</v>
      </c>
      <c r="BI59" s="62" t="s">
        <v>108</v>
      </c>
      <c r="BJ59" s="70" t="s">
        <v>165</v>
      </c>
      <c r="BK59" s="70" t="s">
        <v>208</v>
      </c>
      <c r="BL59" s="70" t="s">
        <v>374</v>
      </c>
      <c r="BM59" s="70" t="s">
        <v>374</v>
      </c>
      <c r="BN59" s="71" t="s">
        <v>109</v>
      </c>
      <c r="BO59" s="69" t="s">
        <v>448</v>
      </c>
      <c r="BP59" s="69" t="s">
        <v>437</v>
      </c>
      <c r="BQ59" s="69" t="s">
        <v>212</v>
      </c>
      <c r="BR59" s="69" t="s">
        <v>81</v>
      </c>
      <c r="BS59" s="69" t="s">
        <v>83</v>
      </c>
      <c r="BT59" s="72">
        <v>30</v>
      </c>
      <c r="BU59" s="72" t="str">
        <f>MID($BO$23,6,3)</f>
        <v>0.2</v>
      </c>
      <c r="BV59" s="72" t="e">
        <f t="shared" ref="BV59" si="83">BT59-(BU59/2)</f>
        <v>#VALUE!</v>
      </c>
      <c r="BW59" s="72" t="e">
        <f t="shared" ref="BW59" si="84">BT59-BU59</f>
        <v>#VALUE!</v>
      </c>
      <c r="BX59" s="72" t="e">
        <f t="shared" ref="BX59" si="85">BT59+(BU59/2)</f>
        <v>#VALUE!</v>
      </c>
      <c r="BY59" s="72" t="e">
        <f t="shared" ref="BY59" si="86">BT59+BU59</f>
        <v>#VALUE!</v>
      </c>
      <c r="BZ59" s="72" t="str">
        <f t="shared" ref="BZ59" si="87">MID(BQ59,1,3)</f>
        <v>1.9</v>
      </c>
      <c r="CA59" s="72" t="str">
        <f>MID(BQ59,8,3)</f>
        <v>0.1</v>
      </c>
      <c r="CB59" s="74" t="e">
        <f>BZ59+(CA59*25%)</f>
        <v>#VALUE!</v>
      </c>
      <c r="CC59" s="74" t="str">
        <f>BZ59</f>
        <v>1.9</v>
      </c>
      <c r="CD59" s="74" t="e">
        <f>BZ59+(CA59*75%)</f>
        <v>#VALUE!</v>
      </c>
      <c r="CE59" s="72" t="e">
        <f t="shared" ref="CE59" si="88">BZ59+CA59</f>
        <v>#VALUE!</v>
      </c>
      <c r="CF59" s="72" t="str">
        <f t="shared" ref="CF59" si="89">MID(BR59,1,3)</f>
        <v>3.8</v>
      </c>
      <c r="CG59" s="72" t="str">
        <f t="shared" ref="CG59" si="90">MID(BR59,5,3)</f>
        <v>0.1</v>
      </c>
      <c r="CH59" s="61" t="e">
        <f t="shared" ref="CH59" si="91">CF59-(CG59/2)</f>
        <v>#VALUE!</v>
      </c>
      <c r="CI59" s="72" t="e">
        <f t="shared" ref="CI59" si="92">CF59-CG59</f>
        <v>#VALUE!</v>
      </c>
      <c r="CJ59" s="72" t="e">
        <f t="shared" ref="CJ59" si="93">CF59+(CG59/2)</f>
        <v>#VALUE!</v>
      </c>
      <c r="CK59" s="72" t="e">
        <f t="shared" ref="CK59" si="94">CF59+CG59</f>
        <v>#VALUE!</v>
      </c>
      <c r="CL59" s="73" t="s">
        <v>715</v>
      </c>
    </row>
    <row r="60" spans="1:90" s="28" customFormat="1">
      <c r="A60" s="19" t="str">
        <f t="shared" ref="A60:A61" si="95">CONCATENATE(B60,"-",G60)</f>
        <v>18-0</v>
      </c>
      <c r="B60" s="20">
        <v>18</v>
      </c>
      <c r="C60" s="21" t="s">
        <v>133</v>
      </c>
      <c r="D60" s="20" t="s">
        <v>550</v>
      </c>
      <c r="E60" s="20" t="s">
        <v>551</v>
      </c>
      <c r="F60" s="20" t="s">
        <v>552</v>
      </c>
      <c r="G60" s="22">
        <v>0</v>
      </c>
      <c r="H60" s="23" t="s">
        <v>191</v>
      </c>
      <c r="I60" s="24" t="s">
        <v>553</v>
      </c>
      <c r="J60" s="23" t="str">
        <f t="shared" ref="J60:J61" si="96">CONCATENATE(K60,"; ",L60,"; ",M60," ")</f>
        <v xml:space="preserve">Hose, Radiator; Ø 26.5 mm × 34.5 mm; DTSM1677G-1F </v>
      </c>
      <c r="K60" s="23" t="s">
        <v>140</v>
      </c>
      <c r="L60" s="23" t="s">
        <v>554</v>
      </c>
      <c r="M60" s="23" t="s">
        <v>526</v>
      </c>
      <c r="N60" s="21" t="s">
        <v>194</v>
      </c>
      <c r="O60" s="21" t="s">
        <v>194</v>
      </c>
      <c r="P60" s="25" t="s">
        <v>111</v>
      </c>
      <c r="Q60" s="25" t="s">
        <v>111</v>
      </c>
      <c r="R60" s="40" t="s">
        <v>257</v>
      </c>
      <c r="S60" s="40" t="s">
        <v>440</v>
      </c>
      <c r="T60" s="26" t="s">
        <v>93</v>
      </c>
      <c r="U60" s="26" t="s">
        <v>94</v>
      </c>
      <c r="V60" s="26" t="s">
        <v>555</v>
      </c>
      <c r="W60" s="26" t="s">
        <v>556</v>
      </c>
      <c r="X60" s="26" t="s">
        <v>198</v>
      </c>
      <c r="Y60" s="26" t="s">
        <v>557</v>
      </c>
      <c r="Z60" s="26" t="s">
        <v>396</v>
      </c>
      <c r="AA60" s="26" t="s">
        <v>149</v>
      </c>
      <c r="AB60" s="20" t="s">
        <v>511</v>
      </c>
      <c r="AC60" s="20" t="s">
        <v>97</v>
      </c>
      <c r="AD60" s="20" t="s">
        <v>511</v>
      </c>
      <c r="AE60" s="20" t="s">
        <v>97</v>
      </c>
      <c r="AF60" s="26" t="s">
        <v>79</v>
      </c>
      <c r="AG60" s="26" t="s">
        <v>75</v>
      </c>
      <c r="AH60" s="26" t="s">
        <v>76</v>
      </c>
      <c r="AI60" s="26" t="s">
        <v>76</v>
      </c>
      <c r="AJ60" s="26" t="s">
        <v>76</v>
      </c>
      <c r="AK60" s="26" t="s">
        <v>79</v>
      </c>
      <c r="AL60" s="26" t="s">
        <v>371</v>
      </c>
      <c r="AM60" s="26" t="s">
        <v>372</v>
      </c>
      <c r="AN60" s="26" t="s">
        <v>5</v>
      </c>
      <c r="AO60" s="26" t="s">
        <v>372</v>
      </c>
      <c r="AP60" s="20" t="s">
        <v>558</v>
      </c>
      <c r="AQ60" s="20" t="s">
        <v>559</v>
      </c>
      <c r="AR60" s="20" t="s">
        <v>515</v>
      </c>
      <c r="AS60" s="20" t="s">
        <v>515</v>
      </c>
      <c r="AT60" s="20" t="s">
        <v>516</v>
      </c>
      <c r="AU60" s="20" t="s">
        <v>516</v>
      </c>
      <c r="AV60" s="20" t="s">
        <v>132</v>
      </c>
      <c r="AW60" s="20" t="s">
        <v>205</v>
      </c>
      <c r="AX60" s="20" t="s">
        <v>156</v>
      </c>
      <c r="AY60" s="20" t="s">
        <v>595</v>
      </c>
      <c r="AZ60" s="20" t="s">
        <v>595</v>
      </c>
      <c r="BA60" s="20">
        <v>73</v>
      </c>
      <c r="BB60" s="20" t="s">
        <v>440</v>
      </c>
      <c r="BC60" s="26" t="s">
        <v>560</v>
      </c>
      <c r="BD60" s="26" t="s">
        <v>561</v>
      </c>
      <c r="BE60" s="26">
        <v>0.5</v>
      </c>
      <c r="BF60" s="20" t="s">
        <v>424</v>
      </c>
      <c r="BG60" s="20" t="s">
        <v>426</v>
      </c>
      <c r="BH60" s="20" t="s">
        <v>5</v>
      </c>
      <c r="BI60" s="20" t="s">
        <v>108</v>
      </c>
      <c r="BJ60" s="27" t="s">
        <v>165</v>
      </c>
      <c r="BK60" s="27" t="s">
        <v>208</v>
      </c>
      <c r="BL60" s="27" t="s">
        <v>562</v>
      </c>
      <c r="BM60" s="27" t="s">
        <v>562</v>
      </c>
      <c r="BN60" s="41" t="s">
        <v>109</v>
      </c>
      <c r="BO60" s="26" t="s">
        <v>563</v>
      </c>
      <c r="BP60" s="26" t="s">
        <v>564</v>
      </c>
      <c r="BQ60" s="26" t="s">
        <v>565</v>
      </c>
      <c r="BR60" s="26" t="s">
        <v>488</v>
      </c>
      <c r="BS60" s="26" t="s">
        <v>83</v>
      </c>
      <c r="BT60" s="31">
        <v>26.5</v>
      </c>
      <c r="BU60" s="31" t="str">
        <f>MID($BO$23,6,3)</f>
        <v>0.2</v>
      </c>
      <c r="BV60" s="31" t="e">
        <f t="shared" ref="BV60:BV61" si="97">BT60-(BU60/2)</f>
        <v>#VALUE!</v>
      </c>
      <c r="BW60" s="31" t="e">
        <f t="shared" ref="BW60:BW61" si="98">BT60-BU60</f>
        <v>#VALUE!</v>
      </c>
      <c r="BX60" s="31" t="e">
        <f t="shared" ref="BX60:BX61" si="99">BT60+(BU60/2)</f>
        <v>#VALUE!</v>
      </c>
      <c r="BY60" s="31" t="e">
        <f t="shared" ref="BY60:BY61" si="100">BT60+BU60</f>
        <v>#VALUE!</v>
      </c>
      <c r="BZ60" s="31" t="str">
        <f t="shared" ref="BZ60:BZ61" si="101">MID(BQ60,1,3)</f>
        <v>1.8</v>
      </c>
      <c r="CA60" s="31" t="str">
        <f>MID(BQ60,8,3)</f>
        <v>.2</v>
      </c>
      <c r="CB60" s="47" t="e">
        <f>BZ60+(CA60*25%)</f>
        <v>#VALUE!</v>
      </c>
      <c r="CC60" s="47" t="str">
        <f>BZ60</f>
        <v>1.8</v>
      </c>
      <c r="CD60" s="47" t="e">
        <f>BZ60+(CA60*75%)</f>
        <v>#VALUE!</v>
      </c>
      <c r="CE60" s="31" t="e">
        <f t="shared" ref="CE60:CE61" si="102">BZ60+CA60</f>
        <v>#VALUE!</v>
      </c>
      <c r="CF60" s="31" t="str">
        <f t="shared" ref="CF60:CF61" si="103">MID(BR60,1,3)</f>
        <v>3.7</v>
      </c>
      <c r="CG60" s="31" t="str">
        <f t="shared" ref="CG60:CG61" si="104">MID(BR60,5,3)</f>
        <v>0.2</v>
      </c>
      <c r="CH60" s="19" t="e">
        <f t="shared" ref="CH60:CH61" si="105">CF60-(CG60/2)</f>
        <v>#VALUE!</v>
      </c>
      <c r="CI60" s="31" t="e">
        <f t="shared" ref="CI60:CI61" si="106">CF60-CG60</f>
        <v>#VALUE!</v>
      </c>
      <c r="CJ60" s="31" t="e">
        <f t="shared" ref="CJ60:CJ61" si="107">CF60+(CG60/2)</f>
        <v>#VALUE!</v>
      </c>
      <c r="CK60" s="31" t="e">
        <f t="shared" ref="CK60:CK61" si="108">CF60+CG60</f>
        <v>#VALUE!</v>
      </c>
      <c r="CL60" s="28" t="s">
        <v>713</v>
      </c>
    </row>
    <row r="61" spans="1:90" s="52" customFormat="1">
      <c r="A61" s="52" t="str">
        <f t="shared" si="95"/>
        <v>19-0</v>
      </c>
      <c r="B61" s="50">
        <v>19</v>
      </c>
      <c r="C61" s="50" t="s">
        <v>133</v>
      </c>
      <c r="D61" s="50" t="s">
        <v>566</v>
      </c>
      <c r="E61" s="50" t="s">
        <v>529</v>
      </c>
      <c r="F61" s="50" t="s">
        <v>530</v>
      </c>
      <c r="G61" s="51">
        <v>0</v>
      </c>
      <c r="H61" s="23" t="s">
        <v>77</v>
      </c>
      <c r="I61" s="53" t="s">
        <v>567</v>
      </c>
      <c r="J61" s="56" t="str">
        <f t="shared" si="96"/>
        <v xml:space="preserve">Hose, Radiator; Ø 30 mm × 38 mm; TSB5501G-1F </v>
      </c>
      <c r="K61" s="56" t="s">
        <v>140</v>
      </c>
      <c r="L61" s="50" t="s">
        <v>217</v>
      </c>
      <c r="M61" s="21" t="s">
        <v>193</v>
      </c>
      <c r="N61" s="54" t="s">
        <v>194</v>
      </c>
      <c r="O61" s="54" t="s">
        <v>194</v>
      </c>
      <c r="P61" s="55" t="s">
        <v>111</v>
      </c>
      <c r="Q61" s="55" t="s">
        <v>111</v>
      </c>
      <c r="R61" s="55" t="s">
        <v>572</v>
      </c>
      <c r="S61" s="55" t="s">
        <v>568</v>
      </c>
      <c r="T61" s="55" t="s">
        <v>93</v>
      </c>
      <c r="U61" s="55" t="s">
        <v>94</v>
      </c>
      <c r="V61" s="54" t="s">
        <v>367</v>
      </c>
      <c r="W61" s="54" t="s">
        <v>569</v>
      </c>
      <c r="X61" s="54" t="s">
        <v>369</v>
      </c>
      <c r="Y61" s="54" t="s">
        <v>221</v>
      </c>
      <c r="Z61" s="54" t="s">
        <v>396</v>
      </c>
      <c r="AA61" s="54" t="s">
        <v>149</v>
      </c>
      <c r="AB61" s="50" t="s">
        <v>511</v>
      </c>
      <c r="AC61" s="50" t="s">
        <v>97</v>
      </c>
      <c r="AD61" s="50" t="s">
        <v>511</v>
      </c>
      <c r="AE61" s="50" t="s">
        <v>97</v>
      </c>
      <c r="AF61" s="50" t="s">
        <v>79</v>
      </c>
      <c r="AG61" s="50" t="s">
        <v>75</v>
      </c>
      <c r="AH61" s="50" t="s">
        <v>76</v>
      </c>
      <c r="AI61" s="50" t="s">
        <v>76</v>
      </c>
      <c r="AJ61" s="50" t="s">
        <v>76</v>
      </c>
      <c r="AK61" s="50" t="s">
        <v>79</v>
      </c>
      <c r="AL61" s="50" t="s">
        <v>75</v>
      </c>
      <c r="AM61" s="50" t="s">
        <v>76</v>
      </c>
      <c r="AN61" s="50" t="s">
        <v>76</v>
      </c>
      <c r="AO61" s="50" t="s">
        <v>76</v>
      </c>
      <c r="AP61" s="50" t="s">
        <v>570</v>
      </c>
      <c r="AQ61" s="50" t="s">
        <v>571</v>
      </c>
      <c r="AR61" s="20" t="s">
        <v>515</v>
      </c>
      <c r="AS61" s="20" t="s">
        <v>515</v>
      </c>
      <c r="AT61" s="20" t="s">
        <v>516</v>
      </c>
      <c r="AU61" s="20" t="s">
        <v>516</v>
      </c>
      <c r="AV61" s="50" t="s">
        <v>132</v>
      </c>
      <c r="AW61" s="50" t="s">
        <v>205</v>
      </c>
      <c r="AX61" s="50" t="s">
        <v>156</v>
      </c>
      <c r="AY61" s="50" t="s">
        <v>573</v>
      </c>
      <c r="AZ61" s="50" t="s">
        <v>573</v>
      </c>
      <c r="BA61" s="50" t="s">
        <v>568</v>
      </c>
      <c r="BB61" s="50" t="s">
        <v>568</v>
      </c>
      <c r="BC61" s="50" t="s">
        <v>574</v>
      </c>
      <c r="BD61" s="50" t="s">
        <v>575</v>
      </c>
      <c r="BE61" s="50">
        <v>0.5</v>
      </c>
      <c r="BF61" s="50" t="s">
        <v>424</v>
      </c>
      <c r="BG61" s="50" t="s">
        <v>426</v>
      </c>
      <c r="BH61" s="50" t="s">
        <v>5</v>
      </c>
      <c r="BI61" s="50" t="s">
        <v>108</v>
      </c>
      <c r="BJ61" s="50" t="s">
        <v>5</v>
      </c>
      <c r="BK61" s="50" t="s">
        <v>268</v>
      </c>
      <c r="BL61" s="50" t="s">
        <v>575</v>
      </c>
      <c r="BM61" s="50" t="s">
        <v>575</v>
      </c>
      <c r="BN61" s="50" t="s">
        <v>576</v>
      </c>
      <c r="BO61" s="50" t="s">
        <v>577</v>
      </c>
      <c r="BP61" s="50" t="s">
        <v>437</v>
      </c>
      <c r="BQ61" s="50" t="s">
        <v>483</v>
      </c>
      <c r="BR61" s="50" t="s">
        <v>484</v>
      </c>
      <c r="BS61" s="50" t="s">
        <v>578</v>
      </c>
      <c r="BT61" s="52">
        <v>30</v>
      </c>
      <c r="BU61" s="52" t="str">
        <f>MID($BO$23,6,3)</f>
        <v>0.2</v>
      </c>
      <c r="BV61" s="52" t="e">
        <f t="shared" si="97"/>
        <v>#VALUE!</v>
      </c>
      <c r="BW61" s="52" t="e">
        <f t="shared" si="98"/>
        <v>#VALUE!</v>
      </c>
      <c r="BX61" s="52" t="e">
        <f t="shared" si="99"/>
        <v>#VALUE!</v>
      </c>
      <c r="BY61" s="52" t="e">
        <f t="shared" si="100"/>
        <v>#VALUE!</v>
      </c>
      <c r="BZ61" s="52" t="str">
        <f t="shared" si="101"/>
        <v>1.9</v>
      </c>
      <c r="CA61" s="52" t="str">
        <f>MID(BQ61,8,3)</f>
        <v>0.2</v>
      </c>
      <c r="CB61" s="52" t="e">
        <f>BZ61+(CA61*25%)</f>
        <v>#VALUE!</v>
      </c>
      <c r="CC61" s="52" t="str">
        <f>BZ61</f>
        <v>1.9</v>
      </c>
      <c r="CD61" s="52" t="e">
        <f>BZ61+(CA61*75%)</f>
        <v>#VALUE!</v>
      </c>
      <c r="CE61" s="52" t="e">
        <f t="shared" si="102"/>
        <v>#VALUE!</v>
      </c>
      <c r="CF61" s="52" t="str">
        <f t="shared" si="103"/>
        <v>3.8</v>
      </c>
      <c r="CG61" s="52" t="str">
        <f t="shared" si="104"/>
        <v>0.2</v>
      </c>
      <c r="CH61" s="52" t="e">
        <f t="shared" si="105"/>
        <v>#VALUE!</v>
      </c>
      <c r="CI61" s="52" t="e">
        <f t="shared" si="106"/>
        <v>#VALUE!</v>
      </c>
      <c r="CJ61" s="52" t="e">
        <f t="shared" si="107"/>
        <v>#VALUE!</v>
      </c>
      <c r="CK61" s="52" t="e">
        <f t="shared" si="108"/>
        <v>#VALUE!</v>
      </c>
      <c r="CL61" s="52" t="s">
        <v>579</v>
      </c>
    </row>
    <row r="62" spans="1:90" s="52" customFormat="1">
      <c r="A62" s="52" t="str">
        <f t="shared" ref="A62:A64" si="109">CONCATENATE(B62,"-",G62)</f>
        <v>19-1</v>
      </c>
      <c r="B62" s="50">
        <v>19</v>
      </c>
      <c r="C62" s="50" t="s">
        <v>133</v>
      </c>
      <c r="D62" s="50" t="s">
        <v>566</v>
      </c>
      <c r="E62" s="50" t="s">
        <v>529</v>
      </c>
      <c r="F62" s="50" t="s">
        <v>530</v>
      </c>
      <c r="G62" s="51">
        <v>1</v>
      </c>
      <c r="H62" s="23" t="s">
        <v>77</v>
      </c>
      <c r="I62" s="53" t="s">
        <v>581</v>
      </c>
      <c r="J62" s="56" t="str">
        <f t="shared" ref="J62:J64" si="110">CONCATENATE(K62,"; ",L62,"; ",M62," ")</f>
        <v xml:space="preserve">Hose, Radiator; Ø 30 mm × 38 mm; TSB5501G-1F </v>
      </c>
      <c r="K62" s="56" t="s">
        <v>140</v>
      </c>
      <c r="L62" s="50" t="s">
        <v>217</v>
      </c>
      <c r="M62" s="21" t="s">
        <v>193</v>
      </c>
      <c r="N62" s="54" t="s">
        <v>194</v>
      </c>
      <c r="O62" s="54" t="s">
        <v>194</v>
      </c>
      <c r="P62" s="55" t="s">
        <v>111</v>
      </c>
      <c r="Q62" s="55" t="s">
        <v>111</v>
      </c>
      <c r="R62" s="55" t="s">
        <v>572</v>
      </c>
      <c r="S62" s="55" t="s">
        <v>568</v>
      </c>
      <c r="T62" s="55" t="s">
        <v>93</v>
      </c>
      <c r="U62" s="55" t="s">
        <v>94</v>
      </c>
      <c r="V62" s="54" t="s">
        <v>367</v>
      </c>
      <c r="W62" s="54" t="s">
        <v>569</v>
      </c>
      <c r="X62" s="54" t="s">
        <v>369</v>
      </c>
      <c r="Y62" s="54" t="s">
        <v>221</v>
      </c>
      <c r="Z62" s="54" t="s">
        <v>396</v>
      </c>
      <c r="AA62" s="54" t="s">
        <v>149</v>
      </c>
      <c r="AB62" s="50" t="s">
        <v>511</v>
      </c>
      <c r="AC62" s="50" t="s">
        <v>97</v>
      </c>
      <c r="AD62" s="50" t="s">
        <v>511</v>
      </c>
      <c r="AE62" s="50" t="s">
        <v>97</v>
      </c>
      <c r="AF62" s="50" t="s">
        <v>79</v>
      </c>
      <c r="AG62" s="50" t="s">
        <v>75</v>
      </c>
      <c r="AH62" s="50" t="s">
        <v>76</v>
      </c>
      <c r="AI62" s="50" t="s">
        <v>76</v>
      </c>
      <c r="AJ62" s="50" t="s">
        <v>76</v>
      </c>
      <c r="AK62" s="50" t="s">
        <v>79</v>
      </c>
      <c r="AL62" s="50" t="s">
        <v>75</v>
      </c>
      <c r="AM62" s="50" t="s">
        <v>76</v>
      </c>
      <c r="AN62" s="50" t="s">
        <v>76</v>
      </c>
      <c r="AO62" s="50" t="s">
        <v>76</v>
      </c>
      <c r="AP62" s="50" t="s">
        <v>580</v>
      </c>
      <c r="AQ62" s="50" t="s">
        <v>571</v>
      </c>
      <c r="AR62" s="20" t="s">
        <v>515</v>
      </c>
      <c r="AS62" s="20" t="s">
        <v>515</v>
      </c>
      <c r="AT62" s="20" t="s">
        <v>516</v>
      </c>
      <c r="AU62" s="20" t="s">
        <v>516</v>
      </c>
      <c r="AV62" s="50" t="s">
        <v>132</v>
      </c>
      <c r="AW62" s="50" t="s">
        <v>205</v>
      </c>
      <c r="AX62" s="50" t="s">
        <v>156</v>
      </c>
      <c r="AY62" s="50" t="s">
        <v>573</v>
      </c>
      <c r="AZ62" s="50" t="s">
        <v>573</v>
      </c>
      <c r="BA62" s="50" t="s">
        <v>568</v>
      </c>
      <c r="BB62" s="50" t="s">
        <v>568</v>
      </c>
      <c r="BC62" s="50" t="s">
        <v>574</v>
      </c>
      <c r="BD62" s="50" t="s">
        <v>575</v>
      </c>
      <c r="BE62" s="50">
        <v>0.5</v>
      </c>
      <c r="BF62" s="50" t="s">
        <v>424</v>
      </c>
      <c r="BG62" s="50" t="s">
        <v>426</v>
      </c>
      <c r="BH62" s="50" t="s">
        <v>5</v>
      </c>
      <c r="BI62" s="50" t="s">
        <v>108</v>
      </c>
      <c r="BJ62" s="50" t="s">
        <v>5</v>
      </c>
      <c r="BK62" s="50" t="s">
        <v>268</v>
      </c>
      <c r="BL62" s="50" t="s">
        <v>575</v>
      </c>
      <c r="BM62" s="50" t="s">
        <v>575</v>
      </c>
      <c r="BN62" s="50" t="s">
        <v>576</v>
      </c>
      <c r="BO62" s="50" t="s">
        <v>582</v>
      </c>
      <c r="BP62" s="50" t="s">
        <v>437</v>
      </c>
      <c r="BQ62" s="50" t="s">
        <v>483</v>
      </c>
      <c r="BR62" s="50" t="s">
        <v>484</v>
      </c>
      <c r="BS62" s="50" t="s">
        <v>578</v>
      </c>
      <c r="BT62" s="52">
        <v>30</v>
      </c>
      <c r="BU62" s="52" t="str">
        <f>MID($BO$23,6,3)</f>
        <v>0.2</v>
      </c>
      <c r="BV62" s="52" t="e">
        <f t="shared" ref="BV62:BV64" si="111">BT62-(BU62/2)</f>
        <v>#VALUE!</v>
      </c>
      <c r="BW62" s="52" t="e">
        <f t="shared" ref="BW62:BW64" si="112">BT62-BU62</f>
        <v>#VALUE!</v>
      </c>
      <c r="BX62" s="52" t="e">
        <f t="shared" ref="BX62:BX64" si="113">BT62+(BU62/2)</f>
        <v>#VALUE!</v>
      </c>
      <c r="BY62" s="52" t="e">
        <f t="shared" ref="BY62:BY64" si="114">BT62+BU62</f>
        <v>#VALUE!</v>
      </c>
      <c r="BZ62" s="52" t="str">
        <f t="shared" ref="BZ62:BZ64" si="115">MID(BQ62,1,3)</f>
        <v>1.9</v>
      </c>
      <c r="CA62" s="52" t="str">
        <f>MID(BQ62,8,3)</f>
        <v>0.2</v>
      </c>
      <c r="CB62" s="52" t="e">
        <f>BZ62+(CA62*25%)</f>
        <v>#VALUE!</v>
      </c>
      <c r="CC62" s="52" t="str">
        <f>BZ62</f>
        <v>1.9</v>
      </c>
      <c r="CD62" s="52" t="e">
        <f>BZ62+(CA62*75%)</f>
        <v>#VALUE!</v>
      </c>
      <c r="CE62" s="52" t="e">
        <f t="shared" ref="CE62:CE64" si="116">BZ62+CA62</f>
        <v>#VALUE!</v>
      </c>
      <c r="CF62" s="52" t="str">
        <f t="shared" ref="CF62:CF64" si="117">MID(BR62,1,3)</f>
        <v>3.8</v>
      </c>
      <c r="CG62" s="52" t="str">
        <f t="shared" ref="CG62:CG64" si="118">MID(BR62,5,3)</f>
        <v>0.2</v>
      </c>
      <c r="CH62" s="52" t="e">
        <f t="shared" ref="CH62:CH64" si="119">CF62-(CG62/2)</f>
        <v>#VALUE!</v>
      </c>
      <c r="CI62" s="52" t="e">
        <f t="shared" ref="CI62:CI64" si="120">CF62-CG62</f>
        <v>#VALUE!</v>
      </c>
      <c r="CJ62" s="52" t="e">
        <f t="shared" ref="CJ62:CJ64" si="121">CF62+(CG62/2)</f>
        <v>#VALUE!</v>
      </c>
      <c r="CK62" s="52" t="e">
        <f t="shared" ref="CK62:CK64" si="122">CF62+CG62</f>
        <v>#VALUE!</v>
      </c>
      <c r="CL62" s="52" t="s">
        <v>579</v>
      </c>
    </row>
    <row r="63" spans="1:90" s="28" customFormat="1">
      <c r="A63" s="19" t="str">
        <f t="shared" si="109"/>
        <v>10-5</v>
      </c>
      <c r="B63" s="20">
        <v>10</v>
      </c>
      <c r="C63" s="21" t="s">
        <v>133</v>
      </c>
      <c r="D63" s="20" t="s">
        <v>301</v>
      </c>
      <c r="E63" s="20" t="s">
        <v>302</v>
      </c>
      <c r="F63" s="20" t="s">
        <v>303</v>
      </c>
      <c r="G63" s="22">
        <v>5</v>
      </c>
      <c r="H63" s="23" t="s">
        <v>304</v>
      </c>
      <c r="I63" s="24" t="s">
        <v>489</v>
      </c>
      <c r="J63" s="23" t="str">
        <f t="shared" si="110"/>
        <v xml:space="preserve">Hose, Water By-Pass; Ø 13 mm × 21 mm; TSB5501G-1F </v>
      </c>
      <c r="K63" s="23" t="s">
        <v>255</v>
      </c>
      <c r="L63" s="23" t="s">
        <v>305</v>
      </c>
      <c r="M63" s="23" t="s">
        <v>193</v>
      </c>
      <c r="N63" s="21" t="s">
        <v>194</v>
      </c>
      <c r="O63" s="21" t="s">
        <v>194</v>
      </c>
      <c r="P63" s="25" t="s">
        <v>111</v>
      </c>
      <c r="Q63" s="25" t="s">
        <v>111</v>
      </c>
      <c r="R63" s="40" t="s">
        <v>257</v>
      </c>
      <c r="S63" s="40" t="s">
        <v>589</v>
      </c>
      <c r="T63" s="26" t="s">
        <v>93</v>
      </c>
      <c r="U63" s="26" t="s">
        <v>94</v>
      </c>
      <c r="V63" s="26" t="s">
        <v>307</v>
      </c>
      <c r="W63" s="26" t="s">
        <v>583</v>
      </c>
      <c r="X63" s="26" t="s">
        <v>584</v>
      </c>
      <c r="Y63" s="26" t="s">
        <v>296</v>
      </c>
      <c r="Z63" s="26" t="s">
        <v>585</v>
      </c>
      <c r="AA63" s="26" t="s">
        <v>149</v>
      </c>
      <c r="AB63" s="20" t="s">
        <v>511</v>
      </c>
      <c r="AC63" s="20" t="s">
        <v>97</v>
      </c>
      <c r="AD63" s="20" t="s">
        <v>511</v>
      </c>
      <c r="AE63" s="20" t="s">
        <v>97</v>
      </c>
      <c r="AF63" s="26" t="s">
        <v>79</v>
      </c>
      <c r="AG63" s="26" t="s">
        <v>75</v>
      </c>
      <c r="AH63" s="26" t="s">
        <v>76</v>
      </c>
      <c r="AI63" s="26" t="s">
        <v>76</v>
      </c>
      <c r="AJ63" s="26" t="s">
        <v>76</v>
      </c>
      <c r="AK63" s="26" t="s">
        <v>79</v>
      </c>
      <c r="AL63" s="26" t="s">
        <v>371</v>
      </c>
      <c r="AM63" s="26" t="s">
        <v>76</v>
      </c>
      <c r="AN63" s="26" t="s">
        <v>5</v>
      </c>
      <c r="AO63" s="26" t="s">
        <v>76</v>
      </c>
      <c r="AP63" s="20" t="s">
        <v>586</v>
      </c>
      <c r="AQ63" s="20" t="s">
        <v>587</v>
      </c>
      <c r="AR63" s="20" t="s">
        <v>515</v>
      </c>
      <c r="AS63" s="20" t="s">
        <v>515</v>
      </c>
      <c r="AT63" s="20" t="s">
        <v>516</v>
      </c>
      <c r="AU63" s="20" t="s">
        <v>516</v>
      </c>
      <c r="AV63" s="20" t="s">
        <v>126</v>
      </c>
      <c r="AW63" s="20" t="s">
        <v>156</v>
      </c>
      <c r="AX63" s="20" t="s">
        <v>156</v>
      </c>
      <c r="AY63" s="20" t="s">
        <v>588</v>
      </c>
      <c r="AZ63" s="20" t="s">
        <v>588</v>
      </c>
      <c r="BA63" s="20">
        <v>45</v>
      </c>
      <c r="BB63" s="20" t="s">
        <v>589</v>
      </c>
      <c r="BC63" s="26" t="s">
        <v>590</v>
      </c>
      <c r="BD63" s="26" t="s">
        <v>591</v>
      </c>
      <c r="BE63" s="26">
        <v>0.5</v>
      </c>
      <c r="BF63" s="20" t="s">
        <v>424</v>
      </c>
      <c r="BG63" s="20" t="s">
        <v>426</v>
      </c>
      <c r="BH63" s="20" t="s">
        <v>5</v>
      </c>
      <c r="BI63" s="20" t="s">
        <v>108</v>
      </c>
      <c r="BJ63" s="27" t="s">
        <v>165</v>
      </c>
      <c r="BK63" s="27" t="s">
        <v>316</v>
      </c>
      <c r="BL63" s="27" t="s">
        <v>592</v>
      </c>
      <c r="BM63" s="27" t="s">
        <v>592</v>
      </c>
      <c r="BN63" s="41" t="s">
        <v>109</v>
      </c>
      <c r="BO63" s="26" t="s">
        <v>593</v>
      </c>
      <c r="BP63" s="26" t="s">
        <v>408</v>
      </c>
      <c r="BQ63" s="26" t="s">
        <v>318</v>
      </c>
      <c r="BR63" s="26" t="s">
        <v>594</v>
      </c>
      <c r="BS63" s="26" t="s">
        <v>83</v>
      </c>
      <c r="BT63" s="31" t="str">
        <f>MID($BO$27, 1, 4)</f>
        <v>12.9</v>
      </c>
      <c r="BU63" s="31" t="str">
        <f>MID($BO$27,6,3)</f>
        <v>0.1</v>
      </c>
      <c r="BV63" s="31" t="e">
        <f t="shared" si="111"/>
        <v>#VALUE!</v>
      </c>
      <c r="BW63" s="31" t="e">
        <f t="shared" si="112"/>
        <v>#VALUE!</v>
      </c>
      <c r="BX63" s="31" t="e">
        <f t="shared" si="113"/>
        <v>#VALUE!</v>
      </c>
      <c r="BY63" s="31" t="e">
        <f t="shared" si="114"/>
        <v>#VALUE!</v>
      </c>
      <c r="BZ63" s="31" t="str">
        <f t="shared" si="115"/>
        <v>1.9</v>
      </c>
      <c r="CA63" s="31" t="str">
        <f t="shared" ref="CA63:CA64" si="123">MID(BQ63,5,3)</f>
        <v>0.1</v>
      </c>
      <c r="CB63" s="31" t="e">
        <f t="shared" ref="CB63:CB64" si="124">BZ63-(CA63/2)</f>
        <v>#VALUE!</v>
      </c>
      <c r="CC63" s="31" t="e">
        <f t="shared" ref="CC63:CC64" si="125">BZ63-CA63</f>
        <v>#VALUE!</v>
      </c>
      <c r="CD63" s="31" t="e">
        <f t="shared" ref="CD63:CD64" si="126">BZ63+(CA63/2)</f>
        <v>#VALUE!</v>
      </c>
      <c r="CE63" s="31" t="e">
        <f t="shared" si="116"/>
        <v>#VALUE!</v>
      </c>
      <c r="CF63" s="31" t="str">
        <f t="shared" si="117"/>
        <v>3.9</v>
      </c>
      <c r="CG63" s="31" t="str">
        <f t="shared" si="118"/>
        <v>0.2</v>
      </c>
      <c r="CH63" s="19" t="e">
        <f t="shared" si="119"/>
        <v>#VALUE!</v>
      </c>
      <c r="CI63" s="31" t="e">
        <f t="shared" si="120"/>
        <v>#VALUE!</v>
      </c>
      <c r="CJ63" s="31" t="e">
        <f t="shared" si="121"/>
        <v>#VALUE!</v>
      </c>
      <c r="CK63" s="31" t="e">
        <f t="shared" si="122"/>
        <v>#VALUE!</v>
      </c>
      <c r="CL63" s="28" t="s">
        <v>722</v>
      </c>
    </row>
    <row r="64" spans="1:90" s="73" customFormat="1">
      <c r="A64" s="61" t="str">
        <f t="shared" si="109"/>
        <v>13-5</v>
      </c>
      <c r="B64" s="62">
        <v>13</v>
      </c>
      <c r="C64" s="63" t="s">
        <v>133</v>
      </c>
      <c r="D64" s="62" t="s">
        <v>433</v>
      </c>
      <c r="E64" s="20" t="s">
        <v>434</v>
      </c>
      <c r="F64" s="62" t="s">
        <v>435</v>
      </c>
      <c r="G64" s="64">
        <v>5</v>
      </c>
      <c r="H64" s="65" t="s">
        <v>77</v>
      </c>
      <c r="I64" s="66" t="s">
        <v>601</v>
      </c>
      <c r="J64" s="65" t="str">
        <f t="shared" si="110"/>
        <v xml:space="preserve">Hose, Water By-Pass; Ø 7.5 mm × 14.5 mm; TSB5501G-1E </v>
      </c>
      <c r="K64" s="65" t="s">
        <v>255</v>
      </c>
      <c r="L64" s="65" t="s">
        <v>344</v>
      </c>
      <c r="M64" s="65" t="s">
        <v>3</v>
      </c>
      <c r="N64" s="63" t="s">
        <v>142</v>
      </c>
      <c r="O64" s="63" t="s">
        <v>142</v>
      </c>
      <c r="P64" s="67" t="s">
        <v>111</v>
      </c>
      <c r="Q64" s="67" t="s">
        <v>111</v>
      </c>
      <c r="R64" s="68" t="s">
        <v>325</v>
      </c>
      <c r="S64" s="62" t="s">
        <v>445</v>
      </c>
      <c r="T64" s="69" t="s">
        <v>93</v>
      </c>
      <c r="U64" s="69" t="s">
        <v>94</v>
      </c>
      <c r="V64" s="69" t="s">
        <v>300</v>
      </c>
      <c r="W64" s="69" t="s">
        <v>383</v>
      </c>
      <c r="X64" s="69" t="s">
        <v>394</v>
      </c>
      <c r="Y64" s="69" t="s">
        <v>348</v>
      </c>
      <c r="Z64" s="69" t="s">
        <v>396</v>
      </c>
      <c r="AA64" s="69" t="s">
        <v>350</v>
      </c>
      <c r="AB64" s="62" t="s">
        <v>511</v>
      </c>
      <c r="AC64" s="62" t="s">
        <v>97</v>
      </c>
      <c r="AD64" s="62" t="s">
        <v>511</v>
      </c>
      <c r="AE64" s="62" t="s">
        <v>97</v>
      </c>
      <c r="AF64" s="69" t="s">
        <v>79</v>
      </c>
      <c r="AG64" s="69" t="s">
        <v>75</v>
      </c>
      <c r="AH64" s="69" t="s">
        <v>76</v>
      </c>
      <c r="AI64" s="69" t="s">
        <v>112</v>
      </c>
      <c r="AJ64" s="69" t="s">
        <v>76</v>
      </c>
      <c r="AK64" s="69" t="s">
        <v>79</v>
      </c>
      <c r="AL64" s="69" t="s">
        <v>363</v>
      </c>
      <c r="AM64" s="69" t="s">
        <v>363</v>
      </c>
      <c r="AN64" s="69" t="s">
        <v>5</v>
      </c>
      <c r="AO64" s="69" t="s">
        <v>363</v>
      </c>
      <c r="AP64" s="62" t="s">
        <v>351</v>
      </c>
      <c r="AQ64" s="62" t="s">
        <v>352</v>
      </c>
      <c r="AR64" s="62" t="s">
        <v>515</v>
      </c>
      <c r="AS64" s="62" t="s">
        <v>515</v>
      </c>
      <c r="AT64" s="62" t="s">
        <v>516</v>
      </c>
      <c r="AU64" s="62" t="s">
        <v>516</v>
      </c>
      <c r="AV64" s="62" t="s">
        <v>126</v>
      </c>
      <c r="AW64" s="62" t="s">
        <v>163</v>
      </c>
      <c r="AX64" s="62" t="s">
        <v>157</v>
      </c>
      <c r="AY64" s="62" t="s">
        <v>353</v>
      </c>
      <c r="AZ64" s="62" t="s">
        <v>354</v>
      </c>
      <c r="BA64" s="62" t="s">
        <v>445</v>
      </c>
      <c r="BB64" s="62" t="s">
        <v>445</v>
      </c>
      <c r="BC64" s="69" t="s">
        <v>596</v>
      </c>
      <c r="BD64" s="69" t="s">
        <v>597</v>
      </c>
      <c r="BE64" s="69">
        <v>0.5</v>
      </c>
      <c r="BF64" s="62" t="s">
        <v>5</v>
      </c>
      <c r="BG64" s="62" t="s">
        <v>5</v>
      </c>
      <c r="BH64" s="62" t="s">
        <v>5</v>
      </c>
      <c r="BI64" s="62" t="s">
        <v>108</v>
      </c>
      <c r="BJ64" s="70" t="s">
        <v>165</v>
      </c>
      <c r="BK64" s="70" t="s">
        <v>357</v>
      </c>
      <c r="BL64" s="70" t="s">
        <v>598</v>
      </c>
      <c r="BM64" s="70" t="s">
        <v>598</v>
      </c>
      <c r="BN64" s="71" t="s">
        <v>109</v>
      </c>
      <c r="BO64" s="69" t="s">
        <v>359</v>
      </c>
      <c r="BP64" s="69" t="s">
        <v>362</v>
      </c>
      <c r="BQ64" s="69" t="s">
        <v>360</v>
      </c>
      <c r="BR64" s="69" t="s">
        <v>361</v>
      </c>
      <c r="BS64" s="69" t="s">
        <v>83</v>
      </c>
      <c r="BT64" s="72" t="str">
        <f>MID($BO$29, 1, 3)</f>
        <v>7.5</v>
      </c>
      <c r="BU64" s="72" t="str">
        <f>MID($BO$29,5,3)</f>
        <v>0.1</v>
      </c>
      <c r="BV64" s="72" t="e">
        <f t="shared" si="111"/>
        <v>#VALUE!</v>
      </c>
      <c r="BW64" s="72" t="e">
        <f t="shared" si="112"/>
        <v>#VALUE!</v>
      </c>
      <c r="BX64" s="72" t="e">
        <f t="shared" si="113"/>
        <v>#VALUE!</v>
      </c>
      <c r="BY64" s="72" t="e">
        <f t="shared" si="114"/>
        <v>#VALUE!</v>
      </c>
      <c r="BZ64" s="72" t="str">
        <f t="shared" si="115"/>
        <v>1.6</v>
      </c>
      <c r="CA64" s="72" t="str">
        <f t="shared" si="123"/>
        <v>0.1</v>
      </c>
      <c r="CB64" s="72" t="e">
        <f t="shared" si="124"/>
        <v>#VALUE!</v>
      </c>
      <c r="CC64" s="72" t="e">
        <f t="shared" si="125"/>
        <v>#VALUE!</v>
      </c>
      <c r="CD64" s="72" t="e">
        <f t="shared" si="126"/>
        <v>#VALUE!</v>
      </c>
      <c r="CE64" s="72" t="e">
        <f t="shared" si="116"/>
        <v>#VALUE!</v>
      </c>
      <c r="CF64" s="72" t="str">
        <f t="shared" si="117"/>
        <v>3.3</v>
      </c>
      <c r="CG64" s="72" t="str">
        <f t="shared" si="118"/>
        <v>0.1</v>
      </c>
      <c r="CH64" s="61" t="e">
        <f t="shared" si="119"/>
        <v>#VALUE!</v>
      </c>
      <c r="CI64" s="72" t="e">
        <f t="shared" si="120"/>
        <v>#VALUE!</v>
      </c>
      <c r="CJ64" s="72" t="e">
        <f t="shared" si="121"/>
        <v>#VALUE!</v>
      </c>
      <c r="CK64" s="72" t="e">
        <f t="shared" si="122"/>
        <v>#VALUE!</v>
      </c>
      <c r="CL64" s="73" t="s">
        <v>728</v>
      </c>
    </row>
    <row r="65" spans="1:90" s="28" customFormat="1">
      <c r="A65" s="19" t="str">
        <f t="shared" ref="A65:A71" si="127">CONCATENATE(B65,"-",G65)</f>
        <v>20-0</v>
      </c>
      <c r="B65" s="20">
        <v>20</v>
      </c>
      <c r="C65" s="21" t="s">
        <v>133</v>
      </c>
      <c r="D65" s="20" t="s">
        <v>433</v>
      </c>
      <c r="E65" s="20" t="s">
        <v>434</v>
      </c>
      <c r="F65" s="20" t="s">
        <v>435</v>
      </c>
      <c r="G65" s="22">
        <v>0</v>
      </c>
      <c r="H65" s="23" t="s">
        <v>191</v>
      </c>
      <c r="I65" s="24" t="s">
        <v>601</v>
      </c>
      <c r="J65" s="23" t="str">
        <f t="shared" ref="J65:J71" si="128">CONCATENATE(K65,"; ",L65,"; ",M65," ")</f>
        <v xml:space="preserve">Hose, Water By-Pass; Ø 7.5 mm × 14.5 mm; TSB5501G-1F </v>
      </c>
      <c r="K65" s="23" t="s">
        <v>255</v>
      </c>
      <c r="L65" s="23" t="s">
        <v>344</v>
      </c>
      <c r="M65" s="21" t="s">
        <v>193</v>
      </c>
      <c r="N65" s="54" t="s">
        <v>194</v>
      </c>
      <c r="O65" s="54" t="s">
        <v>194</v>
      </c>
      <c r="P65" s="25" t="s">
        <v>111</v>
      </c>
      <c r="Q65" s="25" t="s">
        <v>111</v>
      </c>
      <c r="R65" s="40" t="s">
        <v>325</v>
      </c>
      <c r="S65" s="20" t="s">
        <v>445</v>
      </c>
      <c r="T65" s="26" t="s">
        <v>93</v>
      </c>
      <c r="U65" s="26" t="s">
        <v>94</v>
      </c>
      <c r="V65" s="26" t="s">
        <v>300</v>
      </c>
      <c r="W65" s="26" t="s">
        <v>383</v>
      </c>
      <c r="X65" s="26" t="s">
        <v>394</v>
      </c>
      <c r="Y65" s="26" t="s">
        <v>348</v>
      </c>
      <c r="Z65" s="26" t="s">
        <v>599</v>
      </c>
      <c r="AA65" s="26" t="s">
        <v>350</v>
      </c>
      <c r="AB65" s="20" t="s">
        <v>511</v>
      </c>
      <c r="AC65" s="20" t="s">
        <v>97</v>
      </c>
      <c r="AD65" s="20" t="s">
        <v>511</v>
      </c>
      <c r="AE65" s="20" t="s">
        <v>97</v>
      </c>
      <c r="AF65" s="26" t="s">
        <v>79</v>
      </c>
      <c r="AG65" s="26" t="s">
        <v>75</v>
      </c>
      <c r="AH65" s="26" t="s">
        <v>76</v>
      </c>
      <c r="AI65" s="26" t="s">
        <v>112</v>
      </c>
      <c r="AJ65" s="26" t="s">
        <v>76</v>
      </c>
      <c r="AK65" s="26" t="s">
        <v>79</v>
      </c>
      <c r="AL65" s="26" t="s">
        <v>363</v>
      </c>
      <c r="AM65" s="26" t="s">
        <v>363</v>
      </c>
      <c r="AN65" s="26" t="s">
        <v>5</v>
      </c>
      <c r="AO65" s="26" t="s">
        <v>363</v>
      </c>
      <c r="AP65" s="20" t="s">
        <v>351</v>
      </c>
      <c r="AQ65" s="20" t="s">
        <v>352</v>
      </c>
      <c r="AR65" s="20" t="s">
        <v>515</v>
      </c>
      <c r="AS65" s="20" t="s">
        <v>515</v>
      </c>
      <c r="AT65" s="20" t="s">
        <v>516</v>
      </c>
      <c r="AU65" s="20" t="s">
        <v>516</v>
      </c>
      <c r="AV65" s="20" t="s">
        <v>126</v>
      </c>
      <c r="AW65" s="20" t="s">
        <v>163</v>
      </c>
      <c r="AX65" s="20" t="s">
        <v>157</v>
      </c>
      <c r="AY65" s="20" t="s">
        <v>353</v>
      </c>
      <c r="AZ65" s="20" t="s">
        <v>354</v>
      </c>
      <c r="BA65" s="20" t="s">
        <v>445</v>
      </c>
      <c r="BB65" s="20" t="s">
        <v>445</v>
      </c>
      <c r="BC65" s="26" t="s">
        <v>596</v>
      </c>
      <c r="BD65" s="26" t="s">
        <v>597</v>
      </c>
      <c r="BE65" s="26">
        <v>0.5</v>
      </c>
      <c r="BF65" s="20" t="s">
        <v>5</v>
      </c>
      <c r="BG65" s="20" t="s">
        <v>5</v>
      </c>
      <c r="BH65" s="20" t="s">
        <v>5</v>
      </c>
      <c r="BI65" s="20" t="s">
        <v>108</v>
      </c>
      <c r="BJ65" s="27" t="s">
        <v>165</v>
      </c>
      <c r="BK65" s="27" t="s">
        <v>357</v>
      </c>
      <c r="BL65" s="27" t="s">
        <v>598</v>
      </c>
      <c r="BM65" s="27" t="s">
        <v>598</v>
      </c>
      <c r="BN65" s="41" t="s">
        <v>109</v>
      </c>
      <c r="BO65" s="26" t="s">
        <v>359</v>
      </c>
      <c r="BP65" s="26" t="s">
        <v>362</v>
      </c>
      <c r="BQ65" s="26" t="s">
        <v>360</v>
      </c>
      <c r="BR65" s="26" t="s">
        <v>361</v>
      </c>
      <c r="BS65" s="26" t="s">
        <v>83</v>
      </c>
      <c r="BT65" s="31" t="str">
        <f>MID($BO$29, 1, 3)</f>
        <v>7.5</v>
      </c>
      <c r="BU65" s="31" t="str">
        <f>MID($BO$29,5,3)</f>
        <v>0.1</v>
      </c>
      <c r="BV65" s="31" t="e">
        <f t="shared" ref="BV65:BV71" si="129">BT65-(BU65/2)</f>
        <v>#VALUE!</v>
      </c>
      <c r="BW65" s="31" t="e">
        <f t="shared" ref="BW65:BW71" si="130">BT65-BU65</f>
        <v>#VALUE!</v>
      </c>
      <c r="BX65" s="31" t="e">
        <f t="shared" ref="BX65:BX71" si="131">BT65+(BU65/2)</f>
        <v>#VALUE!</v>
      </c>
      <c r="BY65" s="31" t="e">
        <f t="shared" ref="BY65:BY71" si="132">BT65+BU65</f>
        <v>#VALUE!</v>
      </c>
      <c r="BZ65" s="31" t="str">
        <f t="shared" ref="BZ65:BZ66" si="133">MID(BQ65,1,3)</f>
        <v>1.6</v>
      </c>
      <c r="CA65" s="31" t="str">
        <f t="shared" ref="CA65:CA66" si="134">MID(BQ65,5,3)</f>
        <v>0.1</v>
      </c>
      <c r="CB65" s="31" t="e">
        <f t="shared" ref="CB65:CB66" si="135">BZ65-(CA65/2)</f>
        <v>#VALUE!</v>
      </c>
      <c r="CC65" s="31" t="e">
        <f t="shared" ref="CC65:CC66" si="136">BZ65-CA65</f>
        <v>#VALUE!</v>
      </c>
      <c r="CD65" s="31" t="e">
        <f t="shared" ref="CD65:CD66" si="137">BZ65+(CA65/2)</f>
        <v>#VALUE!</v>
      </c>
      <c r="CE65" s="31" t="e">
        <f t="shared" ref="CE65:CE66" si="138">BZ65+CA65</f>
        <v>#VALUE!</v>
      </c>
      <c r="CF65" s="31" t="str">
        <f t="shared" ref="CF65:CF71" si="139">MID(BR65,1,3)</f>
        <v>3.3</v>
      </c>
      <c r="CG65" s="31" t="str">
        <f t="shared" ref="CG65:CG71" si="140">MID(BR65,5,3)</f>
        <v>0.1</v>
      </c>
      <c r="CH65" s="19" t="e">
        <f t="shared" ref="CH65:CH71" si="141">CF65-(CG65/2)</f>
        <v>#VALUE!</v>
      </c>
      <c r="CI65" s="31" t="e">
        <f t="shared" ref="CI65:CI71" si="142">CF65-CG65</f>
        <v>#VALUE!</v>
      </c>
      <c r="CJ65" s="31" t="e">
        <f t="shared" ref="CJ65:CJ71" si="143">CF65+(CG65/2)</f>
        <v>#VALUE!</v>
      </c>
      <c r="CK65" s="31" t="e">
        <f t="shared" ref="CK65:CK71" si="144">CF65+CG65</f>
        <v>#VALUE!</v>
      </c>
      <c r="CL65" s="28" t="s">
        <v>729</v>
      </c>
    </row>
    <row r="66" spans="1:90" s="28" customFormat="1">
      <c r="A66" s="19" t="str">
        <f t="shared" si="127"/>
        <v>12-5</v>
      </c>
      <c r="B66" s="20">
        <v>12</v>
      </c>
      <c r="C66" s="21" t="s">
        <v>133</v>
      </c>
      <c r="D66" s="20" t="s">
        <v>321</v>
      </c>
      <c r="E66" s="20" t="s">
        <v>322</v>
      </c>
      <c r="F66" s="20" t="s">
        <v>323</v>
      </c>
      <c r="G66" s="22">
        <v>5</v>
      </c>
      <c r="H66" s="23" t="s">
        <v>77</v>
      </c>
      <c r="I66" s="24" t="s">
        <v>601</v>
      </c>
      <c r="J66" s="23" t="str">
        <f>CONCATENATE(K66,"; ",L66,"; ",M66," ")</f>
        <v xml:space="preserve">Hose, Water By-Pass; Ø 11 mm × 18 mm; TSB5501G-1E </v>
      </c>
      <c r="K66" s="23" t="s">
        <v>255</v>
      </c>
      <c r="L66" s="23" t="s">
        <v>324</v>
      </c>
      <c r="M66" s="23" t="s">
        <v>3</v>
      </c>
      <c r="N66" s="21" t="s">
        <v>142</v>
      </c>
      <c r="O66" s="21" t="s">
        <v>142</v>
      </c>
      <c r="P66" s="25" t="s">
        <v>111</v>
      </c>
      <c r="Q66" s="25" t="s">
        <v>111</v>
      </c>
      <c r="R66" s="40" t="s">
        <v>325</v>
      </c>
      <c r="S66" s="20" t="s">
        <v>447</v>
      </c>
      <c r="T66" s="26" t="s">
        <v>93</v>
      </c>
      <c r="U66" s="26" t="s">
        <v>94</v>
      </c>
      <c r="V66" s="26" t="s">
        <v>382</v>
      </c>
      <c r="W66" s="26" t="s">
        <v>600</v>
      </c>
      <c r="X66" s="26" t="s">
        <v>390</v>
      </c>
      <c r="Y66" s="26" t="s">
        <v>330</v>
      </c>
      <c r="Z66" s="26" t="s">
        <v>78</v>
      </c>
      <c r="AA66" s="26" t="s">
        <v>149</v>
      </c>
      <c r="AB66" s="20" t="s">
        <v>511</v>
      </c>
      <c r="AC66" s="20" t="s">
        <v>97</v>
      </c>
      <c r="AD66" s="20" t="s">
        <v>511</v>
      </c>
      <c r="AE66" s="20" t="s">
        <v>97</v>
      </c>
      <c r="AF66" s="26" t="s">
        <v>79</v>
      </c>
      <c r="AG66" s="26" t="s">
        <v>75</v>
      </c>
      <c r="AH66" s="26" t="s">
        <v>76</v>
      </c>
      <c r="AI66" s="26" t="s">
        <v>112</v>
      </c>
      <c r="AJ66" s="26" t="s">
        <v>76</v>
      </c>
      <c r="AK66" s="26" t="s">
        <v>79</v>
      </c>
      <c r="AL66" s="26" t="s">
        <v>363</v>
      </c>
      <c r="AM66" s="26" t="s">
        <v>112</v>
      </c>
      <c r="AN66" s="26" t="s">
        <v>5</v>
      </c>
      <c r="AO66" s="26" t="s">
        <v>363</v>
      </c>
      <c r="AP66" s="20" t="s">
        <v>331</v>
      </c>
      <c r="AQ66" s="20" t="s">
        <v>310</v>
      </c>
      <c r="AR66" s="20" t="s">
        <v>515</v>
      </c>
      <c r="AS66" s="20" t="s">
        <v>515</v>
      </c>
      <c r="AT66" s="20" t="s">
        <v>516</v>
      </c>
      <c r="AU66" s="20" t="s">
        <v>516</v>
      </c>
      <c r="AV66" s="20" t="s">
        <v>335</v>
      </c>
      <c r="AW66" s="20" t="s">
        <v>163</v>
      </c>
      <c r="AX66" s="20" t="s">
        <v>157</v>
      </c>
      <c r="AY66" s="20" t="s">
        <v>336</v>
      </c>
      <c r="AZ66" s="20" t="s">
        <v>337</v>
      </c>
      <c r="BA66" s="20" t="s">
        <v>447</v>
      </c>
      <c r="BB66" s="20" t="s">
        <v>447</v>
      </c>
      <c r="BC66" s="26" t="s">
        <v>494</v>
      </c>
      <c r="BD66" s="26" t="s">
        <v>592</v>
      </c>
      <c r="BE66" s="26">
        <v>0.5</v>
      </c>
      <c r="BF66" s="20" t="s">
        <v>5</v>
      </c>
      <c r="BG66" s="20" t="s">
        <v>5</v>
      </c>
      <c r="BH66" s="20" t="s">
        <v>5</v>
      </c>
      <c r="BI66" s="20" t="s">
        <v>108</v>
      </c>
      <c r="BJ66" s="27" t="s">
        <v>340</v>
      </c>
      <c r="BK66" s="27" t="s">
        <v>341</v>
      </c>
      <c r="BL66" s="27" t="s">
        <v>495</v>
      </c>
      <c r="BM66" s="27" t="s">
        <v>393</v>
      </c>
      <c r="BN66" s="41" t="s">
        <v>109</v>
      </c>
      <c r="BO66" s="26" t="s">
        <v>419</v>
      </c>
      <c r="BP66" s="26" t="s">
        <v>409</v>
      </c>
      <c r="BQ66" s="26" t="s">
        <v>292</v>
      </c>
      <c r="BR66" s="26" t="s">
        <v>343</v>
      </c>
      <c r="BS66" s="26" t="s">
        <v>83</v>
      </c>
      <c r="BT66" s="31" t="str">
        <f>MID($BO$28, 1, 4)</f>
        <v>11.0</v>
      </c>
      <c r="BU66" s="31" t="str">
        <f>MID($BO$28,6,3)</f>
        <v>0.1</v>
      </c>
      <c r="BV66" s="31" t="e">
        <f t="shared" si="129"/>
        <v>#VALUE!</v>
      </c>
      <c r="BW66" s="31" t="e">
        <f t="shared" si="130"/>
        <v>#VALUE!</v>
      </c>
      <c r="BX66" s="31" t="e">
        <f t="shared" si="131"/>
        <v>#VALUE!</v>
      </c>
      <c r="BY66" s="31" t="e">
        <f t="shared" si="132"/>
        <v>#VALUE!</v>
      </c>
      <c r="BZ66" s="31" t="str">
        <f t="shared" si="133"/>
        <v>1.8</v>
      </c>
      <c r="CA66" s="31" t="str">
        <f t="shared" si="134"/>
        <v>0.1</v>
      </c>
      <c r="CB66" s="31" t="e">
        <f t="shared" si="135"/>
        <v>#VALUE!</v>
      </c>
      <c r="CC66" s="31" t="e">
        <f t="shared" si="136"/>
        <v>#VALUE!</v>
      </c>
      <c r="CD66" s="31" t="e">
        <f t="shared" si="137"/>
        <v>#VALUE!</v>
      </c>
      <c r="CE66" s="31" t="e">
        <f t="shared" si="138"/>
        <v>#VALUE!</v>
      </c>
      <c r="CF66" s="31" t="str">
        <f t="shared" si="139"/>
        <v>3.4</v>
      </c>
      <c r="CG66" s="31" t="str">
        <f t="shared" si="140"/>
        <v>0.1</v>
      </c>
      <c r="CH66" s="19" t="e">
        <f t="shared" si="141"/>
        <v>#VALUE!</v>
      </c>
      <c r="CI66" s="31" t="e">
        <f t="shared" si="142"/>
        <v>#VALUE!</v>
      </c>
      <c r="CJ66" s="31" t="e">
        <f t="shared" si="143"/>
        <v>#VALUE!</v>
      </c>
      <c r="CK66" s="31" t="e">
        <f t="shared" si="144"/>
        <v>#VALUE!</v>
      </c>
      <c r="CL66" s="28" t="s">
        <v>721</v>
      </c>
    </row>
    <row r="67" spans="1:90" s="73" customFormat="1">
      <c r="A67" s="73" t="str">
        <f t="shared" si="127"/>
        <v>16-1</v>
      </c>
      <c r="B67" s="81">
        <v>16</v>
      </c>
      <c r="C67" s="63" t="s">
        <v>133</v>
      </c>
      <c r="D67" s="62" t="s">
        <v>547</v>
      </c>
      <c r="E67" s="20" t="s">
        <v>527</v>
      </c>
      <c r="F67" s="62" t="s">
        <v>528</v>
      </c>
      <c r="G67" s="82">
        <v>1</v>
      </c>
      <c r="H67" s="81" t="s">
        <v>191</v>
      </c>
      <c r="I67" s="66" t="s">
        <v>601</v>
      </c>
      <c r="J67" s="65" t="str">
        <f t="shared" si="128"/>
        <v xml:space="preserve">Hose, Ventilation; Ø 11 mm × 18 mm; DTSM1662G-2A </v>
      </c>
      <c r="K67" s="81" t="s">
        <v>504</v>
      </c>
      <c r="L67" s="65" t="s">
        <v>324</v>
      </c>
      <c r="M67" s="65" t="s">
        <v>505</v>
      </c>
      <c r="N67" s="63" t="s">
        <v>506</v>
      </c>
      <c r="O67" s="63" t="s">
        <v>506</v>
      </c>
      <c r="P67" s="67" t="s">
        <v>111</v>
      </c>
      <c r="Q67" s="67" t="s">
        <v>111</v>
      </c>
      <c r="R67" s="68" t="s">
        <v>508</v>
      </c>
      <c r="S67" s="62" t="s">
        <v>447</v>
      </c>
      <c r="T67" s="69" t="s">
        <v>93</v>
      </c>
      <c r="U67" s="69" t="s">
        <v>94</v>
      </c>
      <c r="V67" s="69" t="s">
        <v>327</v>
      </c>
      <c r="W67" s="69" t="s">
        <v>347</v>
      </c>
      <c r="X67" s="69" t="s">
        <v>509</v>
      </c>
      <c r="Y67" s="69" t="s">
        <v>330</v>
      </c>
      <c r="Z67" s="69" t="s">
        <v>397</v>
      </c>
      <c r="AA67" s="69" t="s">
        <v>625</v>
      </c>
      <c r="AB67" s="62" t="s">
        <v>511</v>
      </c>
      <c r="AC67" s="62" t="s">
        <v>97</v>
      </c>
      <c r="AD67" s="62" t="s">
        <v>511</v>
      </c>
      <c r="AE67" s="62" t="s">
        <v>97</v>
      </c>
      <c r="AF67" s="69" t="s">
        <v>512</v>
      </c>
      <c r="AG67" s="69" t="s">
        <v>512</v>
      </c>
      <c r="AH67" s="69" t="s">
        <v>512</v>
      </c>
      <c r="AI67" s="69" t="s">
        <v>512</v>
      </c>
      <c r="AJ67" s="69" t="s">
        <v>512</v>
      </c>
      <c r="AK67" s="69" t="s">
        <v>512</v>
      </c>
      <c r="AL67" s="69" t="s">
        <v>512</v>
      </c>
      <c r="AM67" s="69" t="s">
        <v>512</v>
      </c>
      <c r="AN67" s="69" t="s">
        <v>5</v>
      </c>
      <c r="AO67" s="69" t="s">
        <v>512</v>
      </c>
      <c r="AP67" s="62" t="s">
        <v>591</v>
      </c>
      <c r="AQ67" s="62" t="s">
        <v>514</v>
      </c>
      <c r="AR67" s="62" t="s">
        <v>515</v>
      </c>
      <c r="AS67" s="62" t="s">
        <v>515</v>
      </c>
      <c r="AT67" s="62" t="s">
        <v>516</v>
      </c>
      <c r="AU67" s="62" t="s">
        <v>516</v>
      </c>
      <c r="AV67" s="62" t="s">
        <v>5</v>
      </c>
      <c r="AW67" s="62" t="s">
        <v>5</v>
      </c>
      <c r="AX67" s="62" t="s">
        <v>5</v>
      </c>
      <c r="AY67" s="62" t="s">
        <v>517</v>
      </c>
      <c r="AZ67" s="62" t="s">
        <v>517</v>
      </c>
      <c r="BA67" s="62" t="s">
        <v>447</v>
      </c>
      <c r="BB67" s="62" t="s">
        <v>447</v>
      </c>
      <c r="BC67" s="69" t="s">
        <v>602</v>
      </c>
      <c r="BD67" s="69" t="s">
        <v>519</v>
      </c>
      <c r="BE67" s="69">
        <v>0.5</v>
      </c>
      <c r="BF67" s="62" t="s">
        <v>5</v>
      </c>
      <c r="BG67" s="62" t="s">
        <v>5</v>
      </c>
      <c r="BH67" s="62" t="s">
        <v>5</v>
      </c>
      <c r="BI67" s="62" t="s">
        <v>108</v>
      </c>
      <c r="BJ67" s="70" t="s">
        <v>165</v>
      </c>
      <c r="BK67" s="70" t="s">
        <v>520</v>
      </c>
      <c r="BL67" s="70" t="s">
        <v>603</v>
      </c>
      <c r="BM67" s="70" t="s">
        <v>603</v>
      </c>
      <c r="BN67" s="71" t="s">
        <v>109</v>
      </c>
      <c r="BO67" s="69" t="s">
        <v>521</v>
      </c>
      <c r="BP67" s="69" t="s">
        <v>522</v>
      </c>
      <c r="BQ67" s="69" t="s">
        <v>168</v>
      </c>
      <c r="BR67" s="69" t="s">
        <v>523</v>
      </c>
      <c r="BS67" s="69" t="s">
        <v>524</v>
      </c>
      <c r="BT67" s="72">
        <v>11</v>
      </c>
      <c r="BU67" s="72" t="str">
        <f>MID($BO$29,5,3)</f>
        <v>0.1</v>
      </c>
      <c r="BV67" s="72" t="e">
        <f t="shared" si="129"/>
        <v>#VALUE!</v>
      </c>
      <c r="BW67" s="72" t="e">
        <f t="shared" si="130"/>
        <v>#VALUE!</v>
      </c>
      <c r="BX67" s="72" t="e">
        <f t="shared" si="131"/>
        <v>#VALUE!</v>
      </c>
      <c r="BY67" s="72" t="e">
        <f t="shared" si="132"/>
        <v>#VALUE!</v>
      </c>
      <c r="BZ67" s="72" t="s">
        <v>5</v>
      </c>
      <c r="CA67" s="72" t="s">
        <v>5</v>
      </c>
      <c r="CB67" s="72" t="s">
        <v>5</v>
      </c>
      <c r="CC67" s="72" t="s">
        <v>5</v>
      </c>
      <c r="CD67" s="72" t="s">
        <v>5</v>
      </c>
      <c r="CE67" s="72" t="s">
        <v>5</v>
      </c>
      <c r="CF67" s="72" t="str">
        <f t="shared" si="139"/>
        <v>3.6</v>
      </c>
      <c r="CG67" s="72" t="str">
        <f t="shared" si="140"/>
        <v>0.2</v>
      </c>
      <c r="CH67" s="61" t="e">
        <f t="shared" si="141"/>
        <v>#VALUE!</v>
      </c>
      <c r="CI67" s="72" t="e">
        <f t="shared" si="142"/>
        <v>#VALUE!</v>
      </c>
      <c r="CJ67" s="72" t="e">
        <f t="shared" si="143"/>
        <v>#VALUE!</v>
      </c>
      <c r="CK67" s="72" t="e">
        <f t="shared" si="144"/>
        <v>#VALUE!</v>
      </c>
      <c r="CL67" s="73" t="s">
        <v>720</v>
      </c>
    </row>
    <row r="68" spans="1:90" s="28" customFormat="1">
      <c r="A68" s="19" t="str">
        <f t="shared" si="127"/>
        <v>10-6</v>
      </c>
      <c r="B68" s="20">
        <v>10</v>
      </c>
      <c r="C68" s="21" t="s">
        <v>133</v>
      </c>
      <c r="D68" s="20" t="s">
        <v>301</v>
      </c>
      <c r="E68" s="20" t="s">
        <v>302</v>
      </c>
      <c r="F68" s="20" t="s">
        <v>303</v>
      </c>
      <c r="G68" s="22">
        <v>6</v>
      </c>
      <c r="H68" s="23" t="s">
        <v>304</v>
      </c>
      <c r="I68" s="24" t="s">
        <v>601</v>
      </c>
      <c r="J68" s="23" t="str">
        <f t="shared" si="128"/>
        <v xml:space="preserve">Hose, Water By-Pass; Ø 13 mm × 21 mm; TSB5501G-1F </v>
      </c>
      <c r="K68" s="23" t="s">
        <v>255</v>
      </c>
      <c r="L68" s="23" t="s">
        <v>305</v>
      </c>
      <c r="M68" s="23" t="s">
        <v>193</v>
      </c>
      <c r="N68" s="21" t="s">
        <v>194</v>
      </c>
      <c r="O68" s="21" t="s">
        <v>194</v>
      </c>
      <c r="P68" s="25" t="s">
        <v>111</v>
      </c>
      <c r="Q68" s="25" t="s">
        <v>111</v>
      </c>
      <c r="R68" s="40" t="s">
        <v>257</v>
      </c>
      <c r="S68" s="20" t="s">
        <v>589</v>
      </c>
      <c r="T68" s="26" t="s">
        <v>93</v>
      </c>
      <c r="U68" s="26" t="s">
        <v>94</v>
      </c>
      <c r="V68" s="26" t="s">
        <v>307</v>
      </c>
      <c r="W68" s="26" t="s">
        <v>583</v>
      </c>
      <c r="X68" s="26" t="s">
        <v>584</v>
      </c>
      <c r="Y68" s="26" t="s">
        <v>296</v>
      </c>
      <c r="Z68" s="26" t="s">
        <v>585</v>
      </c>
      <c r="AA68" s="26" t="s">
        <v>625</v>
      </c>
      <c r="AB68" s="20" t="s">
        <v>511</v>
      </c>
      <c r="AC68" s="20" t="s">
        <v>97</v>
      </c>
      <c r="AD68" s="20" t="s">
        <v>511</v>
      </c>
      <c r="AE68" s="20" t="s">
        <v>97</v>
      </c>
      <c r="AF68" s="26" t="s">
        <v>79</v>
      </c>
      <c r="AG68" s="26" t="s">
        <v>75</v>
      </c>
      <c r="AH68" s="26" t="s">
        <v>76</v>
      </c>
      <c r="AI68" s="26" t="s">
        <v>76</v>
      </c>
      <c r="AJ68" s="26" t="s">
        <v>76</v>
      </c>
      <c r="AK68" s="26" t="s">
        <v>79</v>
      </c>
      <c r="AL68" s="26" t="s">
        <v>371</v>
      </c>
      <c r="AM68" s="26" t="s">
        <v>76</v>
      </c>
      <c r="AN68" s="26" t="s">
        <v>5</v>
      </c>
      <c r="AO68" s="26" t="s">
        <v>76</v>
      </c>
      <c r="AP68" s="20" t="s">
        <v>586</v>
      </c>
      <c r="AQ68" s="20" t="s">
        <v>587</v>
      </c>
      <c r="AR68" s="20" t="s">
        <v>515</v>
      </c>
      <c r="AS68" s="20" t="s">
        <v>515</v>
      </c>
      <c r="AT68" s="20" t="s">
        <v>516</v>
      </c>
      <c r="AU68" s="20" t="s">
        <v>516</v>
      </c>
      <c r="AV68" s="20" t="s">
        <v>126</v>
      </c>
      <c r="AW68" s="20" t="s">
        <v>156</v>
      </c>
      <c r="AX68" s="20" t="s">
        <v>156</v>
      </c>
      <c r="AY68" s="20" t="s">
        <v>604</v>
      </c>
      <c r="AZ68" s="20" t="s">
        <v>604</v>
      </c>
      <c r="BA68" s="20" t="s">
        <v>589</v>
      </c>
      <c r="BB68" s="20" t="s">
        <v>589</v>
      </c>
      <c r="BC68" s="26" t="s">
        <v>590</v>
      </c>
      <c r="BD68" s="26" t="s">
        <v>591</v>
      </c>
      <c r="BE68" s="26">
        <v>0.5</v>
      </c>
      <c r="BF68" s="20" t="s">
        <v>424</v>
      </c>
      <c r="BG68" s="20" t="s">
        <v>426</v>
      </c>
      <c r="BH68" s="20" t="s">
        <v>5</v>
      </c>
      <c r="BI68" s="20" t="s">
        <v>108</v>
      </c>
      <c r="BJ68" s="27" t="s">
        <v>165</v>
      </c>
      <c r="BK68" s="27" t="s">
        <v>316</v>
      </c>
      <c r="BL68" s="27" t="s">
        <v>592</v>
      </c>
      <c r="BM68" s="27" t="s">
        <v>592</v>
      </c>
      <c r="BN68" s="41" t="s">
        <v>109</v>
      </c>
      <c r="BO68" s="26" t="s">
        <v>593</v>
      </c>
      <c r="BP68" s="26" t="s">
        <v>408</v>
      </c>
      <c r="BQ68" s="26" t="s">
        <v>318</v>
      </c>
      <c r="BR68" s="26" t="s">
        <v>594</v>
      </c>
      <c r="BS68" s="26" t="s">
        <v>83</v>
      </c>
      <c r="BT68" s="31" t="str">
        <f>MID($BO$27, 1, 4)</f>
        <v>12.9</v>
      </c>
      <c r="BU68" s="31" t="str">
        <f>MID($BO$27,6,3)</f>
        <v>0.1</v>
      </c>
      <c r="BV68" s="31" t="e">
        <f t="shared" si="129"/>
        <v>#VALUE!</v>
      </c>
      <c r="BW68" s="31" t="e">
        <f t="shared" si="130"/>
        <v>#VALUE!</v>
      </c>
      <c r="BX68" s="31" t="e">
        <f t="shared" si="131"/>
        <v>#VALUE!</v>
      </c>
      <c r="BY68" s="31" t="e">
        <f t="shared" si="132"/>
        <v>#VALUE!</v>
      </c>
      <c r="BZ68" s="31" t="str">
        <f t="shared" ref="BZ68:BZ71" si="145">MID(BQ68,1,3)</f>
        <v>1.9</v>
      </c>
      <c r="CA68" s="31" t="str">
        <f t="shared" ref="CA68:CA71" si="146">MID(BQ68,5,3)</f>
        <v>0.1</v>
      </c>
      <c r="CB68" s="31" t="e">
        <f t="shared" ref="CB68:CB71" si="147">BZ68-(CA68/2)</f>
        <v>#VALUE!</v>
      </c>
      <c r="CC68" s="31" t="e">
        <f t="shared" ref="CC68:CC71" si="148">BZ68-CA68</f>
        <v>#VALUE!</v>
      </c>
      <c r="CD68" s="31" t="e">
        <f t="shared" ref="CD68:CD71" si="149">BZ68+(CA68/2)</f>
        <v>#VALUE!</v>
      </c>
      <c r="CE68" s="31" t="e">
        <f t="shared" ref="CE68:CE71" si="150">BZ68+CA68</f>
        <v>#VALUE!</v>
      </c>
      <c r="CF68" s="31" t="str">
        <f t="shared" si="139"/>
        <v>3.9</v>
      </c>
      <c r="CG68" s="31" t="str">
        <f t="shared" si="140"/>
        <v>0.2</v>
      </c>
      <c r="CH68" s="19" t="e">
        <f t="shared" si="141"/>
        <v>#VALUE!</v>
      </c>
      <c r="CI68" s="31" t="e">
        <f t="shared" si="142"/>
        <v>#VALUE!</v>
      </c>
      <c r="CJ68" s="31" t="e">
        <f t="shared" si="143"/>
        <v>#VALUE!</v>
      </c>
      <c r="CK68" s="31" t="e">
        <f t="shared" si="144"/>
        <v>#VALUE!</v>
      </c>
      <c r="CL68" s="28" t="s">
        <v>722</v>
      </c>
    </row>
    <row r="69" spans="1:90" s="73" customFormat="1">
      <c r="A69" s="61" t="str">
        <f t="shared" si="127"/>
        <v>8-3</v>
      </c>
      <c r="B69" s="62">
        <v>8</v>
      </c>
      <c r="C69" s="63" t="s">
        <v>133</v>
      </c>
      <c r="D69" s="62" t="s">
        <v>271</v>
      </c>
      <c r="E69" s="20" t="s">
        <v>272</v>
      </c>
      <c r="F69" s="62" t="s">
        <v>273</v>
      </c>
      <c r="G69" s="64">
        <v>3</v>
      </c>
      <c r="H69" s="65" t="s">
        <v>191</v>
      </c>
      <c r="I69" s="66" t="s">
        <v>601</v>
      </c>
      <c r="J69" s="65" t="str">
        <f t="shared" si="128"/>
        <v xml:space="preserve">Hose, Water By-Pass; Ø 16 mm × 24 mm; TSB5501G-1F </v>
      </c>
      <c r="K69" s="65" t="s">
        <v>255</v>
      </c>
      <c r="L69" s="65" t="s">
        <v>274</v>
      </c>
      <c r="M69" s="65" t="s">
        <v>193</v>
      </c>
      <c r="N69" s="63" t="s">
        <v>194</v>
      </c>
      <c r="O69" s="63" t="s">
        <v>194</v>
      </c>
      <c r="P69" s="67" t="s">
        <v>111</v>
      </c>
      <c r="Q69" s="67" t="s">
        <v>111</v>
      </c>
      <c r="R69" s="68" t="s">
        <v>257</v>
      </c>
      <c r="S69" s="62" t="s">
        <v>112</v>
      </c>
      <c r="T69" s="69" t="s">
        <v>93</v>
      </c>
      <c r="U69" s="69" t="s">
        <v>94</v>
      </c>
      <c r="V69" s="69" t="s">
        <v>276</v>
      </c>
      <c r="W69" s="69" t="s">
        <v>330</v>
      </c>
      <c r="X69" s="69" t="s">
        <v>278</v>
      </c>
      <c r="Y69" s="69" t="s">
        <v>279</v>
      </c>
      <c r="Z69" s="69" t="s">
        <v>692</v>
      </c>
      <c r="AA69" s="69" t="s">
        <v>149</v>
      </c>
      <c r="AB69" s="62" t="s">
        <v>511</v>
      </c>
      <c r="AC69" s="62" t="s">
        <v>97</v>
      </c>
      <c r="AD69" s="62" t="s">
        <v>511</v>
      </c>
      <c r="AE69" s="62" t="s">
        <v>97</v>
      </c>
      <c r="AF69" s="69" t="s">
        <v>79</v>
      </c>
      <c r="AG69" s="69" t="s">
        <v>75</v>
      </c>
      <c r="AH69" s="69" t="s">
        <v>76</v>
      </c>
      <c r="AI69" s="69" t="s">
        <v>112</v>
      </c>
      <c r="AJ69" s="69" t="s">
        <v>76</v>
      </c>
      <c r="AK69" s="69" t="s">
        <v>79</v>
      </c>
      <c r="AL69" s="69" t="s">
        <v>75</v>
      </c>
      <c r="AM69" s="69" t="s">
        <v>112</v>
      </c>
      <c r="AN69" s="69" t="s">
        <v>5</v>
      </c>
      <c r="AO69" s="69" t="s">
        <v>76</v>
      </c>
      <c r="AP69" s="62" t="s">
        <v>693</v>
      </c>
      <c r="AQ69" s="62" t="s">
        <v>281</v>
      </c>
      <c r="AR69" s="62" t="s">
        <v>515</v>
      </c>
      <c r="AS69" s="62" t="s">
        <v>515</v>
      </c>
      <c r="AT69" s="62" t="s">
        <v>516</v>
      </c>
      <c r="AU69" s="62" t="s">
        <v>516</v>
      </c>
      <c r="AV69" s="62" t="s">
        <v>126</v>
      </c>
      <c r="AW69" s="62" t="s">
        <v>157</v>
      </c>
      <c r="AX69" s="62" t="s">
        <v>157</v>
      </c>
      <c r="AY69" s="62" t="s">
        <v>605</v>
      </c>
      <c r="AZ69" s="62" t="s">
        <v>605</v>
      </c>
      <c r="BA69" s="62" t="s">
        <v>112</v>
      </c>
      <c r="BB69" s="62" t="s">
        <v>112</v>
      </c>
      <c r="BC69" s="69" t="s">
        <v>299</v>
      </c>
      <c r="BD69" s="69" t="s">
        <v>606</v>
      </c>
      <c r="BE69" s="69">
        <v>0.5</v>
      </c>
      <c r="BF69" s="62" t="s">
        <v>424</v>
      </c>
      <c r="BG69" s="62" t="s">
        <v>426</v>
      </c>
      <c r="BH69" s="62" t="s">
        <v>5</v>
      </c>
      <c r="BI69" s="62" t="s">
        <v>108</v>
      </c>
      <c r="BJ69" s="70" t="s">
        <v>165</v>
      </c>
      <c r="BK69" s="70" t="s">
        <v>289</v>
      </c>
      <c r="BL69" s="70" t="s">
        <v>607</v>
      </c>
      <c r="BM69" s="70" t="s">
        <v>607</v>
      </c>
      <c r="BN69" s="76" t="s">
        <v>576</v>
      </c>
      <c r="BO69" s="69" t="s">
        <v>694</v>
      </c>
      <c r="BP69" s="69" t="s">
        <v>406</v>
      </c>
      <c r="BQ69" s="69" t="s">
        <v>673</v>
      </c>
      <c r="BR69" s="69" t="s">
        <v>484</v>
      </c>
      <c r="BS69" s="69" t="s">
        <v>83</v>
      </c>
      <c r="BT69" s="72">
        <v>16.100000000000001</v>
      </c>
      <c r="BU69" s="72">
        <v>0.2</v>
      </c>
      <c r="BV69" s="72">
        <f t="shared" si="129"/>
        <v>16</v>
      </c>
      <c r="BW69" s="72">
        <f t="shared" si="130"/>
        <v>15.900000000000002</v>
      </c>
      <c r="BX69" s="72">
        <f t="shared" si="131"/>
        <v>16.200000000000003</v>
      </c>
      <c r="BY69" s="72">
        <f t="shared" si="132"/>
        <v>16.3</v>
      </c>
      <c r="BZ69" s="72" t="str">
        <f t="shared" si="145"/>
        <v>1.8</v>
      </c>
      <c r="CA69" s="72" t="str">
        <f t="shared" si="146"/>
        <v>0.2</v>
      </c>
      <c r="CB69" s="72" t="e">
        <f t="shared" si="147"/>
        <v>#VALUE!</v>
      </c>
      <c r="CC69" s="72" t="e">
        <f t="shared" si="148"/>
        <v>#VALUE!</v>
      </c>
      <c r="CD69" s="72" t="e">
        <f t="shared" si="149"/>
        <v>#VALUE!</v>
      </c>
      <c r="CE69" s="72" t="e">
        <f t="shared" si="150"/>
        <v>#VALUE!</v>
      </c>
      <c r="CF69" s="72" t="str">
        <f t="shared" si="139"/>
        <v>3.8</v>
      </c>
      <c r="CG69" s="72" t="str">
        <f t="shared" si="140"/>
        <v>0.2</v>
      </c>
      <c r="CH69" s="61" t="e">
        <f t="shared" si="141"/>
        <v>#VALUE!</v>
      </c>
      <c r="CI69" s="72" t="e">
        <f t="shared" si="142"/>
        <v>#VALUE!</v>
      </c>
      <c r="CJ69" s="72" t="e">
        <f t="shared" si="143"/>
        <v>#VALUE!</v>
      </c>
      <c r="CK69" s="72" t="e">
        <f t="shared" si="144"/>
        <v>#VALUE!</v>
      </c>
      <c r="CL69" s="73" t="s">
        <v>725</v>
      </c>
    </row>
    <row r="70" spans="1:90" s="73" customFormat="1">
      <c r="A70" s="61" t="str">
        <f t="shared" si="127"/>
        <v>9-5</v>
      </c>
      <c r="B70" s="62">
        <v>9</v>
      </c>
      <c r="C70" s="63" t="s">
        <v>133</v>
      </c>
      <c r="D70" s="62" t="s">
        <v>293</v>
      </c>
      <c r="E70" s="20" t="s">
        <v>294</v>
      </c>
      <c r="F70" s="62" t="s">
        <v>295</v>
      </c>
      <c r="G70" s="64">
        <v>5</v>
      </c>
      <c r="H70" s="65" t="s">
        <v>77</v>
      </c>
      <c r="I70" s="66" t="s">
        <v>601</v>
      </c>
      <c r="J70" s="65" t="str">
        <f t="shared" si="128"/>
        <v xml:space="preserve">Hose, Water By-Pass; Ø 16 mm × 24 mm; TSB5501G-1E </v>
      </c>
      <c r="K70" s="65" t="s">
        <v>255</v>
      </c>
      <c r="L70" s="65" t="s">
        <v>274</v>
      </c>
      <c r="M70" s="65" t="s">
        <v>3</v>
      </c>
      <c r="N70" s="63" t="s">
        <v>142</v>
      </c>
      <c r="O70" s="63" t="s">
        <v>142</v>
      </c>
      <c r="P70" s="67" t="s">
        <v>111</v>
      </c>
      <c r="Q70" s="67" t="s">
        <v>111</v>
      </c>
      <c r="R70" s="68" t="s">
        <v>257</v>
      </c>
      <c r="S70" s="62" t="s">
        <v>112</v>
      </c>
      <c r="T70" s="69" t="s">
        <v>93</v>
      </c>
      <c r="U70" s="69" t="s">
        <v>94</v>
      </c>
      <c r="V70" s="69" t="s">
        <v>276</v>
      </c>
      <c r="W70" s="69" t="s">
        <v>277</v>
      </c>
      <c r="X70" s="69" t="s">
        <v>278</v>
      </c>
      <c r="Y70" s="69" t="s">
        <v>608</v>
      </c>
      <c r="Z70" s="69" t="s">
        <v>349</v>
      </c>
      <c r="AA70" s="69" t="s">
        <v>149</v>
      </c>
      <c r="AB70" s="62" t="s">
        <v>511</v>
      </c>
      <c r="AC70" s="62" t="s">
        <v>97</v>
      </c>
      <c r="AD70" s="62" t="s">
        <v>511</v>
      </c>
      <c r="AE70" s="62" t="s">
        <v>97</v>
      </c>
      <c r="AF70" s="69" t="s">
        <v>79</v>
      </c>
      <c r="AG70" s="69" t="s">
        <v>75</v>
      </c>
      <c r="AH70" s="69" t="s">
        <v>76</v>
      </c>
      <c r="AI70" s="69" t="s">
        <v>363</v>
      </c>
      <c r="AJ70" s="69" t="s">
        <v>76</v>
      </c>
      <c r="AK70" s="69" t="s">
        <v>79</v>
      </c>
      <c r="AL70" s="69" t="s">
        <v>363</v>
      </c>
      <c r="AM70" s="69" t="s">
        <v>76</v>
      </c>
      <c r="AN70" s="69" t="s">
        <v>5</v>
      </c>
      <c r="AO70" s="69" t="s">
        <v>76</v>
      </c>
      <c r="AP70" s="62" t="s">
        <v>609</v>
      </c>
      <c r="AQ70" s="62" t="s">
        <v>376</v>
      </c>
      <c r="AR70" s="62" t="s">
        <v>515</v>
      </c>
      <c r="AS70" s="62" t="s">
        <v>515</v>
      </c>
      <c r="AT70" s="62" t="s">
        <v>516</v>
      </c>
      <c r="AU70" s="62" t="s">
        <v>516</v>
      </c>
      <c r="AV70" s="62" t="s">
        <v>126</v>
      </c>
      <c r="AW70" s="62" t="s">
        <v>157</v>
      </c>
      <c r="AX70" s="62" t="s">
        <v>157</v>
      </c>
      <c r="AY70" s="62" t="s">
        <v>647</v>
      </c>
      <c r="AZ70" s="62" t="s">
        <v>647</v>
      </c>
      <c r="BA70" s="62" t="s">
        <v>112</v>
      </c>
      <c r="BB70" s="62" t="s">
        <v>112</v>
      </c>
      <c r="BC70" s="69" t="s">
        <v>698</v>
      </c>
      <c r="BD70" s="69" t="s">
        <v>606</v>
      </c>
      <c r="BE70" s="69">
        <v>0.5</v>
      </c>
      <c r="BF70" s="62" t="s">
        <v>424</v>
      </c>
      <c r="BG70" s="62" t="s">
        <v>426</v>
      </c>
      <c r="BH70" s="62" t="s">
        <v>5</v>
      </c>
      <c r="BI70" s="62" t="s">
        <v>108</v>
      </c>
      <c r="BJ70" s="70" t="s">
        <v>165</v>
      </c>
      <c r="BK70" s="70" t="s">
        <v>316</v>
      </c>
      <c r="BL70" s="69" t="s">
        <v>606</v>
      </c>
      <c r="BM70" s="69" t="s">
        <v>606</v>
      </c>
      <c r="BN70" s="76" t="s">
        <v>576</v>
      </c>
      <c r="BO70" s="69" t="s">
        <v>694</v>
      </c>
      <c r="BP70" s="69" t="s">
        <v>406</v>
      </c>
      <c r="BQ70" s="69" t="s">
        <v>673</v>
      </c>
      <c r="BR70" s="69" t="s">
        <v>484</v>
      </c>
      <c r="BS70" s="69" t="s">
        <v>83</v>
      </c>
      <c r="BT70" s="72">
        <v>16.100000000000001</v>
      </c>
      <c r="BU70" s="72">
        <v>0.2</v>
      </c>
      <c r="BV70" s="72">
        <f t="shared" si="129"/>
        <v>16</v>
      </c>
      <c r="BW70" s="72">
        <f t="shared" si="130"/>
        <v>15.900000000000002</v>
      </c>
      <c r="BX70" s="72">
        <f t="shared" si="131"/>
        <v>16.200000000000003</v>
      </c>
      <c r="BY70" s="72">
        <f t="shared" si="132"/>
        <v>16.3</v>
      </c>
      <c r="BZ70" s="72" t="str">
        <f t="shared" si="145"/>
        <v>1.8</v>
      </c>
      <c r="CA70" s="72" t="str">
        <f t="shared" si="146"/>
        <v>0.2</v>
      </c>
      <c r="CB70" s="72" t="e">
        <f t="shared" si="147"/>
        <v>#VALUE!</v>
      </c>
      <c r="CC70" s="72" t="e">
        <f t="shared" si="148"/>
        <v>#VALUE!</v>
      </c>
      <c r="CD70" s="72" t="e">
        <f t="shared" si="149"/>
        <v>#VALUE!</v>
      </c>
      <c r="CE70" s="72" t="e">
        <f t="shared" si="150"/>
        <v>#VALUE!</v>
      </c>
      <c r="CF70" s="72" t="str">
        <f t="shared" si="139"/>
        <v>3.8</v>
      </c>
      <c r="CG70" s="72" t="str">
        <f t="shared" si="140"/>
        <v>0.2</v>
      </c>
      <c r="CH70" s="61" t="e">
        <f t="shared" si="141"/>
        <v>#VALUE!</v>
      </c>
      <c r="CI70" s="72" t="e">
        <f t="shared" si="142"/>
        <v>#VALUE!</v>
      </c>
      <c r="CJ70" s="72" t="e">
        <f t="shared" si="143"/>
        <v>#VALUE!</v>
      </c>
      <c r="CK70" s="72" t="e">
        <f t="shared" si="144"/>
        <v>#VALUE!</v>
      </c>
      <c r="CL70" s="73" t="s">
        <v>723</v>
      </c>
    </row>
    <row r="71" spans="1:90" s="73" customFormat="1">
      <c r="A71" s="61" t="str">
        <f t="shared" si="127"/>
        <v>7-5</v>
      </c>
      <c r="B71" s="62">
        <v>7</v>
      </c>
      <c r="C71" s="63" t="s">
        <v>133</v>
      </c>
      <c r="D71" s="62" t="s">
        <v>252</v>
      </c>
      <c r="E71" s="20" t="s">
        <v>253</v>
      </c>
      <c r="F71" s="62" t="s">
        <v>254</v>
      </c>
      <c r="G71" s="64">
        <v>5</v>
      </c>
      <c r="H71" s="65" t="s">
        <v>77</v>
      </c>
      <c r="I71" s="66" t="s">
        <v>601</v>
      </c>
      <c r="J71" s="65" t="str">
        <f t="shared" si="128"/>
        <v xml:space="preserve">Hose, Water By-Pass; Ø 21 mm × 29 mm; TSB5501G-1E </v>
      </c>
      <c r="K71" s="65" t="s">
        <v>255</v>
      </c>
      <c r="L71" s="65" t="s">
        <v>256</v>
      </c>
      <c r="M71" s="65" t="s">
        <v>3</v>
      </c>
      <c r="N71" s="63" t="s">
        <v>142</v>
      </c>
      <c r="O71" s="63" t="s">
        <v>142</v>
      </c>
      <c r="P71" s="67" t="s">
        <v>111</v>
      </c>
      <c r="Q71" s="67" t="s">
        <v>111</v>
      </c>
      <c r="R71" s="68" t="s">
        <v>257</v>
      </c>
      <c r="S71" s="62" t="s">
        <v>613</v>
      </c>
      <c r="T71" s="69" t="s">
        <v>93</v>
      </c>
      <c r="U71" s="69" t="s">
        <v>94</v>
      </c>
      <c r="V71" s="69" t="s">
        <v>379</v>
      </c>
      <c r="W71" s="69" t="s">
        <v>279</v>
      </c>
      <c r="X71" s="69" t="s">
        <v>695</v>
      </c>
      <c r="Y71" s="69" t="s">
        <v>237</v>
      </c>
      <c r="Z71" s="69" t="s">
        <v>78</v>
      </c>
      <c r="AA71" s="69" t="s">
        <v>149</v>
      </c>
      <c r="AB71" s="62" t="s">
        <v>511</v>
      </c>
      <c r="AC71" s="62" t="s">
        <v>97</v>
      </c>
      <c r="AD71" s="62" t="s">
        <v>511</v>
      </c>
      <c r="AE71" s="62" t="s">
        <v>97</v>
      </c>
      <c r="AF71" s="69" t="s">
        <v>79</v>
      </c>
      <c r="AG71" s="69" t="s">
        <v>75</v>
      </c>
      <c r="AH71" s="69" t="s">
        <v>76</v>
      </c>
      <c r="AI71" s="69" t="s">
        <v>76</v>
      </c>
      <c r="AJ71" s="69" t="s">
        <v>76</v>
      </c>
      <c r="AK71" s="69" t="s">
        <v>79</v>
      </c>
      <c r="AL71" s="69" t="s">
        <v>75</v>
      </c>
      <c r="AM71" s="69" t="s">
        <v>372</v>
      </c>
      <c r="AN71" s="69" t="s">
        <v>5</v>
      </c>
      <c r="AO71" s="69" t="s">
        <v>76</v>
      </c>
      <c r="AP71" s="62" t="s">
        <v>570</v>
      </c>
      <c r="AQ71" s="62" t="s">
        <v>223</v>
      </c>
      <c r="AR71" s="62" t="s">
        <v>515</v>
      </c>
      <c r="AS71" s="62" t="s">
        <v>515</v>
      </c>
      <c r="AT71" s="62" t="s">
        <v>516</v>
      </c>
      <c r="AU71" s="62" t="s">
        <v>516</v>
      </c>
      <c r="AV71" s="62" t="s">
        <v>126</v>
      </c>
      <c r="AW71" s="62" t="s">
        <v>156</v>
      </c>
      <c r="AX71" s="62" t="s">
        <v>156</v>
      </c>
      <c r="AY71" s="62" t="s">
        <v>611</v>
      </c>
      <c r="AZ71" s="62" t="s">
        <v>611</v>
      </c>
      <c r="BA71" s="62" t="s">
        <v>613</v>
      </c>
      <c r="BB71" s="62" t="s">
        <v>613</v>
      </c>
      <c r="BC71" s="69" t="s">
        <v>381</v>
      </c>
      <c r="BD71" s="69" t="s">
        <v>689</v>
      </c>
      <c r="BE71" s="69">
        <v>0.5</v>
      </c>
      <c r="BF71" s="62" t="s">
        <v>424</v>
      </c>
      <c r="BG71" s="62" t="s">
        <v>426</v>
      </c>
      <c r="BH71" s="62" t="s">
        <v>5</v>
      </c>
      <c r="BI71" s="62" t="s">
        <v>108</v>
      </c>
      <c r="BJ71" s="70" t="s">
        <v>165</v>
      </c>
      <c r="BK71" s="70" t="s">
        <v>690</v>
      </c>
      <c r="BL71" s="69" t="s">
        <v>689</v>
      </c>
      <c r="BM71" s="69" t="s">
        <v>689</v>
      </c>
      <c r="BN71" s="76" t="s">
        <v>576</v>
      </c>
      <c r="BO71" s="69" t="s">
        <v>404</v>
      </c>
      <c r="BP71" s="69" t="s">
        <v>251</v>
      </c>
      <c r="BQ71" s="69" t="s">
        <v>168</v>
      </c>
      <c r="BR71" s="69" t="s">
        <v>594</v>
      </c>
      <c r="BS71" s="69" t="s">
        <v>83</v>
      </c>
      <c r="BT71" s="72" t="str">
        <f>MID($BO$25, 1, 4)</f>
        <v>21.0</v>
      </c>
      <c r="BU71" s="72" t="str">
        <f>MID($BO$25,6,3)</f>
        <v>0.2</v>
      </c>
      <c r="BV71" s="72" t="e">
        <f t="shared" si="129"/>
        <v>#VALUE!</v>
      </c>
      <c r="BW71" s="72" t="e">
        <f t="shared" si="130"/>
        <v>#VALUE!</v>
      </c>
      <c r="BX71" s="72" t="e">
        <f t="shared" si="131"/>
        <v>#VALUE!</v>
      </c>
      <c r="BY71" s="72" t="e">
        <f t="shared" si="132"/>
        <v>#VALUE!</v>
      </c>
      <c r="BZ71" s="72" t="str">
        <f t="shared" si="145"/>
        <v>2.2</v>
      </c>
      <c r="CA71" s="72" t="str">
        <f t="shared" si="146"/>
        <v>0.1</v>
      </c>
      <c r="CB71" s="72" t="e">
        <f t="shared" si="147"/>
        <v>#VALUE!</v>
      </c>
      <c r="CC71" s="72" t="e">
        <f t="shared" si="148"/>
        <v>#VALUE!</v>
      </c>
      <c r="CD71" s="72" t="e">
        <f t="shared" si="149"/>
        <v>#VALUE!</v>
      </c>
      <c r="CE71" s="72" t="e">
        <f t="shared" si="150"/>
        <v>#VALUE!</v>
      </c>
      <c r="CF71" s="72" t="str">
        <f t="shared" si="139"/>
        <v>3.9</v>
      </c>
      <c r="CG71" s="72" t="str">
        <f t="shared" si="140"/>
        <v>0.2</v>
      </c>
      <c r="CH71" s="61" t="e">
        <f t="shared" si="141"/>
        <v>#VALUE!</v>
      </c>
      <c r="CI71" s="72" t="e">
        <f t="shared" si="142"/>
        <v>#VALUE!</v>
      </c>
      <c r="CJ71" s="72" t="e">
        <f t="shared" si="143"/>
        <v>#VALUE!</v>
      </c>
      <c r="CK71" s="72" t="e">
        <f t="shared" si="144"/>
        <v>#VALUE!</v>
      </c>
      <c r="CL71" s="73" t="s">
        <v>726</v>
      </c>
    </row>
    <row r="72" spans="1:90" s="28" customFormat="1">
      <c r="A72" s="19" t="str">
        <f t="shared" ref="A72:A76" si="151">CONCATENATE(B72,"-",G72)</f>
        <v>21-0</v>
      </c>
      <c r="B72" s="20">
        <v>21</v>
      </c>
      <c r="C72" s="21" t="s">
        <v>133</v>
      </c>
      <c r="D72" s="20"/>
      <c r="E72" s="20" t="s">
        <v>253</v>
      </c>
      <c r="F72" s="20" t="s">
        <v>254</v>
      </c>
      <c r="G72" s="22">
        <v>0</v>
      </c>
      <c r="H72" s="23" t="s">
        <v>191</v>
      </c>
      <c r="I72" s="24" t="s">
        <v>601</v>
      </c>
      <c r="J72" s="23" t="str">
        <f t="shared" ref="J72:J76" si="152">CONCATENATE(K72,"; ",L72,"; ",M72," ")</f>
        <v xml:space="preserve">Hose, Water By-Pass; Ø 21 mm × 29 mm; TSB5501G-1F </v>
      </c>
      <c r="K72" s="23" t="s">
        <v>255</v>
      </c>
      <c r="L72" s="23" t="s">
        <v>256</v>
      </c>
      <c r="M72" s="23" t="s">
        <v>193</v>
      </c>
      <c r="N72" s="21" t="s">
        <v>194</v>
      </c>
      <c r="O72" s="21" t="s">
        <v>194</v>
      </c>
      <c r="P72" s="25" t="s">
        <v>111</v>
      </c>
      <c r="Q72" s="25" t="s">
        <v>111</v>
      </c>
      <c r="R72" s="40" t="s">
        <v>257</v>
      </c>
      <c r="S72" s="20" t="s">
        <v>613</v>
      </c>
      <c r="T72" s="26" t="s">
        <v>93</v>
      </c>
      <c r="U72" s="26" t="s">
        <v>94</v>
      </c>
      <c r="V72" s="26" t="s">
        <v>379</v>
      </c>
      <c r="W72" s="26" t="s">
        <v>380</v>
      </c>
      <c r="X72" s="26" t="s">
        <v>261</v>
      </c>
      <c r="Y72" s="26" t="s">
        <v>237</v>
      </c>
      <c r="Z72" s="26" t="s">
        <v>78</v>
      </c>
      <c r="AA72" s="26" t="s">
        <v>149</v>
      </c>
      <c r="AB72" s="20" t="s">
        <v>511</v>
      </c>
      <c r="AC72" s="20" t="s">
        <v>97</v>
      </c>
      <c r="AD72" s="20" t="s">
        <v>511</v>
      </c>
      <c r="AE72" s="20" t="s">
        <v>97</v>
      </c>
      <c r="AF72" s="26" t="s">
        <v>79</v>
      </c>
      <c r="AG72" s="26" t="s">
        <v>75</v>
      </c>
      <c r="AH72" s="26" t="s">
        <v>76</v>
      </c>
      <c r="AI72" s="26" t="s">
        <v>76</v>
      </c>
      <c r="AJ72" s="26" t="s">
        <v>76</v>
      </c>
      <c r="AK72" s="26" t="s">
        <v>79</v>
      </c>
      <c r="AL72" s="26" t="s">
        <v>75</v>
      </c>
      <c r="AM72" s="26" t="s">
        <v>372</v>
      </c>
      <c r="AN72" s="26" t="s">
        <v>5</v>
      </c>
      <c r="AO72" s="26" t="s">
        <v>76</v>
      </c>
      <c r="AP72" s="20" t="s">
        <v>610</v>
      </c>
      <c r="AQ72" s="20" t="s">
        <v>614</v>
      </c>
      <c r="AR72" s="20" t="s">
        <v>515</v>
      </c>
      <c r="AS72" s="20" t="s">
        <v>515</v>
      </c>
      <c r="AT72" s="20" t="s">
        <v>516</v>
      </c>
      <c r="AU72" s="20" t="s">
        <v>516</v>
      </c>
      <c r="AV72" s="20" t="s">
        <v>126</v>
      </c>
      <c r="AW72" s="20" t="s">
        <v>156</v>
      </c>
      <c r="AX72" s="20" t="s">
        <v>156</v>
      </c>
      <c r="AY72" s="20" t="s">
        <v>611</v>
      </c>
      <c r="AZ72" s="20" t="s">
        <v>612</v>
      </c>
      <c r="BA72" s="20" t="s">
        <v>613</v>
      </c>
      <c r="BB72" s="20" t="s">
        <v>613</v>
      </c>
      <c r="BC72" s="26" t="s">
        <v>381</v>
      </c>
      <c r="BD72" s="26" t="s">
        <v>689</v>
      </c>
      <c r="BE72" s="26">
        <v>0.5</v>
      </c>
      <c r="BF72" s="20" t="s">
        <v>424</v>
      </c>
      <c r="BG72" s="20" t="s">
        <v>426</v>
      </c>
      <c r="BH72" s="20" t="s">
        <v>5</v>
      </c>
      <c r="BI72" s="20" t="s">
        <v>108</v>
      </c>
      <c r="BJ72" s="27" t="s">
        <v>165</v>
      </c>
      <c r="BK72" s="27" t="s">
        <v>690</v>
      </c>
      <c r="BL72" s="26" t="s">
        <v>689</v>
      </c>
      <c r="BM72" s="26" t="s">
        <v>689</v>
      </c>
      <c r="BN72" s="41" t="s">
        <v>109</v>
      </c>
      <c r="BO72" s="26" t="s">
        <v>404</v>
      </c>
      <c r="BP72" s="26" t="s">
        <v>251</v>
      </c>
      <c r="BQ72" s="26" t="s">
        <v>168</v>
      </c>
      <c r="BR72" s="26" t="s">
        <v>654</v>
      </c>
      <c r="BS72" s="26" t="s">
        <v>83</v>
      </c>
      <c r="BT72" s="31" t="str">
        <f>MID($BO$25, 1, 4)</f>
        <v>21.0</v>
      </c>
      <c r="BU72" s="31" t="str">
        <f>MID($BO$25,6,3)</f>
        <v>0.2</v>
      </c>
      <c r="BV72" s="31" t="e">
        <f t="shared" ref="BV72:BV76" si="153">BT72-(BU72/2)</f>
        <v>#VALUE!</v>
      </c>
      <c r="BW72" s="31" t="e">
        <f t="shared" ref="BW72:BW76" si="154">BT72-BU72</f>
        <v>#VALUE!</v>
      </c>
      <c r="BX72" s="31" t="e">
        <f t="shared" ref="BX72:BX76" si="155">BT72+(BU72/2)</f>
        <v>#VALUE!</v>
      </c>
      <c r="BY72" s="31" t="e">
        <f t="shared" ref="BY72:BY76" si="156">BT72+BU72</f>
        <v>#VALUE!</v>
      </c>
      <c r="BZ72" s="31" t="str">
        <f t="shared" ref="BZ72:BZ75" si="157">MID(BQ72,1,3)</f>
        <v>2.2</v>
      </c>
      <c r="CA72" s="31" t="str">
        <f t="shared" ref="CA72" si="158">MID(BQ72,5,3)</f>
        <v>0.1</v>
      </c>
      <c r="CB72" s="31" t="e">
        <f t="shared" ref="CB72" si="159">BZ72-(CA72/2)</f>
        <v>#VALUE!</v>
      </c>
      <c r="CC72" s="31" t="e">
        <f t="shared" ref="CC72" si="160">BZ72-CA72</f>
        <v>#VALUE!</v>
      </c>
      <c r="CD72" s="31" t="e">
        <f t="shared" ref="CD72" si="161">BZ72+(CA72/2)</f>
        <v>#VALUE!</v>
      </c>
      <c r="CE72" s="31" t="e">
        <f t="shared" ref="CE72:CE74" si="162">BZ72+CA72</f>
        <v>#VALUE!</v>
      </c>
      <c r="CF72" s="31" t="str">
        <f t="shared" ref="CF72:CF75" si="163">MID(BR72,1,3)</f>
        <v>4.0</v>
      </c>
      <c r="CG72" s="31" t="str">
        <f t="shared" ref="CG72:CG76" si="164">MID(BR72,5,3)</f>
        <v>0.2</v>
      </c>
      <c r="CH72" s="19" t="e">
        <f t="shared" ref="CH72:CH76" si="165">CF72-(CG72/2)</f>
        <v>#VALUE!</v>
      </c>
      <c r="CI72" s="31" t="e">
        <f t="shared" ref="CI72:CI76" si="166">CF72-CG72</f>
        <v>#VALUE!</v>
      </c>
      <c r="CJ72" s="31" t="e">
        <f t="shared" ref="CJ72:CJ76" si="167">CF72+(CG72/2)</f>
        <v>#VALUE!</v>
      </c>
      <c r="CK72" s="31" t="e">
        <f t="shared" ref="CK72:CK76" si="168">CF72+CG72</f>
        <v>#VALUE!</v>
      </c>
      <c r="CL72" s="28" t="s">
        <v>727</v>
      </c>
    </row>
    <row r="73" spans="1:90" s="73" customFormat="1">
      <c r="A73" s="61" t="str">
        <f t="shared" si="151"/>
        <v>18-1</v>
      </c>
      <c r="B73" s="62">
        <v>18</v>
      </c>
      <c r="C73" s="63" t="s">
        <v>133</v>
      </c>
      <c r="D73" s="62" t="s">
        <v>550</v>
      </c>
      <c r="E73" s="20" t="s">
        <v>551</v>
      </c>
      <c r="F73" s="62" t="s">
        <v>552</v>
      </c>
      <c r="G73" s="64">
        <v>1</v>
      </c>
      <c r="H73" s="65" t="s">
        <v>191</v>
      </c>
      <c r="I73" s="66" t="s">
        <v>601</v>
      </c>
      <c r="J73" s="65" t="str">
        <f t="shared" si="152"/>
        <v xml:space="preserve">Hose, Radiator; Ø 26.5 mm × 34.5 mm; DTSM1677G-1F </v>
      </c>
      <c r="K73" s="65" t="s">
        <v>140</v>
      </c>
      <c r="L73" s="65" t="s">
        <v>554</v>
      </c>
      <c r="M73" s="65" t="s">
        <v>526</v>
      </c>
      <c r="N73" s="63" t="s">
        <v>194</v>
      </c>
      <c r="O73" s="63" t="s">
        <v>194</v>
      </c>
      <c r="P73" s="67" t="s">
        <v>111</v>
      </c>
      <c r="Q73" s="67" t="s">
        <v>111</v>
      </c>
      <c r="R73" s="68" t="s">
        <v>257</v>
      </c>
      <c r="S73" s="62" t="s">
        <v>440</v>
      </c>
      <c r="T73" s="69" t="s">
        <v>93</v>
      </c>
      <c r="U73" s="69" t="s">
        <v>94</v>
      </c>
      <c r="V73" s="69" t="s">
        <v>555</v>
      </c>
      <c r="W73" s="69" t="s">
        <v>556</v>
      </c>
      <c r="X73" s="69" t="s">
        <v>198</v>
      </c>
      <c r="Y73" s="69" t="s">
        <v>557</v>
      </c>
      <c r="Z73" s="69" t="s">
        <v>616</v>
      </c>
      <c r="AA73" s="69" t="s">
        <v>149</v>
      </c>
      <c r="AB73" s="62" t="s">
        <v>511</v>
      </c>
      <c r="AC73" s="62" t="s">
        <v>97</v>
      </c>
      <c r="AD73" s="62" t="s">
        <v>511</v>
      </c>
      <c r="AE73" s="62" t="s">
        <v>97</v>
      </c>
      <c r="AF73" s="69" t="s">
        <v>79</v>
      </c>
      <c r="AG73" s="69" t="s">
        <v>75</v>
      </c>
      <c r="AH73" s="69" t="s">
        <v>76</v>
      </c>
      <c r="AI73" s="69" t="s">
        <v>76</v>
      </c>
      <c r="AJ73" s="69" t="s">
        <v>76</v>
      </c>
      <c r="AK73" s="69" t="s">
        <v>79</v>
      </c>
      <c r="AL73" s="69" t="s">
        <v>371</v>
      </c>
      <c r="AM73" s="69" t="s">
        <v>372</v>
      </c>
      <c r="AN73" s="69" t="s">
        <v>5</v>
      </c>
      <c r="AO73" s="69" t="s">
        <v>372</v>
      </c>
      <c r="AP73" s="62" t="s">
        <v>558</v>
      </c>
      <c r="AQ73" s="62" t="s">
        <v>559</v>
      </c>
      <c r="AR73" s="62" t="s">
        <v>515</v>
      </c>
      <c r="AS73" s="62" t="s">
        <v>515</v>
      </c>
      <c r="AT73" s="62" t="s">
        <v>516</v>
      </c>
      <c r="AU73" s="62" t="s">
        <v>516</v>
      </c>
      <c r="AV73" s="62" t="s">
        <v>132</v>
      </c>
      <c r="AW73" s="62" t="s">
        <v>205</v>
      </c>
      <c r="AX73" s="62" t="s">
        <v>156</v>
      </c>
      <c r="AY73" s="62" t="s">
        <v>615</v>
      </c>
      <c r="AZ73" s="62" t="s">
        <v>615</v>
      </c>
      <c r="BA73" s="62" t="s">
        <v>440</v>
      </c>
      <c r="BB73" s="62" t="s">
        <v>440</v>
      </c>
      <c r="BC73" s="69" t="s">
        <v>617</v>
      </c>
      <c r="BD73" s="69" t="s">
        <v>561</v>
      </c>
      <c r="BE73" s="69">
        <v>0.5</v>
      </c>
      <c r="BF73" s="62" t="s">
        <v>424</v>
      </c>
      <c r="BG73" s="62" t="s">
        <v>426</v>
      </c>
      <c r="BH73" s="62" t="s">
        <v>5</v>
      </c>
      <c r="BI73" s="62" t="s">
        <v>108</v>
      </c>
      <c r="BJ73" s="70" t="s">
        <v>165</v>
      </c>
      <c r="BK73" s="70" t="s">
        <v>208</v>
      </c>
      <c r="BL73" s="70" t="s">
        <v>562</v>
      </c>
      <c r="BM73" s="70" t="s">
        <v>562</v>
      </c>
      <c r="BN73" s="71" t="s">
        <v>109</v>
      </c>
      <c r="BO73" s="69" t="s">
        <v>563</v>
      </c>
      <c r="BP73" s="69" t="s">
        <v>564</v>
      </c>
      <c r="BQ73" s="69" t="s">
        <v>565</v>
      </c>
      <c r="BR73" s="69" t="s">
        <v>488</v>
      </c>
      <c r="BS73" s="69" t="s">
        <v>83</v>
      </c>
      <c r="BT73" s="72">
        <v>26.5</v>
      </c>
      <c r="BU73" s="72" t="str">
        <f>MID($BO$23,6,3)</f>
        <v>0.2</v>
      </c>
      <c r="BV73" s="72" t="e">
        <f t="shared" si="153"/>
        <v>#VALUE!</v>
      </c>
      <c r="BW73" s="72" t="e">
        <f t="shared" si="154"/>
        <v>#VALUE!</v>
      </c>
      <c r="BX73" s="72" t="e">
        <f t="shared" si="155"/>
        <v>#VALUE!</v>
      </c>
      <c r="BY73" s="72" t="e">
        <f t="shared" si="156"/>
        <v>#VALUE!</v>
      </c>
      <c r="BZ73" s="72" t="str">
        <f t="shared" si="157"/>
        <v>1.8</v>
      </c>
      <c r="CA73" s="72">
        <v>0.2</v>
      </c>
      <c r="CB73" s="74" t="e">
        <f>BZ73+(CA73*25%)</f>
        <v>#VALUE!</v>
      </c>
      <c r="CC73" s="74" t="str">
        <f>BZ73</f>
        <v>1.8</v>
      </c>
      <c r="CD73" s="74" t="e">
        <f>BZ73+(CA73*75%)</f>
        <v>#VALUE!</v>
      </c>
      <c r="CE73" s="72" t="e">
        <f t="shared" si="162"/>
        <v>#VALUE!</v>
      </c>
      <c r="CF73" s="72" t="str">
        <f t="shared" si="163"/>
        <v>3.7</v>
      </c>
      <c r="CG73" s="72" t="str">
        <f t="shared" si="164"/>
        <v>0.2</v>
      </c>
      <c r="CH73" s="61" t="e">
        <f t="shared" si="165"/>
        <v>#VALUE!</v>
      </c>
      <c r="CI73" s="72" t="e">
        <f t="shared" si="166"/>
        <v>#VALUE!</v>
      </c>
      <c r="CJ73" s="72" t="e">
        <f t="shared" si="167"/>
        <v>#VALUE!</v>
      </c>
      <c r="CK73" s="72" t="e">
        <f t="shared" si="168"/>
        <v>#VALUE!</v>
      </c>
      <c r="CL73" s="73" t="s">
        <v>713</v>
      </c>
    </row>
    <row r="74" spans="1:90" s="75" customFormat="1">
      <c r="A74" s="75" t="str">
        <f t="shared" si="151"/>
        <v>19-2</v>
      </c>
      <c r="B74" s="76">
        <v>19</v>
      </c>
      <c r="C74" s="76" t="s">
        <v>133</v>
      </c>
      <c r="D74" s="76" t="s">
        <v>566</v>
      </c>
      <c r="E74" s="50" t="s">
        <v>529</v>
      </c>
      <c r="F74" s="76" t="s">
        <v>530</v>
      </c>
      <c r="G74" s="77">
        <v>2</v>
      </c>
      <c r="H74" s="65" t="s">
        <v>191</v>
      </c>
      <c r="I74" s="66" t="s">
        <v>601</v>
      </c>
      <c r="J74" s="78" t="str">
        <f t="shared" si="152"/>
        <v xml:space="preserve">Hose, Radiator; Ø 30 mm × 38 mm; TSB5501G-1F </v>
      </c>
      <c r="K74" s="78" t="s">
        <v>140</v>
      </c>
      <c r="L74" s="76" t="s">
        <v>217</v>
      </c>
      <c r="M74" s="63" t="s">
        <v>193</v>
      </c>
      <c r="N74" s="79" t="s">
        <v>194</v>
      </c>
      <c r="O74" s="79" t="s">
        <v>194</v>
      </c>
      <c r="P74" s="80" t="s">
        <v>111</v>
      </c>
      <c r="Q74" s="80" t="s">
        <v>111</v>
      </c>
      <c r="R74" s="80" t="s">
        <v>572</v>
      </c>
      <c r="S74" s="76" t="s">
        <v>75</v>
      </c>
      <c r="T74" s="80" t="s">
        <v>93</v>
      </c>
      <c r="U74" s="80" t="s">
        <v>94</v>
      </c>
      <c r="V74" s="79" t="s">
        <v>367</v>
      </c>
      <c r="W74" s="79" t="s">
        <v>569</v>
      </c>
      <c r="X74" s="79" t="s">
        <v>618</v>
      </c>
      <c r="Y74" s="79" t="s">
        <v>619</v>
      </c>
      <c r="Z74" s="79" t="s">
        <v>599</v>
      </c>
      <c r="AA74" s="79" t="s">
        <v>149</v>
      </c>
      <c r="AB74" s="76" t="s">
        <v>511</v>
      </c>
      <c r="AC74" s="76" t="s">
        <v>97</v>
      </c>
      <c r="AD74" s="76" t="s">
        <v>511</v>
      </c>
      <c r="AE74" s="76" t="s">
        <v>97</v>
      </c>
      <c r="AF74" s="76" t="s">
        <v>79</v>
      </c>
      <c r="AG74" s="76" t="s">
        <v>75</v>
      </c>
      <c r="AH74" s="76" t="s">
        <v>76</v>
      </c>
      <c r="AI74" s="76" t="s">
        <v>76</v>
      </c>
      <c r="AJ74" s="76" t="s">
        <v>76</v>
      </c>
      <c r="AK74" s="76" t="s">
        <v>79</v>
      </c>
      <c r="AL74" s="76" t="s">
        <v>75</v>
      </c>
      <c r="AM74" s="76" t="s">
        <v>76</v>
      </c>
      <c r="AN74" s="76" t="s">
        <v>691</v>
      </c>
      <c r="AO74" s="76" t="s">
        <v>76</v>
      </c>
      <c r="AP74" s="76" t="s">
        <v>610</v>
      </c>
      <c r="AQ74" s="76" t="s">
        <v>620</v>
      </c>
      <c r="AR74" s="62" t="s">
        <v>515</v>
      </c>
      <c r="AS74" s="62" t="s">
        <v>515</v>
      </c>
      <c r="AT74" s="62" t="s">
        <v>516</v>
      </c>
      <c r="AU74" s="62" t="s">
        <v>516</v>
      </c>
      <c r="AV74" s="76" t="s">
        <v>132</v>
      </c>
      <c r="AW74" s="76" t="s">
        <v>205</v>
      </c>
      <c r="AX74" s="76" t="s">
        <v>156</v>
      </c>
      <c r="AY74" s="76" t="s">
        <v>573</v>
      </c>
      <c r="AZ74" s="76" t="s">
        <v>573</v>
      </c>
      <c r="BA74" s="76" t="s">
        <v>75</v>
      </c>
      <c r="BB74" s="76" t="s">
        <v>75</v>
      </c>
      <c r="BC74" s="76" t="s">
        <v>574</v>
      </c>
      <c r="BD74" s="76" t="s">
        <v>575</v>
      </c>
      <c r="BE74" s="76">
        <v>0.5</v>
      </c>
      <c r="BF74" s="76" t="s">
        <v>424</v>
      </c>
      <c r="BG74" s="76" t="s">
        <v>426</v>
      </c>
      <c r="BH74" s="76" t="s">
        <v>5</v>
      </c>
      <c r="BI74" s="76" t="s">
        <v>108</v>
      </c>
      <c r="BJ74" s="76" t="s">
        <v>5</v>
      </c>
      <c r="BK74" s="76" t="s">
        <v>268</v>
      </c>
      <c r="BL74" s="76" t="s">
        <v>575</v>
      </c>
      <c r="BM74" s="76" t="s">
        <v>575</v>
      </c>
      <c r="BN74" s="76" t="s">
        <v>576</v>
      </c>
      <c r="BO74" s="76" t="s">
        <v>582</v>
      </c>
      <c r="BP74" s="76" t="s">
        <v>437</v>
      </c>
      <c r="BQ74" s="76" t="s">
        <v>624</v>
      </c>
      <c r="BR74" s="76" t="s">
        <v>484</v>
      </c>
      <c r="BS74" s="76" t="s">
        <v>578</v>
      </c>
      <c r="BT74" s="75">
        <v>30.8</v>
      </c>
      <c r="BU74" s="75" t="str">
        <f>MID($BO$23,6,3)</f>
        <v>0.2</v>
      </c>
      <c r="BV74" s="75" t="e">
        <f t="shared" si="153"/>
        <v>#VALUE!</v>
      </c>
      <c r="BW74" s="75" t="e">
        <f t="shared" si="154"/>
        <v>#VALUE!</v>
      </c>
      <c r="BX74" s="75" t="e">
        <f t="shared" si="155"/>
        <v>#VALUE!</v>
      </c>
      <c r="BY74" s="75" t="e">
        <f t="shared" si="156"/>
        <v>#VALUE!</v>
      </c>
      <c r="BZ74" s="75" t="str">
        <f t="shared" si="157"/>
        <v>1.9</v>
      </c>
      <c r="CA74" s="75">
        <v>0.2</v>
      </c>
      <c r="CB74" s="75" t="e">
        <f>BZ74-0.1</f>
        <v>#VALUE!</v>
      </c>
      <c r="CC74" s="75" t="e">
        <f>BZ74-CA74</f>
        <v>#VALUE!</v>
      </c>
      <c r="CD74" s="75" t="e">
        <f>BZ74+0.1</f>
        <v>#VALUE!</v>
      </c>
      <c r="CE74" s="75" t="e">
        <f t="shared" si="162"/>
        <v>#VALUE!</v>
      </c>
      <c r="CF74" s="75" t="str">
        <f t="shared" si="163"/>
        <v>3.8</v>
      </c>
      <c r="CG74" s="75" t="str">
        <f t="shared" si="164"/>
        <v>0.2</v>
      </c>
      <c r="CH74" s="75" t="e">
        <f t="shared" si="165"/>
        <v>#VALUE!</v>
      </c>
      <c r="CI74" s="75" t="e">
        <f t="shared" si="166"/>
        <v>#VALUE!</v>
      </c>
      <c r="CJ74" s="75" t="e">
        <f t="shared" si="167"/>
        <v>#VALUE!</v>
      </c>
      <c r="CK74" s="75" t="e">
        <f t="shared" si="168"/>
        <v>#VALUE!</v>
      </c>
      <c r="CL74" s="75" t="s">
        <v>579</v>
      </c>
    </row>
    <row r="75" spans="1:90" s="73" customFormat="1">
      <c r="A75" s="61" t="str">
        <f t="shared" si="151"/>
        <v>3-6</v>
      </c>
      <c r="B75" s="62">
        <v>3</v>
      </c>
      <c r="C75" s="63" t="s">
        <v>133</v>
      </c>
      <c r="D75" s="62" t="s">
        <v>188</v>
      </c>
      <c r="E75" s="20" t="s">
        <v>189</v>
      </c>
      <c r="F75" s="62" t="s">
        <v>190</v>
      </c>
      <c r="G75" s="64">
        <v>6</v>
      </c>
      <c r="H75" s="65" t="s">
        <v>191</v>
      </c>
      <c r="I75" s="66" t="s">
        <v>601</v>
      </c>
      <c r="J75" s="65" t="str">
        <f t="shared" si="152"/>
        <v xml:space="preserve">Hose, Radiator; Ø 31 mm × 39 mm; TSB5501G-1F </v>
      </c>
      <c r="K75" s="65" t="s">
        <v>140</v>
      </c>
      <c r="L75" s="65" t="s">
        <v>192</v>
      </c>
      <c r="M75" s="65" t="s">
        <v>193</v>
      </c>
      <c r="N75" s="63" t="s">
        <v>194</v>
      </c>
      <c r="O75" s="63" t="s">
        <v>194</v>
      </c>
      <c r="P75" s="67" t="s">
        <v>111</v>
      </c>
      <c r="Q75" s="67" t="s">
        <v>111</v>
      </c>
      <c r="R75" s="68" t="s">
        <v>143</v>
      </c>
      <c r="S75" s="62" t="s">
        <v>441</v>
      </c>
      <c r="T75" s="69" t="s">
        <v>93</v>
      </c>
      <c r="U75" s="69" t="s">
        <v>94</v>
      </c>
      <c r="V75" s="69" t="s">
        <v>367</v>
      </c>
      <c r="W75" s="69" t="s">
        <v>569</v>
      </c>
      <c r="X75" s="69" t="s">
        <v>618</v>
      </c>
      <c r="Y75" s="69" t="s">
        <v>619</v>
      </c>
      <c r="Z75" s="79" t="s">
        <v>599</v>
      </c>
      <c r="AA75" s="69" t="s">
        <v>149</v>
      </c>
      <c r="AB75" s="62" t="s">
        <v>511</v>
      </c>
      <c r="AC75" s="62" t="s">
        <v>97</v>
      </c>
      <c r="AD75" s="62" t="s">
        <v>511</v>
      </c>
      <c r="AE75" s="62" t="s">
        <v>97</v>
      </c>
      <c r="AF75" s="69" t="s">
        <v>79</v>
      </c>
      <c r="AG75" s="69" t="s">
        <v>75</v>
      </c>
      <c r="AH75" s="69" t="s">
        <v>76</v>
      </c>
      <c r="AI75" s="69" t="s">
        <v>76</v>
      </c>
      <c r="AJ75" s="69" t="s">
        <v>76</v>
      </c>
      <c r="AK75" s="69" t="s">
        <v>79</v>
      </c>
      <c r="AL75" s="69" t="s">
        <v>371</v>
      </c>
      <c r="AM75" s="69" t="s">
        <v>372</v>
      </c>
      <c r="AN75" s="69" t="s">
        <v>5</v>
      </c>
      <c r="AO75" s="69" t="s">
        <v>372</v>
      </c>
      <c r="AP75" s="76" t="s">
        <v>610</v>
      </c>
      <c r="AQ75" s="76" t="s">
        <v>620</v>
      </c>
      <c r="AR75" s="62" t="s">
        <v>515</v>
      </c>
      <c r="AS75" s="62" t="s">
        <v>515</v>
      </c>
      <c r="AT75" s="62" t="s">
        <v>516</v>
      </c>
      <c r="AU75" s="62" t="s">
        <v>621</v>
      </c>
      <c r="AV75" s="62" t="s">
        <v>132</v>
      </c>
      <c r="AW75" s="62" t="s">
        <v>205</v>
      </c>
      <c r="AX75" s="62" t="s">
        <v>156</v>
      </c>
      <c r="AY75" s="62" t="s">
        <v>622</v>
      </c>
      <c r="AZ75" s="62" t="s">
        <v>622</v>
      </c>
      <c r="BA75" s="62" t="s">
        <v>441</v>
      </c>
      <c r="BB75" s="62" t="s">
        <v>441</v>
      </c>
      <c r="BC75" s="69" t="s">
        <v>623</v>
      </c>
      <c r="BD75" s="76" t="s">
        <v>575</v>
      </c>
      <c r="BE75" s="69">
        <v>0.5</v>
      </c>
      <c r="BF75" s="62" t="s">
        <v>424</v>
      </c>
      <c r="BG75" s="62" t="s">
        <v>426</v>
      </c>
      <c r="BH75" s="62" t="s">
        <v>5</v>
      </c>
      <c r="BI75" s="62" t="s">
        <v>108</v>
      </c>
      <c r="BJ75" s="70" t="s">
        <v>165</v>
      </c>
      <c r="BK75" s="70" t="s">
        <v>268</v>
      </c>
      <c r="BL75" s="76" t="s">
        <v>575</v>
      </c>
      <c r="BM75" s="76" t="s">
        <v>575</v>
      </c>
      <c r="BN75" s="76" t="s">
        <v>576</v>
      </c>
      <c r="BO75" s="69" t="s">
        <v>438</v>
      </c>
      <c r="BP75" s="69" t="s">
        <v>439</v>
      </c>
      <c r="BQ75" s="76" t="s">
        <v>624</v>
      </c>
      <c r="BR75" s="69" t="s">
        <v>484</v>
      </c>
      <c r="BS75" s="69" t="s">
        <v>83</v>
      </c>
      <c r="BT75" s="72">
        <v>31</v>
      </c>
      <c r="BU75" s="72" t="str">
        <f>MID($BO$22,6,3)</f>
        <v>0.2</v>
      </c>
      <c r="BV75" s="72" t="e">
        <f t="shared" si="153"/>
        <v>#VALUE!</v>
      </c>
      <c r="BW75" s="72" t="e">
        <f t="shared" si="154"/>
        <v>#VALUE!</v>
      </c>
      <c r="BX75" s="72" t="e">
        <f t="shared" si="155"/>
        <v>#VALUE!</v>
      </c>
      <c r="BY75" s="72" t="e">
        <f t="shared" si="156"/>
        <v>#VALUE!</v>
      </c>
      <c r="BZ75" s="72" t="str">
        <f t="shared" si="157"/>
        <v>1.9</v>
      </c>
      <c r="CA75" s="75">
        <v>0.2</v>
      </c>
      <c r="CB75" s="75" t="e">
        <f>BZ75-0.1</f>
        <v>#VALUE!</v>
      </c>
      <c r="CC75" s="75" t="e">
        <f>BZ75-CA75</f>
        <v>#VALUE!</v>
      </c>
      <c r="CD75" s="75" t="e">
        <f>BZ75+0.1</f>
        <v>#VALUE!</v>
      </c>
      <c r="CE75" s="72" t="e">
        <f>BZ75+CA75</f>
        <v>#VALUE!</v>
      </c>
      <c r="CF75" s="72" t="str">
        <f t="shared" si="163"/>
        <v>3.8</v>
      </c>
      <c r="CG75" s="72" t="str">
        <f t="shared" si="164"/>
        <v>0.2</v>
      </c>
      <c r="CH75" s="61" t="e">
        <f t="shared" si="165"/>
        <v>#VALUE!</v>
      </c>
      <c r="CI75" s="72" t="e">
        <f t="shared" si="166"/>
        <v>#VALUE!</v>
      </c>
      <c r="CJ75" s="72" t="e">
        <f t="shared" si="167"/>
        <v>#VALUE!</v>
      </c>
      <c r="CK75" s="72" t="e">
        <f t="shared" si="168"/>
        <v>#VALUE!</v>
      </c>
      <c r="CL75" s="73" t="s">
        <v>716</v>
      </c>
    </row>
    <row r="76" spans="1:90" s="28" customFormat="1">
      <c r="A76" s="19" t="str">
        <f t="shared" si="151"/>
        <v>2-5</v>
      </c>
      <c r="B76" s="20">
        <v>2</v>
      </c>
      <c r="C76" s="21" t="s">
        <v>133</v>
      </c>
      <c r="D76" s="20" t="s">
        <v>170</v>
      </c>
      <c r="E76" s="20" t="s">
        <v>171</v>
      </c>
      <c r="F76" s="20" t="s">
        <v>172</v>
      </c>
      <c r="G76" s="22">
        <v>5</v>
      </c>
      <c r="H76" s="23" t="s">
        <v>77</v>
      </c>
      <c r="I76" s="24" t="s">
        <v>626</v>
      </c>
      <c r="J76" s="23" t="str">
        <f t="shared" si="152"/>
        <v xml:space="preserve">Hose, Radiator; Ø 33 mm × 42 mm; TSB5501G-1E </v>
      </c>
      <c r="K76" s="23" t="s">
        <v>140</v>
      </c>
      <c r="L76" s="23" t="s">
        <v>173</v>
      </c>
      <c r="M76" s="23" t="s">
        <v>3</v>
      </c>
      <c r="N76" s="21" t="s">
        <v>142</v>
      </c>
      <c r="O76" s="21" t="s">
        <v>142</v>
      </c>
      <c r="P76" s="25" t="s">
        <v>111</v>
      </c>
      <c r="Q76" s="25" t="s">
        <v>111</v>
      </c>
      <c r="R76" s="40" t="s">
        <v>143</v>
      </c>
      <c r="S76" s="40" t="s">
        <v>371</v>
      </c>
      <c r="T76" s="26" t="s">
        <v>93</v>
      </c>
      <c r="U76" s="26" t="s">
        <v>94</v>
      </c>
      <c r="V76" s="26" t="s">
        <v>175</v>
      </c>
      <c r="W76" s="26" t="s">
        <v>198</v>
      </c>
      <c r="X76" s="26" t="s">
        <v>476</v>
      </c>
      <c r="Y76" s="26" t="s">
        <v>628</v>
      </c>
      <c r="Z76" s="26" t="s">
        <v>627</v>
      </c>
      <c r="AA76" s="26" t="s">
        <v>629</v>
      </c>
      <c r="AB76" s="20" t="s">
        <v>511</v>
      </c>
      <c r="AC76" s="20" t="s">
        <v>97</v>
      </c>
      <c r="AD76" s="20" t="s">
        <v>511</v>
      </c>
      <c r="AE76" s="20" t="s">
        <v>97</v>
      </c>
      <c r="AF76" s="26" t="s">
        <v>79</v>
      </c>
      <c r="AG76" s="26" t="s">
        <v>75</v>
      </c>
      <c r="AH76" s="26" t="s">
        <v>76</v>
      </c>
      <c r="AI76" s="26" t="s">
        <v>112</v>
      </c>
      <c r="AJ76" s="26" t="s">
        <v>76</v>
      </c>
      <c r="AK76" s="26" t="s">
        <v>79</v>
      </c>
      <c r="AL76" s="26" t="s">
        <v>75</v>
      </c>
      <c r="AM76" s="26" t="s">
        <v>112</v>
      </c>
      <c r="AN76" s="26" t="s">
        <v>5</v>
      </c>
      <c r="AO76" s="26" t="s">
        <v>76</v>
      </c>
      <c r="AP76" s="20" t="s">
        <v>630</v>
      </c>
      <c r="AQ76" s="20" t="s">
        <v>631</v>
      </c>
      <c r="AR76" s="20" t="s">
        <v>515</v>
      </c>
      <c r="AS76" s="20" t="s">
        <v>515</v>
      </c>
      <c r="AT76" s="20" t="s">
        <v>516</v>
      </c>
      <c r="AU76" s="20" t="s">
        <v>516</v>
      </c>
      <c r="AV76" s="20" t="s">
        <v>126</v>
      </c>
      <c r="AW76" s="20" t="s">
        <v>205</v>
      </c>
      <c r="AX76" s="20" t="s">
        <v>156</v>
      </c>
      <c r="AY76" s="20" t="s">
        <v>632</v>
      </c>
      <c r="AZ76" s="20" t="s">
        <v>632</v>
      </c>
      <c r="BA76" s="20" t="s">
        <v>371</v>
      </c>
      <c r="BB76" s="20" t="s">
        <v>371</v>
      </c>
      <c r="BC76" s="26" t="s">
        <v>633</v>
      </c>
      <c r="BD76" s="26" t="s">
        <v>634</v>
      </c>
      <c r="BE76" s="26">
        <v>0.5</v>
      </c>
      <c r="BF76" s="20" t="s">
        <v>424</v>
      </c>
      <c r="BG76" s="20" t="s">
        <v>426</v>
      </c>
      <c r="BH76" s="20" t="s">
        <v>5</v>
      </c>
      <c r="BI76" s="20" t="s">
        <v>108</v>
      </c>
      <c r="BJ76" s="27" t="s">
        <v>165</v>
      </c>
      <c r="BK76" s="27" t="s">
        <v>635</v>
      </c>
      <c r="BL76" s="26" t="s">
        <v>634</v>
      </c>
      <c r="BM76" s="26" t="s">
        <v>634</v>
      </c>
      <c r="BN76" s="41" t="s">
        <v>109</v>
      </c>
      <c r="BO76" s="26" t="s">
        <v>636</v>
      </c>
      <c r="BP76" s="26" t="s">
        <v>400</v>
      </c>
      <c r="BQ76" s="26" t="s">
        <v>481</v>
      </c>
      <c r="BR76" s="26" t="s">
        <v>482</v>
      </c>
      <c r="BS76" s="26" t="s">
        <v>83</v>
      </c>
      <c r="BT76" s="31" t="str">
        <f>MID($BO$9, 1, 4)</f>
        <v>33.0</v>
      </c>
      <c r="BU76" s="31" t="str">
        <f>MID($BO$9,6,3)</f>
        <v>0.2</v>
      </c>
      <c r="BV76" s="31" t="e">
        <f t="shared" si="153"/>
        <v>#VALUE!</v>
      </c>
      <c r="BW76" s="31" t="e">
        <f t="shared" si="154"/>
        <v>#VALUE!</v>
      </c>
      <c r="BX76" s="31" t="e">
        <f t="shared" si="155"/>
        <v>#VALUE!</v>
      </c>
      <c r="BY76" s="31" t="e">
        <f t="shared" si="156"/>
        <v>#VALUE!</v>
      </c>
      <c r="BZ76" s="31">
        <v>2.2999999999999998</v>
      </c>
      <c r="CA76" s="31" t="str">
        <f>MID(BQ76,5,3)</f>
        <v>0.2</v>
      </c>
      <c r="CB76" s="31" t="e">
        <f>BZ76-(CA76/2)</f>
        <v>#VALUE!</v>
      </c>
      <c r="CC76" s="31" t="e">
        <f>BZ76-CA76</f>
        <v>#VALUE!</v>
      </c>
      <c r="CD76" s="31" t="e">
        <f>BZ76+(CA76/2)</f>
        <v>#VALUE!</v>
      </c>
      <c r="CE76" s="31" t="e">
        <f>BZ76+CA76</f>
        <v>#VALUE!</v>
      </c>
      <c r="CF76" s="31">
        <v>4.7</v>
      </c>
      <c r="CG76" s="31" t="str">
        <f t="shared" si="164"/>
        <v>0.2</v>
      </c>
      <c r="CH76" s="19" t="e">
        <f t="shared" si="165"/>
        <v>#VALUE!</v>
      </c>
      <c r="CI76" s="31" t="e">
        <f t="shared" si="166"/>
        <v>#VALUE!</v>
      </c>
      <c r="CJ76" s="31" t="e">
        <f t="shared" si="167"/>
        <v>#VALUE!</v>
      </c>
      <c r="CK76" s="31" t="e">
        <f t="shared" si="168"/>
        <v>#VALUE!</v>
      </c>
      <c r="CL76" s="28" t="s">
        <v>717</v>
      </c>
    </row>
    <row r="77" spans="1:90" s="73" customFormat="1">
      <c r="A77" s="61" t="str">
        <f t="shared" ref="A77:A83" si="169">CONCATENATE(B77,"-",G77)</f>
        <v>2-6</v>
      </c>
      <c r="B77" s="62">
        <v>2</v>
      </c>
      <c r="C77" s="63" t="s">
        <v>133</v>
      </c>
      <c r="D77" s="62" t="s">
        <v>170</v>
      </c>
      <c r="E77" s="20" t="s">
        <v>171</v>
      </c>
      <c r="F77" s="62" t="s">
        <v>172</v>
      </c>
      <c r="G77" s="64">
        <v>6</v>
      </c>
      <c r="H77" s="65" t="s">
        <v>77</v>
      </c>
      <c r="I77" s="66" t="s">
        <v>640</v>
      </c>
      <c r="J77" s="65" t="str">
        <f t="shared" ref="J77:J80" si="170">CONCATENATE(K77,"; ",L77,"; ",M77," ")</f>
        <v xml:space="preserve">Hose, Radiator; Ø 33 mm × 42 mm; TSB5501G-1E </v>
      </c>
      <c r="K77" s="65" t="s">
        <v>140</v>
      </c>
      <c r="L77" s="65" t="s">
        <v>173</v>
      </c>
      <c r="M77" s="65" t="s">
        <v>3</v>
      </c>
      <c r="N77" s="63" t="s">
        <v>142</v>
      </c>
      <c r="O77" s="63" t="s">
        <v>142</v>
      </c>
      <c r="P77" s="67" t="s">
        <v>111</v>
      </c>
      <c r="Q77" s="67" t="s">
        <v>111</v>
      </c>
      <c r="R77" s="68" t="s">
        <v>143</v>
      </c>
      <c r="S77" s="68" t="s">
        <v>371</v>
      </c>
      <c r="T77" s="69" t="s">
        <v>93</v>
      </c>
      <c r="U77" s="69" t="s">
        <v>94</v>
      </c>
      <c r="V77" s="69" t="s">
        <v>175</v>
      </c>
      <c r="W77" s="69" t="s">
        <v>251</v>
      </c>
      <c r="X77" s="69" t="s">
        <v>696</v>
      </c>
      <c r="Y77" s="69" t="s">
        <v>697</v>
      </c>
      <c r="Z77" s="69" t="s">
        <v>637</v>
      </c>
      <c r="AA77" s="69" t="s">
        <v>629</v>
      </c>
      <c r="AB77" s="62" t="s">
        <v>511</v>
      </c>
      <c r="AC77" s="62" t="s">
        <v>97</v>
      </c>
      <c r="AD77" s="62" t="s">
        <v>511</v>
      </c>
      <c r="AE77" s="62" t="s">
        <v>97</v>
      </c>
      <c r="AF77" s="69" t="s">
        <v>79</v>
      </c>
      <c r="AG77" s="69" t="s">
        <v>75</v>
      </c>
      <c r="AH77" s="69" t="s">
        <v>76</v>
      </c>
      <c r="AI77" s="69" t="s">
        <v>112</v>
      </c>
      <c r="AJ77" s="69" t="s">
        <v>76</v>
      </c>
      <c r="AK77" s="69" t="s">
        <v>79</v>
      </c>
      <c r="AL77" s="69" t="s">
        <v>75</v>
      </c>
      <c r="AM77" s="69" t="s">
        <v>112</v>
      </c>
      <c r="AN77" s="69" t="s">
        <v>5</v>
      </c>
      <c r="AO77" s="69" t="s">
        <v>76</v>
      </c>
      <c r="AP77" s="62" t="s">
        <v>630</v>
      </c>
      <c r="AQ77" s="62" t="s">
        <v>631</v>
      </c>
      <c r="AR77" s="62" t="s">
        <v>515</v>
      </c>
      <c r="AS77" s="62" t="s">
        <v>515</v>
      </c>
      <c r="AT77" s="62" t="s">
        <v>516</v>
      </c>
      <c r="AU77" s="62" t="s">
        <v>516</v>
      </c>
      <c r="AV77" s="62" t="s">
        <v>126</v>
      </c>
      <c r="AW77" s="62" t="s">
        <v>205</v>
      </c>
      <c r="AX77" s="62" t="s">
        <v>156</v>
      </c>
      <c r="AY77" s="62" t="s">
        <v>632</v>
      </c>
      <c r="AZ77" s="62" t="s">
        <v>632</v>
      </c>
      <c r="BA77" s="62" t="s">
        <v>371</v>
      </c>
      <c r="BB77" s="62" t="s">
        <v>371</v>
      </c>
      <c r="BC77" s="69" t="s">
        <v>633</v>
      </c>
      <c r="BD77" s="69" t="s">
        <v>634</v>
      </c>
      <c r="BE77" s="69">
        <v>0.5</v>
      </c>
      <c r="BF77" s="62" t="s">
        <v>424</v>
      </c>
      <c r="BG77" s="62" t="s">
        <v>426</v>
      </c>
      <c r="BH77" s="62" t="s">
        <v>5</v>
      </c>
      <c r="BI77" s="62" t="s">
        <v>108</v>
      </c>
      <c r="BJ77" s="70" t="s">
        <v>165</v>
      </c>
      <c r="BK77" s="70" t="s">
        <v>635</v>
      </c>
      <c r="BL77" s="69" t="s">
        <v>634</v>
      </c>
      <c r="BM77" s="69" t="s">
        <v>634</v>
      </c>
      <c r="BN77" s="76" t="s">
        <v>576</v>
      </c>
      <c r="BO77" s="69" t="s">
        <v>641</v>
      </c>
      <c r="BP77" s="69" t="s">
        <v>400</v>
      </c>
      <c r="BQ77" s="69" t="s">
        <v>638</v>
      </c>
      <c r="BR77" s="69" t="s">
        <v>639</v>
      </c>
      <c r="BS77" s="69" t="s">
        <v>83</v>
      </c>
      <c r="BT77" s="72">
        <v>33.299999999999997</v>
      </c>
      <c r="BU77" s="72" t="str">
        <f>MID($BO$9,6,3)</f>
        <v>0.2</v>
      </c>
      <c r="BV77" s="72" t="e">
        <f t="shared" ref="BV77:BV83" si="171">BT77-(BU77/2)</f>
        <v>#VALUE!</v>
      </c>
      <c r="BW77" s="72" t="e">
        <f t="shared" ref="BW77:BW83" si="172">BT77-BU77</f>
        <v>#VALUE!</v>
      </c>
      <c r="BX77" s="72" t="e">
        <f t="shared" ref="BX77:BX83" si="173">BT77+(BU77/2)</f>
        <v>#VALUE!</v>
      </c>
      <c r="BY77" s="72" t="e">
        <f t="shared" ref="BY77:BY83" si="174">BT77+BU77</f>
        <v>#VALUE!</v>
      </c>
      <c r="BZ77" s="72">
        <v>2.2999999999999998</v>
      </c>
      <c r="CA77" s="72" t="str">
        <f>MID(BQ77,5,3)</f>
        <v>0.2</v>
      </c>
      <c r="CB77" s="72" t="e">
        <f>BZ77-(CA77/2)</f>
        <v>#VALUE!</v>
      </c>
      <c r="CC77" s="72" t="e">
        <f>BZ77-CA77</f>
        <v>#VALUE!</v>
      </c>
      <c r="CD77" s="72" t="e">
        <f>BZ77+(CA77/2)</f>
        <v>#VALUE!</v>
      </c>
      <c r="CE77" s="72" t="e">
        <f>BZ77+CA77</f>
        <v>#VALUE!</v>
      </c>
      <c r="CF77" s="72">
        <v>4.7</v>
      </c>
      <c r="CG77" s="72" t="str">
        <f t="shared" ref="CG77:CG80" si="175">MID(BR77,5,3)</f>
        <v>0.2</v>
      </c>
      <c r="CH77" s="61" t="e">
        <f t="shared" ref="CH77:CH80" si="176">CF77-(CG77/2)</f>
        <v>#VALUE!</v>
      </c>
      <c r="CI77" s="72" t="e">
        <f t="shared" ref="CI77:CI80" si="177">CF77-CG77</f>
        <v>#VALUE!</v>
      </c>
      <c r="CJ77" s="72" t="e">
        <f t="shared" ref="CJ77:CJ80" si="178">CF77+(CG77/2)</f>
        <v>#VALUE!</v>
      </c>
      <c r="CK77" s="72" t="e">
        <f t="shared" ref="CK77:CK80" si="179">CF77+CG77</f>
        <v>#VALUE!</v>
      </c>
      <c r="CL77" s="73" t="s">
        <v>717</v>
      </c>
    </row>
    <row r="78" spans="1:90" s="73" customFormat="1">
      <c r="A78" s="61" t="str">
        <f t="shared" si="169"/>
        <v>10-7</v>
      </c>
      <c r="B78" s="62">
        <v>10</v>
      </c>
      <c r="C78" s="63" t="s">
        <v>133</v>
      </c>
      <c r="D78" s="62" t="s">
        <v>301</v>
      </c>
      <c r="E78" s="20" t="s">
        <v>302</v>
      </c>
      <c r="F78" s="62" t="s">
        <v>303</v>
      </c>
      <c r="G78" s="64">
        <v>7</v>
      </c>
      <c r="H78" s="65" t="s">
        <v>304</v>
      </c>
      <c r="I78" s="66" t="s">
        <v>642</v>
      </c>
      <c r="J78" s="65" t="str">
        <f t="shared" si="170"/>
        <v xml:space="preserve">Hose, Water By-Pass; Ø 13 mm × 21 mm; TSB5501G-1F </v>
      </c>
      <c r="K78" s="65" t="s">
        <v>255</v>
      </c>
      <c r="L78" s="65" t="s">
        <v>305</v>
      </c>
      <c r="M78" s="65" t="s">
        <v>193</v>
      </c>
      <c r="N78" s="63" t="s">
        <v>194</v>
      </c>
      <c r="O78" s="63" t="s">
        <v>194</v>
      </c>
      <c r="P78" s="67" t="s">
        <v>111</v>
      </c>
      <c r="Q78" s="67" t="s">
        <v>111</v>
      </c>
      <c r="R78" s="68" t="s">
        <v>257</v>
      </c>
      <c r="S78" s="62" t="s">
        <v>589</v>
      </c>
      <c r="T78" s="69" t="s">
        <v>93</v>
      </c>
      <c r="U78" s="69" t="s">
        <v>94</v>
      </c>
      <c r="V78" s="69" t="s">
        <v>307</v>
      </c>
      <c r="W78" s="69" t="s">
        <v>407</v>
      </c>
      <c r="X78" s="69" t="s">
        <v>643</v>
      </c>
      <c r="Y78" s="69" t="s">
        <v>296</v>
      </c>
      <c r="Z78" s="69" t="s">
        <v>585</v>
      </c>
      <c r="AA78" s="69" t="s">
        <v>625</v>
      </c>
      <c r="AB78" s="62" t="s">
        <v>511</v>
      </c>
      <c r="AC78" s="62" t="s">
        <v>97</v>
      </c>
      <c r="AD78" s="62" t="s">
        <v>511</v>
      </c>
      <c r="AE78" s="62" t="s">
        <v>97</v>
      </c>
      <c r="AF78" s="69" t="s">
        <v>79</v>
      </c>
      <c r="AG78" s="69" t="s">
        <v>75</v>
      </c>
      <c r="AH78" s="69" t="s">
        <v>76</v>
      </c>
      <c r="AI78" s="69" t="s">
        <v>76</v>
      </c>
      <c r="AJ78" s="69" t="s">
        <v>76</v>
      </c>
      <c r="AK78" s="69" t="s">
        <v>79</v>
      </c>
      <c r="AL78" s="69" t="s">
        <v>371</v>
      </c>
      <c r="AM78" s="69" t="s">
        <v>76</v>
      </c>
      <c r="AN78" s="69" t="s">
        <v>5</v>
      </c>
      <c r="AO78" s="69" t="s">
        <v>76</v>
      </c>
      <c r="AP78" s="62" t="s">
        <v>586</v>
      </c>
      <c r="AQ78" s="62" t="s">
        <v>587</v>
      </c>
      <c r="AR78" s="62" t="s">
        <v>515</v>
      </c>
      <c r="AS78" s="62" t="s">
        <v>515</v>
      </c>
      <c r="AT78" s="62" t="s">
        <v>516</v>
      </c>
      <c r="AU78" s="62" t="s">
        <v>516</v>
      </c>
      <c r="AV78" s="62" t="s">
        <v>126</v>
      </c>
      <c r="AW78" s="62" t="s">
        <v>156</v>
      </c>
      <c r="AX78" s="62" t="s">
        <v>156</v>
      </c>
      <c r="AY78" s="62" t="s">
        <v>604</v>
      </c>
      <c r="AZ78" s="62" t="s">
        <v>604</v>
      </c>
      <c r="BA78" s="62" t="s">
        <v>589</v>
      </c>
      <c r="BB78" s="62" t="s">
        <v>589</v>
      </c>
      <c r="BC78" s="69" t="s">
        <v>590</v>
      </c>
      <c r="BD78" s="69" t="s">
        <v>591</v>
      </c>
      <c r="BE78" s="69">
        <v>0.5</v>
      </c>
      <c r="BF78" s="62" t="s">
        <v>424</v>
      </c>
      <c r="BG78" s="62" t="s">
        <v>426</v>
      </c>
      <c r="BH78" s="62" t="s">
        <v>5</v>
      </c>
      <c r="BI78" s="62" t="s">
        <v>108</v>
      </c>
      <c r="BJ78" s="70" t="s">
        <v>165</v>
      </c>
      <c r="BK78" s="70" t="s">
        <v>316</v>
      </c>
      <c r="BL78" s="70" t="s">
        <v>592</v>
      </c>
      <c r="BM78" s="70" t="s">
        <v>592</v>
      </c>
      <c r="BN78" s="76" t="s">
        <v>576</v>
      </c>
      <c r="BO78" s="69" t="s">
        <v>593</v>
      </c>
      <c r="BP78" s="69" t="s">
        <v>408</v>
      </c>
      <c r="BQ78" s="69" t="s">
        <v>318</v>
      </c>
      <c r="BR78" s="69" t="s">
        <v>488</v>
      </c>
      <c r="BS78" s="69" t="s">
        <v>83</v>
      </c>
      <c r="BT78" s="72">
        <v>13.2</v>
      </c>
      <c r="BU78" s="72" t="str">
        <f>MID($BO$27,6,3)</f>
        <v>0.1</v>
      </c>
      <c r="BV78" s="72" t="e">
        <f t="shared" si="171"/>
        <v>#VALUE!</v>
      </c>
      <c r="BW78" s="72" t="e">
        <f t="shared" si="172"/>
        <v>#VALUE!</v>
      </c>
      <c r="BX78" s="72" t="e">
        <f t="shared" si="173"/>
        <v>#VALUE!</v>
      </c>
      <c r="BY78" s="72" t="e">
        <f t="shared" si="174"/>
        <v>#VALUE!</v>
      </c>
      <c r="BZ78" s="72" t="str">
        <f t="shared" ref="BZ78:BZ83" si="180">MID(BQ78,1,3)</f>
        <v>1.9</v>
      </c>
      <c r="CA78" s="72" t="str">
        <f t="shared" ref="CA78:CA81" si="181">MID(BQ78,5,3)</f>
        <v>0.1</v>
      </c>
      <c r="CB78" s="72" t="e">
        <f t="shared" ref="CB78:CB81" si="182">BZ78-(CA78/2)</f>
        <v>#VALUE!</v>
      </c>
      <c r="CC78" s="72" t="e">
        <f t="shared" ref="CC78:CC81" si="183">BZ78-CA78</f>
        <v>#VALUE!</v>
      </c>
      <c r="CD78" s="72" t="e">
        <f t="shared" ref="CD78:CD81" si="184">BZ78+(CA78/2)</f>
        <v>#VALUE!</v>
      </c>
      <c r="CE78" s="72" t="e">
        <f t="shared" ref="CE78:CE81" si="185">BZ78+CA78</f>
        <v>#VALUE!</v>
      </c>
      <c r="CF78" s="72" t="str">
        <f t="shared" ref="CF78:CF81" si="186">MID(BR78,1,3)</f>
        <v>3.7</v>
      </c>
      <c r="CG78" s="72" t="str">
        <f t="shared" si="175"/>
        <v>0.2</v>
      </c>
      <c r="CH78" s="61" t="e">
        <f t="shared" si="176"/>
        <v>#VALUE!</v>
      </c>
      <c r="CI78" s="72" t="e">
        <f t="shared" si="177"/>
        <v>#VALUE!</v>
      </c>
      <c r="CJ78" s="72" t="e">
        <f t="shared" si="178"/>
        <v>#VALUE!</v>
      </c>
      <c r="CK78" s="72" t="e">
        <f t="shared" si="179"/>
        <v>#VALUE!</v>
      </c>
      <c r="CL78" s="73" t="s">
        <v>722</v>
      </c>
    </row>
    <row r="79" spans="1:90" s="73" customFormat="1">
      <c r="A79" s="61" t="str">
        <f t="shared" si="169"/>
        <v>21-1</v>
      </c>
      <c r="B79" s="62">
        <v>21</v>
      </c>
      <c r="C79" s="63" t="s">
        <v>133</v>
      </c>
      <c r="D79" s="62"/>
      <c r="E79" s="20" t="s">
        <v>253</v>
      </c>
      <c r="F79" s="62" t="s">
        <v>254</v>
      </c>
      <c r="G79" s="64">
        <v>1</v>
      </c>
      <c r="H79" s="65" t="s">
        <v>191</v>
      </c>
      <c r="I79" s="66" t="s">
        <v>644</v>
      </c>
      <c r="J79" s="65" t="str">
        <f t="shared" si="170"/>
        <v xml:space="preserve">Hose, Water By-Pass; Ø 21 mm × 29 mm; TSB5501G-1F </v>
      </c>
      <c r="K79" s="65" t="s">
        <v>255</v>
      </c>
      <c r="L79" s="65" t="s">
        <v>256</v>
      </c>
      <c r="M79" s="65" t="s">
        <v>193</v>
      </c>
      <c r="N79" s="63" t="s">
        <v>194</v>
      </c>
      <c r="O79" s="63" t="s">
        <v>194</v>
      </c>
      <c r="P79" s="67" t="s">
        <v>111</v>
      </c>
      <c r="Q79" s="67" t="s">
        <v>111</v>
      </c>
      <c r="R79" s="68" t="s">
        <v>257</v>
      </c>
      <c r="S79" s="62" t="s">
        <v>446</v>
      </c>
      <c r="T79" s="69" t="s">
        <v>93</v>
      </c>
      <c r="U79" s="69" t="s">
        <v>94</v>
      </c>
      <c r="V79" s="69" t="s">
        <v>646</v>
      </c>
      <c r="W79" s="69" t="s">
        <v>645</v>
      </c>
      <c r="X79" s="69" t="s">
        <v>647</v>
      </c>
      <c r="Y79" s="69" t="s">
        <v>648</v>
      </c>
      <c r="Z79" s="69" t="s">
        <v>650</v>
      </c>
      <c r="AA79" s="69" t="s">
        <v>649</v>
      </c>
      <c r="AB79" s="62" t="s">
        <v>511</v>
      </c>
      <c r="AC79" s="62" t="s">
        <v>97</v>
      </c>
      <c r="AD79" s="62" t="s">
        <v>511</v>
      </c>
      <c r="AE79" s="62" t="s">
        <v>97</v>
      </c>
      <c r="AF79" s="69" t="s">
        <v>79</v>
      </c>
      <c r="AG79" s="69" t="s">
        <v>75</v>
      </c>
      <c r="AH79" s="69" t="s">
        <v>76</v>
      </c>
      <c r="AI79" s="69" t="s">
        <v>76</v>
      </c>
      <c r="AJ79" s="69" t="s">
        <v>76</v>
      </c>
      <c r="AK79" s="69" t="s">
        <v>79</v>
      </c>
      <c r="AL79" s="69" t="s">
        <v>371</v>
      </c>
      <c r="AM79" s="69" t="s">
        <v>76</v>
      </c>
      <c r="AN79" s="69" t="s">
        <v>5</v>
      </c>
      <c r="AO79" s="69" t="s">
        <v>76</v>
      </c>
      <c r="AP79" s="62" t="s">
        <v>610</v>
      </c>
      <c r="AQ79" s="62" t="s">
        <v>614</v>
      </c>
      <c r="AR79" s="62" t="s">
        <v>515</v>
      </c>
      <c r="AS79" s="62" t="s">
        <v>515</v>
      </c>
      <c r="AT79" s="62" t="s">
        <v>516</v>
      </c>
      <c r="AU79" s="62" t="s">
        <v>516</v>
      </c>
      <c r="AV79" s="62" t="s">
        <v>126</v>
      </c>
      <c r="AW79" s="62" t="s">
        <v>156</v>
      </c>
      <c r="AX79" s="62" t="s">
        <v>156</v>
      </c>
      <c r="AY79" s="62" t="s">
        <v>611</v>
      </c>
      <c r="AZ79" s="62" t="s">
        <v>611</v>
      </c>
      <c r="BA79" s="62" t="s">
        <v>446</v>
      </c>
      <c r="BB79" s="62" t="s">
        <v>446</v>
      </c>
      <c r="BC79" s="69" t="s">
        <v>651</v>
      </c>
      <c r="BD79" s="69" t="s">
        <v>652</v>
      </c>
      <c r="BE79" s="69">
        <v>0.5</v>
      </c>
      <c r="BF79" s="62" t="s">
        <v>424</v>
      </c>
      <c r="BG79" s="62" t="s">
        <v>426</v>
      </c>
      <c r="BH79" s="62" t="s">
        <v>5</v>
      </c>
      <c r="BI79" s="62" t="s">
        <v>108</v>
      </c>
      <c r="BJ79" s="70" t="s">
        <v>165</v>
      </c>
      <c r="BK79" s="70" t="s">
        <v>653</v>
      </c>
      <c r="BL79" s="69" t="s">
        <v>652</v>
      </c>
      <c r="BM79" s="69" t="s">
        <v>652</v>
      </c>
      <c r="BN79" s="76" t="s">
        <v>576</v>
      </c>
      <c r="BO79" s="69" t="s">
        <v>404</v>
      </c>
      <c r="BP79" s="69" t="s">
        <v>251</v>
      </c>
      <c r="BQ79" s="69" t="s">
        <v>168</v>
      </c>
      <c r="BR79" s="69" t="s">
        <v>654</v>
      </c>
      <c r="BS79" s="69" t="s">
        <v>83</v>
      </c>
      <c r="BT79" s="72">
        <v>21</v>
      </c>
      <c r="BU79" s="72" t="str">
        <f>MID($BO$25,6,3)</f>
        <v>0.2</v>
      </c>
      <c r="BV79" s="72" t="e">
        <f t="shared" si="171"/>
        <v>#VALUE!</v>
      </c>
      <c r="BW79" s="72" t="e">
        <f t="shared" si="172"/>
        <v>#VALUE!</v>
      </c>
      <c r="BX79" s="72" t="e">
        <f t="shared" si="173"/>
        <v>#VALUE!</v>
      </c>
      <c r="BY79" s="72" t="e">
        <f t="shared" si="174"/>
        <v>#VALUE!</v>
      </c>
      <c r="BZ79" s="72" t="str">
        <f t="shared" si="180"/>
        <v>2.2</v>
      </c>
      <c r="CA79" s="72" t="str">
        <f t="shared" si="181"/>
        <v>0.1</v>
      </c>
      <c r="CB79" s="72" t="e">
        <f t="shared" si="182"/>
        <v>#VALUE!</v>
      </c>
      <c r="CC79" s="72" t="e">
        <f t="shared" si="183"/>
        <v>#VALUE!</v>
      </c>
      <c r="CD79" s="72" t="e">
        <f t="shared" si="184"/>
        <v>#VALUE!</v>
      </c>
      <c r="CE79" s="72" t="e">
        <f t="shared" si="185"/>
        <v>#VALUE!</v>
      </c>
      <c r="CF79" s="72" t="str">
        <f t="shared" si="186"/>
        <v>4.0</v>
      </c>
      <c r="CG79" s="72" t="str">
        <f t="shared" si="175"/>
        <v>0.2</v>
      </c>
      <c r="CH79" s="61" t="e">
        <f t="shared" si="176"/>
        <v>#VALUE!</v>
      </c>
      <c r="CI79" s="72" t="e">
        <f t="shared" si="177"/>
        <v>#VALUE!</v>
      </c>
      <c r="CJ79" s="72" t="e">
        <f t="shared" si="178"/>
        <v>#VALUE!</v>
      </c>
      <c r="CK79" s="72" t="e">
        <f t="shared" si="179"/>
        <v>#VALUE!</v>
      </c>
      <c r="CL79" s="73" t="s">
        <v>727</v>
      </c>
    </row>
    <row r="80" spans="1:90" s="73" customFormat="1">
      <c r="A80" s="61" t="str">
        <f t="shared" si="169"/>
        <v>20-1</v>
      </c>
      <c r="B80" s="62">
        <v>20</v>
      </c>
      <c r="C80" s="63" t="s">
        <v>133</v>
      </c>
      <c r="D80" s="62" t="s">
        <v>433</v>
      </c>
      <c r="E80" s="20" t="s">
        <v>434</v>
      </c>
      <c r="F80" s="62" t="s">
        <v>435</v>
      </c>
      <c r="G80" s="64">
        <v>1</v>
      </c>
      <c r="H80" s="65" t="s">
        <v>191</v>
      </c>
      <c r="I80" s="66" t="s">
        <v>644</v>
      </c>
      <c r="J80" s="65" t="str">
        <f t="shared" si="170"/>
        <v xml:space="preserve">Hose, Water By-Pass; Ø 7.5 mm × 14.5 mm; TSB5501G-1F </v>
      </c>
      <c r="K80" s="65" t="s">
        <v>255</v>
      </c>
      <c r="L80" s="65" t="s">
        <v>344</v>
      </c>
      <c r="M80" s="63" t="s">
        <v>193</v>
      </c>
      <c r="N80" s="79" t="s">
        <v>194</v>
      </c>
      <c r="O80" s="79" t="s">
        <v>194</v>
      </c>
      <c r="P80" s="67" t="s">
        <v>111</v>
      </c>
      <c r="Q80" s="67" t="s">
        <v>111</v>
      </c>
      <c r="R80" s="68" t="s">
        <v>325</v>
      </c>
      <c r="S80" s="62" t="s">
        <v>655</v>
      </c>
      <c r="T80" s="69" t="s">
        <v>93</v>
      </c>
      <c r="U80" s="69" t="s">
        <v>94</v>
      </c>
      <c r="V80" s="69" t="s">
        <v>656</v>
      </c>
      <c r="W80" s="69" t="s">
        <v>657</v>
      </c>
      <c r="X80" s="69" t="s">
        <v>658</v>
      </c>
      <c r="Y80" s="69" t="s">
        <v>659</v>
      </c>
      <c r="Z80" s="69" t="s">
        <v>660</v>
      </c>
      <c r="AA80" s="69" t="s">
        <v>661</v>
      </c>
      <c r="AB80" s="62" t="s">
        <v>511</v>
      </c>
      <c r="AC80" s="62" t="s">
        <v>97</v>
      </c>
      <c r="AD80" s="62" t="s">
        <v>511</v>
      </c>
      <c r="AE80" s="62" t="s">
        <v>97</v>
      </c>
      <c r="AF80" s="69" t="s">
        <v>79</v>
      </c>
      <c r="AG80" s="69" t="s">
        <v>75</v>
      </c>
      <c r="AH80" s="69" t="s">
        <v>76</v>
      </c>
      <c r="AI80" s="69" t="s">
        <v>112</v>
      </c>
      <c r="AJ80" s="69" t="s">
        <v>76</v>
      </c>
      <c r="AK80" s="69" t="s">
        <v>79</v>
      </c>
      <c r="AL80" s="69" t="s">
        <v>363</v>
      </c>
      <c r="AM80" s="69" t="s">
        <v>363</v>
      </c>
      <c r="AN80" s="69" t="s">
        <v>5</v>
      </c>
      <c r="AO80" s="69" t="s">
        <v>363</v>
      </c>
      <c r="AP80" s="62" t="s">
        <v>351</v>
      </c>
      <c r="AQ80" s="62" t="s">
        <v>352</v>
      </c>
      <c r="AR80" s="62" t="s">
        <v>515</v>
      </c>
      <c r="AS80" s="62" t="s">
        <v>515</v>
      </c>
      <c r="AT80" s="62" t="s">
        <v>516</v>
      </c>
      <c r="AU80" s="62" t="s">
        <v>516</v>
      </c>
      <c r="AV80" s="62" t="s">
        <v>126</v>
      </c>
      <c r="AW80" s="62" t="s">
        <v>156</v>
      </c>
      <c r="AX80" s="62" t="s">
        <v>156</v>
      </c>
      <c r="AY80" s="62" t="s">
        <v>662</v>
      </c>
      <c r="AZ80" s="62" t="s">
        <v>662</v>
      </c>
      <c r="BA80" s="62" t="s">
        <v>655</v>
      </c>
      <c r="BB80" s="62" t="s">
        <v>655</v>
      </c>
      <c r="BC80" s="69" t="s">
        <v>663</v>
      </c>
      <c r="BD80" s="69" t="s">
        <v>652</v>
      </c>
      <c r="BE80" s="69">
        <v>0.5</v>
      </c>
      <c r="BF80" s="62" t="s">
        <v>5</v>
      </c>
      <c r="BG80" s="62" t="s">
        <v>5</v>
      </c>
      <c r="BH80" s="62" t="s">
        <v>5</v>
      </c>
      <c r="BI80" s="62" t="s">
        <v>108</v>
      </c>
      <c r="BJ80" s="70" t="s">
        <v>165</v>
      </c>
      <c r="BK80" s="70" t="s">
        <v>357</v>
      </c>
      <c r="BL80" s="69" t="s">
        <v>652</v>
      </c>
      <c r="BM80" s="69" t="s">
        <v>652</v>
      </c>
      <c r="BN80" s="76" t="s">
        <v>576</v>
      </c>
      <c r="BO80" s="69" t="s">
        <v>637</v>
      </c>
      <c r="BP80" s="69" t="s">
        <v>362</v>
      </c>
      <c r="BQ80" s="69" t="s">
        <v>360</v>
      </c>
      <c r="BR80" s="69" t="s">
        <v>664</v>
      </c>
      <c r="BS80" s="69" t="s">
        <v>83</v>
      </c>
      <c r="BT80" s="72">
        <v>7.6</v>
      </c>
      <c r="BU80" s="72" t="str">
        <f>MID($BO$25,6,3)</f>
        <v>0.2</v>
      </c>
      <c r="BV80" s="72" t="e">
        <f t="shared" si="171"/>
        <v>#VALUE!</v>
      </c>
      <c r="BW80" s="72" t="e">
        <f t="shared" si="172"/>
        <v>#VALUE!</v>
      </c>
      <c r="BX80" s="72" t="e">
        <f t="shared" si="173"/>
        <v>#VALUE!</v>
      </c>
      <c r="BY80" s="72" t="e">
        <f t="shared" si="174"/>
        <v>#VALUE!</v>
      </c>
      <c r="BZ80" s="72" t="str">
        <f t="shared" si="180"/>
        <v>1.6</v>
      </c>
      <c r="CA80" s="72" t="str">
        <f t="shared" si="181"/>
        <v>0.1</v>
      </c>
      <c r="CB80" s="72" t="e">
        <f t="shared" si="182"/>
        <v>#VALUE!</v>
      </c>
      <c r="CC80" s="72" t="e">
        <f t="shared" si="183"/>
        <v>#VALUE!</v>
      </c>
      <c r="CD80" s="72" t="e">
        <f t="shared" si="184"/>
        <v>#VALUE!</v>
      </c>
      <c r="CE80" s="72" t="e">
        <f t="shared" si="185"/>
        <v>#VALUE!</v>
      </c>
      <c r="CF80" s="72" t="str">
        <f t="shared" si="186"/>
        <v>3.2</v>
      </c>
      <c r="CG80" s="72" t="str">
        <f t="shared" si="175"/>
        <v>0.2</v>
      </c>
      <c r="CH80" s="61" t="e">
        <f t="shared" si="176"/>
        <v>#VALUE!</v>
      </c>
      <c r="CI80" s="72" t="e">
        <f t="shared" si="177"/>
        <v>#VALUE!</v>
      </c>
      <c r="CJ80" s="72" t="e">
        <f t="shared" si="178"/>
        <v>#VALUE!</v>
      </c>
      <c r="CK80" s="72" t="e">
        <f t="shared" si="179"/>
        <v>#VALUE!</v>
      </c>
      <c r="CL80" s="73" t="s">
        <v>729</v>
      </c>
    </row>
    <row r="81" spans="1:90" s="73" customFormat="1">
      <c r="A81" s="61" t="str">
        <f t="shared" si="169"/>
        <v>12-6</v>
      </c>
      <c r="B81" s="62">
        <v>12</v>
      </c>
      <c r="C81" s="63" t="s">
        <v>133</v>
      </c>
      <c r="D81" s="62" t="s">
        <v>321</v>
      </c>
      <c r="E81" s="20" t="s">
        <v>322</v>
      </c>
      <c r="F81" s="62" t="s">
        <v>323</v>
      </c>
      <c r="G81" s="64">
        <v>6</v>
      </c>
      <c r="H81" s="65" t="s">
        <v>77</v>
      </c>
      <c r="I81" s="66" t="s">
        <v>644</v>
      </c>
      <c r="J81" s="65" t="str">
        <f>CONCATENATE(K81,"; ",L81,"; ",M81," ")</f>
        <v xml:space="preserve">Hose, Water By-Pass; Ø 11 mm × 18 mm; TSB5501G-1E </v>
      </c>
      <c r="K81" s="65" t="s">
        <v>255</v>
      </c>
      <c r="L81" s="65" t="s">
        <v>324</v>
      </c>
      <c r="M81" s="65" t="s">
        <v>3</v>
      </c>
      <c r="N81" s="63" t="s">
        <v>142</v>
      </c>
      <c r="O81" s="63" t="s">
        <v>142</v>
      </c>
      <c r="P81" s="67" t="s">
        <v>111</v>
      </c>
      <c r="Q81" s="67" t="s">
        <v>111</v>
      </c>
      <c r="R81" s="68" t="s">
        <v>325</v>
      </c>
      <c r="S81" s="62" t="s">
        <v>665</v>
      </c>
      <c r="T81" s="69" t="s">
        <v>93</v>
      </c>
      <c r="U81" s="69" t="s">
        <v>94</v>
      </c>
      <c r="V81" s="69" t="s">
        <v>666</v>
      </c>
      <c r="W81" s="69" t="s">
        <v>667</v>
      </c>
      <c r="X81" s="69" t="s">
        <v>353</v>
      </c>
      <c r="Y81" s="69" t="s">
        <v>668</v>
      </c>
      <c r="Z81" s="69" t="s">
        <v>650</v>
      </c>
      <c r="AA81" s="69" t="s">
        <v>669</v>
      </c>
      <c r="AB81" s="62" t="s">
        <v>511</v>
      </c>
      <c r="AC81" s="62" t="s">
        <v>97</v>
      </c>
      <c r="AD81" s="62" t="s">
        <v>511</v>
      </c>
      <c r="AE81" s="62" t="s">
        <v>97</v>
      </c>
      <c r="AF81" s="69" t="s">
        <v>79</v>
      </c>
      <c r="AG81" s="69" t="s">
        <v>75</v>
      </c>
      <c r="AH81" s="69" t="s">
        <v>76</v>
      </c>
      <c r="AI81" s="69" t="s">
        <v>112</v>
      </c>
      <c r="AJ81" s="69" t="s">
        <v>76</v>
      </c>
      <c r="AK81" s="69" t="s">
        <v>79</v>
      </c>
      <c r="AL81" s="69" t="s">
        <v>363</v>
      </c>
      <c r="AM81" s="69" t="s">
        <v>112</v>
      </c>
      <c r="AN81" s="69" t="s">
        <v>5</v>
      </c>
      <c r="AO81" s="69" t="s">
        <v>363</v>
      </c>
      <c r="AP81" s="62" t="s">
        <v>670</v>
      </c>
      <c r="AQ81" s="62" t="s">
        <v>310</v>
      </c>
      <c r="AR81" s="62" t="s">
        <v>515</v>
      </c>
      <c r="AS81" s="62" t="s">
        <v>515</v>
      </c>
      <c r="AT81" s="62" t="s">
        <v>516</v>
      </c>
      <c r="AU81" s="62" t="s">
        <v>516</v>
      </c>
      <c r="AV81" s="62" t="s">
        <v>335</v>
      </c>
      <c r="AW81" s="62" t="s">
        <v>156</v>
      </c>
      <c r="AX81" s="62" t="s">
        <v>156</v>
      </c>
      <c r="AY81" s="62" t="s">
        <v>336</v>
      </c>
      <c r="AZ81" s="62" t="s">
        <v>336</v>
      </c>
      <c r="BA81" s="62" t="s">
        <v>665</v>
      </c>
      <c r="BB81" s="62" t="s">
        <v>665</v>
      </c>
      <c r="BC81" s="69" t="s">
        <v>671</v>
      </c>
      <c r="BD81" s="69" t="s">
        <v>592</v>
      </c>
      <c r="BE81" s="69">
        <v>0.5</v>
      </c>
      <c r="BF81" s="62" t="s">
        <v>5</v>
      </c>
      <c r="BG81" s="62" t="s">
        <v>5</v>
      </c>
      <c r="BH81" s="62" t="s">
        <v>5</v>
      </c>
      <c r="BI81" s="62" t="s">
        <v>108</v>
      </c>
      <c r="BJ81" s="70" t="s">
        <v>340</v>
      </c>
      <c r="BK81" s="70" t="s">
        <v>341</v>
      </c>
      <c r="BL81" s="69" t="s">
        <v>592</v>
      </c>
      <c r="BM81" s="69" t="s">
        <v>592</v>
      </c>
      <c r="BN81" s="76" t="s">
        <v>576</v>
      </c>
      <c r="BO81" s="69" t="s">
        <v>672</v>
      </c>
      <c r="BP81" s="69" t="s">
        <v>409</v>
      </c>
      <c r="BQ81" s="69" t="s">
        <v>673</v>
      </c>
      <c r="BR81" s="69" t="s">
        <v>674</v>
      </c>
      <c r="BS81" s="69" t="s">
        <v>83</v>
      </c>
      <c r="BT81" s="72" t="str">
        <f>MID($BO$28, 1, 4)</f>
        <v>11.0</v>
      </c>
      <c r="BU81" s="72" t="str">
        <f>MID($BO$25,6,3)</f>
        <v>0.2</v>
      </c>
      <c r="BV81" s="72" t="e">
        <f t="shared" si="171"/>
        <v>#VALUE!</v>
      </c>
      <c r="BW81" s="72" t="e">
        <f t="shared" si="172"/>
        <v>#VALUE!</v>
      </c>
      <c r="BX81" s="72" t="e">
        <f t="shared" si="173"/>
        <v>#VALUE!</v>
      </c>
      <c r="BY81" s="72" t="e">
        <f t="shared" si="174"/>
        <v>#VALUE!</v>
      </c>
      <c r="BZ81" s="72" t="str">
        <f t="shared" si="180"/>
        <v>1.8</v>
      </c>
      <c r="CA81" s="72" t="str">
        <f t="shared" si="181"/>
        <v>0.2</v>
      </c>
      <c r="CB81" s="72" t="e">
        <f t="shared" si="182"/>
        <v>#VALUE!</v>
      </c>
      <c r="CC81" s="72" t="e">
        <f t="shared" si="183"/>
        <v>#VALUE!</v>
      </c>
      <c r="CD81" s="72" t="e">
        <f t="shared" si="184"/>
        <v>#VALUE!</v>
      </c>
      <c r="CE81" s="72" t="e">
        <f t="shared" si="185"/>
        <v>#VALUE!</v>
      </c>
      <c r="CF81" s="72" t="str">
        <f t="shared" si="186"/>
        <v>3.3</v>
      </c>
      <c r="CG81" s="72" t="str">
        <f>MID(BR81,5,3)</f>
        <v>0.2</v>
      </c>
      <c r="CH81" s="61" t="e">
        <f>CF81-(CG81/2)</f>
        <v>#VALUE!</v>
      </c>
      <c r="CI81" s="72" t="e">
        <f>CF81-CG81</f>
        <v>#VALUE!</v>
      </c>
      <c r="CJ81" s="72" t="e">
        <f>CF81+(CG81/2)</f>
        <v>#VALUE!</v>
      </c>
      <c r="CK81" s="72" t="e">
        <f>CF81+CG81</f>
        <v>#VALUE!</v>
      </c>
      <c r="CL81" s="73" t="s">
        <v>721</v>
      </c>
    </row>
    <row r="82" spans="1:90" s="73" customFormat="1">
      <c r="A82" s="61" t="str">
        <f t="shared" si="169"/>
        <v>22-0</v>
      </c>
      <c r="B82" s="62">
        <v>22</v>
      </c>
      <c r="C82" s="63" t="s">
        <v>133</v>
      </c>
      <c r="D82" s="62"/>
      <c r="E82" s="20"/>
      <c r="F82" s="62"/>
      <c r="G82" s="64">
        <v>0</v>
      </c>
      <c r="H82" s="65" t="s">
        <v>675</v>
      </c>
      <c r="I82" s="66" t="s">
        <v>676</v>
      </c>
      <c r="J82" s="65" t="str">
        <f t="shared" ref="J82:J83" si="187">CONCATENATE(K82,"; ",L82,"; ",M82," ")</f>
        <v xml:space="preserve">Hose, Radiator; Ø 37 mm × 47 mm;  </v>
      </c>
      <c r="K82" s="65" t="s">
        <v>140</v>
      </c>
      <c r="L82" s="65" t="s">
        <v>141</v>
      </c>
      <c r="M82" s="65"/>
      <c r="N82" s="79" t="s">
        <v>194</v>
      </c>
      <c r="O82" s="79" t="s">
        <v>194</v>
      </c>
      <c r="P82" s="67" t="s">
        <v>111</v>
      </c>
      <c r="Q82" s="67" t="s">
        <v>111</v>
      </c>
      <c r="R82" s="68" t="s">
        <v>143</v>
      </c>
      <c r="S82" s="68" t="s">
        <v>677</v>
      </c>
      <c r="T82" s="69" t="s">
        <v>93</v>
      </c>
      <c r="U82" s="69" t="s">
        <v>94</v>
      </c>
      <c r="V82" s="69" t="s">
        <v>582</v>
      </c>
      <c r="W82" s="69" t="s">
        <v>678</v>
      </c>
      <c r="X82" s="69" t="s">
        <v>679</v>
      </c>
      <c r="Y82" s="69" t="s">
        <v>680</v>
      </c>
      <c r="Z82" s="69" t="s">
        <v>493</v>
      </c>
      <c r="AA82" s="69" t="s">
        <v>669</v>
      </c>
      <c r="AB82" s="62" t="s">
        <v>511</v>
      </c>
      <c r="AC82" s="62" t="s">
        <v>97</v>
      </c>
      <c r="AD82" s="62" t="s">
        <v>511</v>
      </c>
      <c r="AE82" s="62" t="s">
        <v>97</v>
      </c>
      <c r="AF82" s="69" t="s">
        <v>79</v>
      </c>
      <c r="AG82" s="69" t="s">
        <v>75</v>
      </c>
      <c r="AH82" s="69" t="s">
        <v>76</v>
      </c>
      <c r="AI82" s="69" t="s">
        <v>112</v>
      </c>
      <c r="AJ82" s="69" t="s">
        <v>76</v>
      </c>
      <c r="AK82" s="69" t="s">
        <v>79</v>
      </c>
      <c r="AL82" s="69" t="s">
        <v>75</v>
      </c>
      <c r="AM82" s="69" t="s">
        <v>112</v>
      </c>
      <c r="AN82" s="69" t="s">
        <v>5</v>
      </c>
      <c r="AO82" s="69" t="s">
        <v>76</v>
      </c>
      <c r="AP82" s="62" t="s">
        <v>681</v>
      </c>
      <c r="AQ82" s="62" t="s">
        <v>682</v>
      </c>
      <c r="AR82" s="62" t="s">
        <v>515</v>
      </c>
      <c r="AS82" s="62" t="s">
        <v>515</v>
      </c>
      <c r="AT82" s="62" t="s">
        <v>516</v>
      </c>
      <c r="AU82" s="62" t="s">
        <v>516</v>
      </c>
      <c r="AV82" s="62" t="s">
        <v>126</v>
      </c>
      <c r="AW82" s="62" t="s">
        <v>156</v>
      </c>
      <c r="AX82" s="62" t="s">
        <v>156</v>
      </c>
      <c r="AY82" s="62" t="s">
        <v>683</v>
      </c>
      <c r="AZ82" s="62" t="s">
        <v>683</v>
      </c>
      <c r="BA82" s="62" t="s">
        <v>677</v>
      </c>
      <c r="BB82" s="62" t="s">
        <v>677</v>
      </c>
      <c r="BC82" s="69" t="s">
        <v>684</v>
      </c>
      <c r="BD82" s="69" t="s">
        <v>591</v>
      </c>
      <c r="BE82" s="69">
        <v>0.5</v>
      </c>
      <c r="BF82" s="62" t="s">
        <v>424</v>
      </c>
      <c r="BG82" s="62" t="s">
        <v>426</v>
      </c>
      <c r="BH82" s="62" t="s">
        <v>5</v>
      </c>
      <c r="BI82" s="62" t="s">
        <v>108</v>
      </c>
      <c r="BJ82" s="70" t="s">
        <v>165</v>
      </c>
      <c r="BK82" s="70" t="s">
        <v>685</v>
      </c>
      <c r="BL82" s="69" t="s">
        <v>591</v>
      </c>
      <c r="BM82" s="69" t="s">
        <v>591</v>
      </c>
      <c r="BN82" s="76" t="s">
        <v>576</v>
      </c>
      <c r="BO82" s="69" t="s">
        <v>686</v>
      </c>
      <c r="BP82" s="69" t="s">
        <v>399</v>
      </c>
      <c r="BQ82" s="69" t="s">
        <v>688</v>
      </c>
      <c r="BR82" s="69" t="s">
        <v>687</v>
      </c>
      <c r="BS82" s="69" t="s">
        <v>83</v>
      </c>
      <c r="BT82" s="72">
        <v>39</v>
      </c>
      <c r="BU82" s="72" t="str">
        <f>MID($BO$27,6,3)</f>
        <v>0.1</v>
      </c>
      <c r="BV82" s="72" t="e">
        <f t="shared" si="171"/>
        <v>#VALUE!</v>
      </c>
      <c r="BW82" s="72" t="e">
        <f t="shared" si="172"/>
        <v>#VALUE!</v>
      </c>
      <c r="BX82" s="72" t="e">
        <f t="shared" si="173"/>
        <v>#VALUE!</v>
      </c>
      <c r="BY82" s="72" t="e">
        <f t="shared" si="174"/>
        <v>#VALUE!</v>
      </c>
      <c r="BZ82" s="72" t="str">
        <f t="shared" si="180"/>
        <v>2.5</v>
      </c>
      <c r="CA82" s="72">
        <v>0.5</v>
      </c>
      <c r="CB82" s="72" t="e">
        <f>BZ82-(CA82/2)</f>
        <v>#VALUE!</v>
      </c>
      <c r="CC82" s="72" t="e">
        <f>BZ82-CA82</f>
        <v>#VALUE!</v>
      </c>
      <c r="CD82" s="72" t="e">
        <f>BZ82+(CA82/2)</f>
        <v>#VALUE!</v>
      </c>
      <c r="CE82" s="72" t="e">
        <f>BZ82+CA82</f>
        <v>#VALUE!</v>
      </c>
      <c r="CF82" s="72">
        <v>5</v>
      </c>
      <c r="CG82" s="72">
        <v>0.2</v>
      </c>
      <c r="CH82" s="61">
        <f>CF82-(CG82/2)</f>
        <v>4.9000000000000004</v>
      </c>
      <c r="CI82" s="72">
        <f>CF82-CG82</f>
        <v>4.8</v>
      </c>
      <c r="CJ82" s="72">
        <f>CF82+(CG82/2)</f>
        <v>5.0999999999999996</v>
      </c>
      <c r="CK82" s="72">
        <f>CF82+CG82</f>
        <v>5.2</v>
      </c>
      <c r="CL82" s="73" t="s">
        <v>718</v>
      </c>
    </row>
    <row r="83" spans="1:90" s="73" customFormat="1">
      <c r="A83" s="61" t="str">
        <f t="shared" si="169"/>
        <v>1-6</v>
      </c>
      <c r="B83" s="62">
        <v>1</v>
      </c>
      <c r="C83" s="63" t="s">
        <v>133</v>
      </c>
      <c r="D83" s="62" t="s">
        <v>136</v>
      </c>
      <c r="E83" s="20" t="s">
        <v>137</v>
      </c>
      <c r="F83" s="62" t="s">
        <v>138</v>
      </c>
      <c r="G83" s="64">
        <v>6</v>
      </c>
      <c r="H83" s="65" t="s">
        <v>77</v>
      </c>
      <c r="I83" s="66" t="s">
        <v>699</v>
      </c>
      <c r="J83" s="65" t="str">
        <f t="shared" si="187"/>
        <v xml:space="preserve">Hose, Radiator; Ø 37 mm × 47 mm; TSB5501G-1E </v>
      </c>
      <c r="K83" s="65" t="s">
        <v>140</v>
      </c>
      <c r="L83" s="65" t="s">
        <v>141</v>
      </c>
      <c r="M83" s="65" t="s">
        <v>3</v>
      </c>
      <c r="N83" s="63" t="s">
        <v>142</v>
      </c>
      <c r="O83" s="63" t="s">
        <v>142</v>
      </c>
      <c r="P83" s="67" t="s">
        <v>111</v>
      </c>
      <c r="Q83" s="67" t="s">
        <v>111</v>
      </c>
      <c r="R83" s="68" t="s">
        <v>143</v>
      </c>
      <c r="S83" s="62" t="s">
        <v>440</v>
      </c>
      <c r="T83" s="69" t="s">
        <v>93</v>
      </c>
      <c r="U83" s="69" t="s">
        <v>94</v>
      </c>
      <c r="V83" s="69" t="s">
        <v>176</v>
      </c>
      <c r="W83" s="69" t="s">
        <v>700</v>
      </c>
      <c r="X83" s="69" t="s">
        <v>402</v>
      </c>
      <c r="Y83" s="69" t="s">
        <v>701</v>
      </c>
      <c r="Z83" s="69" t="s">
        <v>585</v>
      </c>
      <c r="AA83" s="69" t="s">
        <v>702</v>
      </c>
      <c r="AB83" s="62" t="s">
        <v>511</v>
      </c>
      <c r="AC83" s="62" t="s">
        <v>97</v>
      </c>
      <c r="AD83" s="62" t="s">
        <v>511</v>
      </c>
      <c r="AE83" s="62" t="s">
        <v>97</v>
      </c>
      <c r="AF83" s="69" t="s">
        <v>79</v>
      </c>
      <c r="AG83" s="69" t="s">
        <v>75</v>
      </c>
      <c r="AH83" s="69" t="s">
        <v>76</v>
      </c>
      <c r="AI83" s="69" t="s">
        <v>112</v>
      </c>
      <c r="AJ83" s="69" t="s">
        <v>76</v>
      </c>
      <c r="AK83" s="69" t="s">
        <v>79</v>
      </c>
      <c r="AL83" s="69" t="s">
        <v>75</v>
      </c>
      <c r="AM83" s="69" t="s">
        <v>112</v>
      </c>
      <c r="AN83" s="69" t="s">
        <v>5</v>
      </c>
      <c r="AO83" s="69" t="s">
        <v>76</v>
      </c>
      <c r="AP83" s="62" t="s">
        <v>703</v>
      </c>
      <c r="AQ83" s="62" t="s">
        <v>704</v>
      </c>
      <c r="AR83" s="62" t="s">
        <v>515</v>
      </c>
      <c r="AS83" s="62" t="s">
        <v>515</v>
      </c>
      <c r="AT83" s="62" t="s">
        <v>516</v>
      </c>
      <c r="AU83" s="62" t="s">
        <v>516</v>
      </c>
      <c r="AV83" s="62" t="s">
        <v>126</v>
      </c>
      <c r="AW83" s="62" t="s">
        <v>156</v>
      </c>
      <c r="AX83" s="62" t="s">
        <v>156</v>
      </c>
      <c r="AY83" s="62" t="s">
        <v>705</v>
      </c>
      <c r="AZ83" s="62" t="s">
        <v>705</v>
      </c>
      <c r="BA83" s="62" t="s">
        <v>440</v>
      </c>
      <c r="BB83" s="62" t="s">
        <v>440</v>
      </c>
      <c r="BC83" s="69" t="s">
        <v>706</v>
      </c>
      <c r="BD83" s="69" t="s">
        <v>707</v>
      </c>
      <c r="BE83" s="69">
        <v>0.5</v>
      </c>
      <c r="BF83" s="62" t="s">
        <v>424</v>
      </c>
      <c r="BG83" s="62" t="s">
        <v>426</v>
      </c>
      <c r="BH83" s="62" t="s">
        <v>5</v>
      </c>
      <c r="BI83" s="62" t="s">
        <v>108</v>
      </c>
      <c r="BJ83" s="70" t="s">
        <v>165</v>
      </c>
      <c r="BK83" s="70" t="s">
        <v>163</v>
      </c>
      <c r="BL83" s="69" t="s">
        <v>707</v>
      </c>
      <c r="BM83" s="69" t="s">
        <v>707</v>
      </c>
      <c r="BN83" s="76" t="s">
        <v>576</v>
      </c>
      <c r="BO83" s="69" t="s">
        <v>417</v>
      </c>
      <c r="BP83" s="69" t="s">
        <v>399</v>
      </c>
      <c r="BQ83" s="69" t="s">
        <v>708</v>
      </c>
      <c r="BR83" s="69" t="s">
        <v>709</v>
      </c>
      <c r="BS83" s="69" t="s">
        <v>83</v>
      </c>
      <c r="BT83" s="72" t="str">
        <f>MID($BO$7, 1, 4)</f>
        <v>37.0</v>
      </c>
      <c r="BU83" s="72" t="str">
        <f>MID($BO$7,6,3)</f>
        <v>0.2</v>
      </c>
      <c r="BV83" s="72" t="e">
        <f t="shared" si="171"/>
        <v>#VALUE!</v>
      </c>
      <c r="BW83" s="72" t="e">
        <f t="shared" si="172"/>
        <v>#VALUE!</v>
      </c>
      <c r="BX83" s="72" t="e">
        <f t="shared" si="173"/>
        <v>#VALUE!</v>
      </c>
      <c r="BY83" s="72" t="e">
        <f t="shared" si="174"/>
        <v>#VALUE!</v>
      </c>
      <c r="BZ83" s="72" t="str">
        <f t="shared" si="180"/>
        <v>2.2</v>
      </c>
      <c r="CA83" s="72">
        <v>0.2</v>
      </c>
      <c r="CB83" s="72" t="e">
        <f>BZ83-(CA83/2)</f>
        <v>#VALUE!</v>
      </c>
      <c r="CC83" s="72" t="e">
        <f>BZ83-CA83</f>
        <v>#VALUE!</v>
      </c>
      <c r="CD83" s="72" t="e">
        <f>BZ83+(CA83/2)</f>
        <v>#VALUE!</v>
      </c>
      <c r="CE83" s="72" t="e">
        <f>BZ83+CA83</f>
        <v>#VALUE!</v>
      </c>
      <c r="CF83" s="72" t="str">
        <f t="shared" ref="CF83" si="188">MID(BR83,1,3)</f>
        <v>4.8</v>
      </c>
      <c r="CG83" s="72" t="str">
        <f t="shared" ref="CG83" si="189">MID(BR83,5,3)</f>
        <v>0.2</v>
      </c>
      <c r="CH83" s="61" t="e">
        <f t="shared" ref="CH83" si="190">CF83-(CG83/2)</f>
        <v>#VALUE!</v>
      </c>
      <c r="CI83" s="72" t="e">
        <f t="shared" ref="CI83" si="191">CF83-CG83</f>
        <v>#VALUE!</v>
      </c>
      <c r="CJ83" s="72" t="e">
        <f t="shared" ref="CJ83" si="192">CF83+(CG83/2)</f>
        <v>#VALUE!</v>
      </c>
      <c r="CK83" s="72" t="e">
        <f t="shared" ref="CK83" si="193">CF83+CG83</f>
        <v>#VALUE!</v>
      </c>
      <c r="CL83" s="73" t="s">
        <v>719</v>
      </c>
    </row>
    <row r="84" spans="1:90" s="28" customFormat="1">
      <c r="B84" s="29"/>
      <c r="C84" s="29"/>
      <c r="D84" s="29"/>
      <c r="E84" s="29"/>
      <c r="F84" s="29"/>
      <c r="G84" s="32"/>
      <c r="H84" s="29"/>
      <c r="I84" s="33"/>
      <c r="J84" s="29"/>
      <c r="K84" s="29"/>
      <c r="L84" s="29"/>
      <c r="M84" s="29"/>
      <c r="N84" s="30"/>
      <c r="O84" s="30"/>
      <c r="P84" s="13"/>
      <c r="Q84" s="13"/>
      <c r="R84" s="13"/>
      <c r="S84" s="13"/>
      <c r="T84" s="13"/>
      <c r="U84" s="13"/>
      <c r="V84" s="30"/>
      <c r="W84" s="30"/>
      <c r="X84" s="30"/>
      <c r="Y84" s="30"/>
      <c r="Z84" s="30"/>
      <c r="AA84" s="30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I84" s="45"/>
      <c r="CJ84" s="45"/>
      <c r="CK84" s="45"/>
    </row>
    <row r="85" spans="1:90" s="28" customFormat="1">
      <c r="B85" s="29"/>
      <c r="C85" s="29"/>
      <c r="D85" s="29"/>
      <c r="E85" s="29"/>
      <c r="F85" s="29"/>
      <c r="G85" s="32"/>
      <c r="H85" s="29"/>
      <c r="I85" s="33"/>
      <c r="J85" s="29"/>
      <c r="K85" s="29"/>
      <c r="L85" s="29"/>
      <c r="M85" s="29"/>
      <c r="N85" s="30"/>
      <c r="O85" s="30"/>
      <c r="P85" s="13"/>
      <c r="Q85" s="13"/>
      <c r="R85" s="13"/>
      <c r="S85" s="13"/>
      <c r="T85" s="13"/>
      <c r="U85" s="13"/>
      <c r="V85" s="30"/>
      <c r="W85" s="30"/>
      <c r="X85" s="30"/>
      <c r="Y85" s="30"/>
      <c r="Z85" s="30"/>
      <c r="AA85" s="30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I85" s="45"/>
      <c r="CJ85" s="45"/>
      <c r="CK85" s="45"/>
    </row>
    <row r="86" spans="1:90" s="28" customFormat="1">
      <c r="B86" s="29"/>
      <c r="C86" s="29"/>
      <c r="D86" s="29"/>
      <c r="E86" s="29"/>
      <c r="F86" s="29"/>
      <c r="G86" s="32"/>
      <c r="H86" s="29"/>
      <c r="I86" s="33"/>
      <c r="J86" s="29"/>
      <c r="K86" s="29"/>
      <c r="L86" s="29"/>
      <c r="M86" s="29"/>
      <c r="N86" s="30"/>
      <c r="O86" s="30"/>
      <c r="P86" s="13"/>
      <c r="Q86" s="13"/>
      <c r="R86" s="13"/>
      <c r="S86" s="13"/>
      <c r="T86" s="13"/>
      <c r="U86" s="13"/>
      <c r="V86" s="30"/>
      <c r="W86" s="30"/>
      <c r="X86" s="30"/>
      <c r="Y86" s="30"/>
      <c r="Z86" s="30"/>
      <c r="AA86" s="30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I86" s="45"/>
      <c r="CJ86" s="45"/>
      <c r="CK86" s="45"/>
    </row>
    <row r="87" spans="1:90" s="28" customFormat="1">
      <c r="B87" s="29"/>
      <c r="C87" s="29"/>
      <c r="D87" s="29"/>
      <c r="E87" s="29"/>
      <c r="F87" s="29"/>
      <c r="G87" s="32"/>
      <c r="H87" s="29"/>
      <c r="I87" s="33"/>
      <c r="J87" s="29"/>
      <c r="K87" s="29"/>
      <c r="L87" s="29"/>
      <c r="M87" s="29"/>
      <c r="N87" s="30"/>
      <c r="O87" s="30"/>
      <c r="P87" s="13"/>
      <c r="Q87" s="13"/>
      <c r="R87" s="13"/>
      <c r="S87" s="13"/>
      <c r="T87" s="13"/>
      <c r="U87" s="13"/>
      <c r="V87" s="30"/>
      <c r="W87" s="30"/>
      <c r="X87" s="30"/>
      <c r="Y87" s="30"/>
      <c r="Z87" s="30"/>
      <c r="AA87" s="30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I87" s="45"/>
      <c r="CJ87" s="45"/>
      <c r="CK87" s="45"/>
    </row>
    <row r="88" spans="1:90" s="28" customFormat="1">
      <c r="B88" s="29"/>
      <c r="C88" s="29"/>
      <c r="D88" s="29"/>
      <c r="E88" s="29"/>
      <c r="F88" s="29"/>
      <c r="G88" s="32"/>
      <c r="H88" s="29"/>
      <c r="I88" s="33"/>
      <c r="J88" s="29"/>
      <c r="K88" s="29"/>
      <c r="L88" s="29"/>
      <c r="M88" s="29"/>
      <c r="N88" s="30"/>
      <c r="O88" s="30"/>
      <c r="P88" s="13"/>
      <c r="Q88" s="13"/>
      <c r="R88" s="13"/>
      <c r="S88" s="13"/>
      <c r="T88" s="13"/>
      <c r="U88" s="13"/>
      <c r="V88" s="30"/>
      <c r="W88" s="30"/>
      <c r="X88" s="30"/>
      <c r="Y88" s="30"/>
      <c r="Z88" s="30"/>
      <c r="AA88" s="30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I88" s="45"/>
      <c r="CJ88" s="45"/>
      <c r="CK88" s="45"/>
    </row>
    <row r="89" spans="1:90" s="28" customFormat="1">
      <c r="B89" s="29"/>
      <c r="C89" s="29"/>
      <c r="D89" s="29"/>
      <c r="E89" s="29"/>
      <c r="F89" s="29"/>
      <c r="G89" s="32"/>
      <c r="H89" s="29"/>
      <c r="I89" s="33"/>
      <c r="J89" s="29"/>
      <c r="K89" s="29"/>
      <c r="L89" s="29"/>
      <c r="M89" s="29"/>
      <c r="N89" s="30"/>
      <c r="O89" s="30"/>
      <c r="P89" s="13"/>
      <c r="Q89" s="13"/>
      <c r="R89" s="13"/>
      <c r="S89" s="13"/>
      <c r="T89" s="13"/>
      <c r="U89" s="13"/>
      <c r="V89" s="30"/>
      <c r="W89" s="30"/>
      <c r="X89" s="30"/>
      <c r="Y89" s="30"/>
      <c r="Z89" s="30"/>
      <c r="AA89" s="30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I89" s="45"/>
      <c r="CJ89" s="45"/>
      <c r="CK89" s="45"/>
    </row>
    <row r="90" spans="1:90" s="28" customFormat="1">
      <c r="B90" s="29"/>
      <c r="C90" s="29"/>
      <c r="D90" s="29"/>
      <c r="E90" s="29"/>
      <c r="F90" s="29"/>
      <c r="G90" s="32"/>
      <c r="H90" s="29"/>
      <c r="I90" s="33"/>
      <c r="J90" s="29"/>
      <c r="K90" s="29"/>
      <c r="L90" s="29"/>
      <c r="M90" s="29"/>
      <c r="N90" s="30"/>
      <c r="O90" s="30"/>
      <c r="P90" s="13"/>
      <c r="Q90" s="13"/>
      <c r="R90" s="13"/>
      <c r="S90" s="13"/>
      <c r="T90" s="13"/>
      <c r="U90" s="13"/>
      <c r="V90" s="30"/>
      <c r="W90" s="30"/>
      <c r="X90" s="30"/>
      <c r="Y90" s="30"/>
      <c r="Z90" s="30"/>
      <c r="AA90" s="30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I90" s="45"/>
      <c r="CJ90" s="45"/>
      <c r="CK90" s="45"/>
    </row>
    <row r="91" spans="1:90" s="28" customFormat="1">
      <c r="B91" s="29"/>
      <c r="C91" s="29"/>
      <c r="D91" s="29"/>
      <c r="E91" s="29"/>
      <c r="F91" s="29"/>
      <c r="G91" s="32"/>
      <c r="H91" s="29"/>
      <c r="I91" s="33"/>
      <c r="J91" s="29"/>
      <c r="K91" s="29"/>
      <c r="L91" s="29"/>
      <c r="M91" s="29"/>
      <c r="N91" s="30"/>
      <c r="O91" s="30"/>
      <c r="P91" s="13"/>
      <c r="Q91" s="13"/>
      <c r="R91" s="13"/>
      <c r="S91" s="13"/>
      <c r="T91" s="13"/>
      <c r="U91" s="13"/>
      <c r="V91" s="30"/>
      <c r="W91" s="30"/>
      <c r="X91" s="30"/>
      <c r="Y91" s="30"/>
      <c r="Z91" s="30"/>
      <c r="AA91" s="30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I91" s="45"/>
      <c r="CJ91" s="45"/>
      <c r="CK91" s="45"/>
    </row>
    <row r="92" spans="1:90" s="28" customFormat="1">
      <c r="B92" s="29"/>
      <c r="C92" s="29"/>
      <c r="D92" s="29"/>
      <c r="E92" s="29"/>
      <c r="F92" s="29"/>
      <c r="G92" s="32"/>
      <c r="H92" s="29"/>
      <c r="I92" s="33"/>
      <c r="J92" s="29"/>
      <c r="K92" s="29"/>
      <c r="L92" s="29"/>
      <c r="M92" s="29"/>
      <c r="N92" s="30"/>
      <c r="O92" s="30"/>
      <c r="P92" s="13"/>
      <c r="Q92" s="13"/>
      <c r="R92" s="13"/>
      <c r="S92" s="13"/>
      <c r="T92" s="13"/>
      <c r="U92" s="13"/>
      <c r="V92" s="30"/>
      <c r="W92" s="30"/>
      <c r="X92" s="30"/>
      <c r="Y92" s="30"/>
      <c r="Z92" s="30"/>
      <c r="AA92" s="30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I92" s="45"/>
      <c r="CJ92" s="45"/>
      <c r="CK92" s="45"/>
    </row>
    <row r="93" spans="1:90" s="28" customFormat="1">
      <c r="B93" s="29"/>
      <c r="C93" s="29"/>
      <c r="D93" s="29"/>
      <c r="E93" s="29"/>
      <c r="F93" s="29"/>
      <c r="G93" s="32"/>
      <c r="H93" s="29"/>
      <c r="I93" s="33"/>
      <c r="J93" s="29"/>
      <c r="K93" s="29"/>
      <c r="L93" s="29"/>
      <c r="M93" s="29"/>
      <c r="N93" s="30"/>
      <c r="O93" s="30"/>
      <c r="P93" s="13"/>
      <c r="Q93" s="13"/>
      <c r="R93" s="13"/>
      <c r="S93" s="13"/>
      <c r="T93" s="13"/>
      <c r="U93" s="13"/>
      <c r="V93" s="30"/>
      <c r="W93" s="30"/>
      <c r="X93" s="30"/>
      <c r="Y93" s="30"/>
      <c r="Z93" s="30"/>
      <c r="AA93" s="30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I93" s="45"/>
      <c r="CJ93" s="45"/>
      <c r="CK93" s="45"/>
    </row>
    <row r="94" spans="1:90" s="28" customFormat="1">
      <c r="B94" s="29"/>
      <c r="C94" s="29"/>
      <c r="D94" s="29"/>
      <c r="E94" s="29"/>
      <c r="F94" s="29"/>
      <c r="G94" s="32"/>
      <c r="H94" s="29"/>
      <c r="I94" s="33"/>
      <c r="J94" s="29"/>
      <c r="K94" s="29"/>
      <c r="L94" s="29"/>
      <c r="M94" s="29"/>
      <c r="N94" s="30"/>
      <c r="O94" s="30"/>
      <c r="P94" s="13"/>
      <c r="Q94" s="13"/>
      <c r="R94" s="13"/>
      <c r="S94" s="13"/>
      <c r="T94" s="13"/>
      <c r="U94" s="13"/>
      <c r="V94" s="30"/>
      <c r="W94" s="30"/>
      <c r="X94" s="30"/>
      <c r="Y94" s="30"/>
      <c r="Z94" s="30"/>
      <c r="AA94" s="30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I94" s="45"/>
      <c r="CJ94" s="45"/>
      <c r="CK94" s="45"/>
    </row>
    <row r="95" spans="1:90" s="28" customFormat="1">
      <c r="B95" s="29"/>
      <c r="C95" s="29"/>
      <c r="D95" s="29"/>
      <c r="E95" s="29"/>
      <c r="F95" s="29"/>
      <c r="G95" s="32"/>
      <c r="H95" s="29"/>
      <c r="I95" s="33"/>
      <c r="J95" s="29"/>
      <c r="K95" s="29"/>
      <c r="L95" s="29"/>
      <c r="M95" s="29"/>
      <c r="N95" s="30"/>
      <c r="O95" s="30"/>
      <c r="P95" s="13"/>
      <c r="Q95" s="13"/>
      <c r="R95" s="13"/>
      <c r="S95" s="13"/>
      <c r="T95" s="13"/>
      <c r="U95" s="13"/>
      <c r="V95" s="30"/>
      <c r="W95" s="30"/>
      <c r="X95" s="30"/>
      <c r="Y95" s="30"/>
      <c r="Z95" s="30"/>
      <c r="AA95" s="30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I95" s="45"/>
      <c r="CJ95" s="45"/>
      <c r="CK95" s="45"/>
    </row>
    <row r="96" spans="1:90" s="28" customFormat="1">
      <c r="B96" s="29"/>
      <c r="C96" s="29"/>
      <c r="D96" s="29"/>
      <c r="E96" s="29"/>
      <c r="F96" s="29"/>
      <c r="G96" s="32"/>
      <c r="H96" s="29"/>
      <c r="I96" s="33"/>
      <c r="J96" s="29"/>
      <c r="K96" s="29"/>
      <c r="L96" s="29"/>
      <c r="M96" s="29"/>
      <c r="N96" s="30"/>
      <c r="O96" s="30"/>
      <c r="P96" s="13"/>
      <c r="Q96" s="13"/>
      <c r="R96" s="13"/>
      <c r="S96" s="13"/>
      <c r="T96" s="13"/>
      <c r="U96" s="13"/>
      <c r="V96" s="30"/>
      <c r="W96" s="30"/>
      <c r="X96" s="30"/>
      <c r="Y96" s="30"/>
      <c r="Z96" s="30"/>
      <c r="AA96" s="30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I96" s="45"/>
      <c r="CJ96" s="45"/>
      <c r="CK96" s="45"/>
    </row>
    <row r="97" spans="2:89" s="28" customFormat="1">
      <c r="B97" s="29"/>
      <c r="C97" s="29"/>
      <c r="D97" s="29"/>
      <c r="E97" s="29"/>
      <c r="F97" s="29"/>
      <c r="G97" s="32"/>
      <c r="H97" s="29"/>
      <c r="I97" s="33"/>
      <c r="J97" s="29"/>
      <c r="K97" s="29"/>
      <c r="L97" s="29"/>
      <c r="M97" s="29"/>
      <c r="N97" s="30"/>
      <c r="O97" s="30"/>
      <c r="P97" s="13"/>
      <c r="Q97" s="13"/>
      <c r="R97" s="13"/>
      <c r="S97" s="13"/>
      <c r="T97" s="13"/>
      <c r="U97" s="13"/>
      <c r="V97" s="30"/>
      <c r="W97" s="30"/>
      <c r="X97" s="30"/>
      <c r="Y97" s="30"/>
      <c r="Z97" s="30"/>
      <c r="AA97" s="30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I97" s="45"/>
      <c r="CJ97" s="45"/>
      <c r="CK97" s="45"/>
    </row>
    <row r="98" spans="2:89" s="28" customFormat="1">
      <c r="B98" s="29"/>
      <c r="C98" s="29"/>
      <c r="D98" s="29"/>
      <c r="E98" s="29"/>
      <c r="F98" s="29"/>
      <c r="G98" s="32"/>
      <c r="H98" s="29"/>
      <c r="I98" s="33"/>
      <c r="J98" s="29"/>
      <c r="K98" s="29"/>
      <c r="L98" s="29"/>
      <c r="M98" s="29"/>
      <c r="N98" s="30"/>
      <c r="O98" s="30"/>
      <c r="P98" s="13"/>
      <c r="Q98" s="13"/>
      <c r="R98" s="13"/>
      <c r="S98" s="13"/>
      <c r="T98" s="13"/>
      <c r="U98" s="13"/>
      <c r="V98" s="30"/>
      <c r="W98" s="30"/>
      <c r="X98" s="30"/>
      <c r="Y98" s="30"/>
      <c r="Z98" s="30"/>
      <c r="AA98" s="30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I98" s="45"/>
      <c r="CJ98" s="45"/>
      <c r="CK98" s="45"/>
    </row>
    <row r="99" spans="2:89" s="28" customFormat="1">
      <c r="B99" s="29"/>
      <c r="C99" s="29"/>
      <c r="D99" s="29"/>
      <c r="E99" s="29"/>
      <c r="F99" s="29"/>
      <c r="G99" s="32"/>
      <c r="H99" s="29"/>
      <c r="I99" s="33"/>
      <c r="J99" s="29"/>
      <c r="K99" s="29"/>
      <c r="L99" s="29"/>
      <c r="M99" s="29"/>
      <c r="N99" s="30"/>
      <c r="O99" s="30"/>
      <c r="P99" s="13"/>
      <c r="Q99" s="13"/>
      <c r="R99" s="13"/>
      <c r="S99" s="13"/>
      <c r="T99" s="13"/>
      <c r="U99" s="13"/>
      <c r="V99" s="30"/>
      <c r="W99" s="30"/>
      <c r="X99" s="30"/>
      <c r="Y99" s="30"/>
      <c r="Z99" s="30"/>
      <c r="AA99" s="30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I99" s="45"/>
      <c r="CJ99" s="45"/>
      <c r="CK99" s="45"/>
    </row>
    <row r="100" spans="2:89" s="28" customFormat="1">
      <c r="B100" s="29"/>
      <c r="C100" s="29"/>
      <c r="D100" s="29"/>
      <c r="E100" s="29"/>
      <c r="F100" s="29"/>
      <c r="G100" s="32"/>
      <c r="H100" s="29"/>
      <c r="I100" s="33"/>
      <c r="J100" s="29"/>
      <c r="K100" s="29"/>
      <c r="L100" s="29"/>
      <c r="M100" s="29"/>
      <c r="N100" s="30"/>
      <c r="O100" s="30"/>
      <c r="P100" s="13"/>
      <c r="Q100" s="13"/>
      <c r="R100" s="13"/>
      <c r="S100" s="13"/>
      <c r="T100" s="13"/>
      <c r="U100" s="13"/>
      <c r="V100" s="30"/>
      <c r="W100" s="30"/>
      <c r="X100" s="30"/>
      <c r="Y100" s="30"/>
      <c r="Z100" s="30"/>
      <c r="AA100" s="30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I100" s="45"/>
      <c r="CJ100" s="45"/>
      <c r="CK100" s="45"/>
    </row>
    <row r="101" spans="2:89" s="28" customFormat="1">
      <c r="B101" s="29"/>
      <c r="C101" s="29"/>
      <c r="D101" s="29"/>
      <c r="E101" s="29"/>
      <c r="F101" s="29"/>
      <c r="G101" s="32"/>
      <c r="H101" s="29"/>
      <c r="I101" s="33"/>
      <c r="J101" s="29"/>
      <c r="K101" s="29"/>
      <c r="L101" s="29"/>
      <c r="M101" s="29"/>
      <c r="N101" s="30"/>
      <c r="O101" s="30"/>
      <c r="P101" s="13"/>
      <c r="Q101" s="13"/>
      <c r="R101" s="13"/>
      <c r="S101" s="13"/>
      <c r="T101" s="13"/>
      <c r="U101" s="13"/>
      <c r="V101" s="30"/>
      <c r="W101" s="30"/>
      <c r="X101" s="30"/>
      <c r="Y101" s="30"/>
      <c r="Z101" s="30"/>
      <c r="AA101" s="30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I101" s="45"/>
      <c r="CJ101" s="45"/>
      <c r="CK101" s="45"/>
    </row>
    <row r="102" spans="2:89" s="28" customFormat="1">
      <c r="B102" s="29"/>
      <c r="C102" s="29"/>
      <c r="D102" s="29"/>
      <c r="E102" s="29"/>
      <c r="F102" s="29"/>
      <c r="G102" s="32"/>
      <c r="H102" s="29"/>
      <c r="I102" s="33"/>
      <c r="J102" s="29"/>
      <c r="K102" s="29"/>
      <c r="L102" s="29"/>
      <c r="M102" s="29"/>
      <c r="N102" s="30"/>
      <c r="O102" s="30"/>
      <c r="P102" s="13"/>
      <c r="Q102" s="13"/>
      <c r="R102" s="13"/>
      <c r="S102" s="13"/>
      <c r="T102" s="13"/>
      <c r="U102" s="13"/>
      <c r="V102" s="30"/>
      <c r="W102" s="30"/>
      <c r="X102" s="30"/>
      <c r="Y102" s="30"/>
      <c r="Z102" s="30"/>
      <c r="AA102" s="30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I102" s="45"/>
      <c r="CJ102" s="45"/>
      <c r="CK102" s="45"/>
    </row>
    <row r="103" spans="2:89" s="28" customFormat="1">
      <c r="B103" s="29"/>
      <c r="C103" s="29"/>
      <c r="D103" s="29"/>
      <c r="E103" s="29"/>
      <c r="F103" s="29"/>
      <c r="G103" s="32"/>
      <c r="H103" s="29"/>
      <c r="I103" s="33"/>
      <c r="J103" s="29"/>
      <c r="K103" s="29"/>
      <c r="L103" s="29"/>
      <c r="M103" s="29"/>
      <c r="N103" s="30"/>
      <c r="O103" s="30"/>
      <c r="P103" s="13"/>
      <c r="Q103" s="13"/>
      <c r="R103" s="13"/>
      <c r="S103" s="13"/>
      <c r="T103" s="13"/>
      <c r="U103" s="13"/>
      <c r="V103" s="30"/>
      <c r="W103" s="30"/>
      <c r="X103" s="30"/>
      <c r="Y103" s="30"/>
      <c r="Z103" s="30"/>
      <c r="AA103" s="30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I103" s="45"/>
      <c r="CJ103" s="45"/>
      <c r="CK103" s="45"/>
    </row>
    <row r="104" spans="2:89" s="28" customFormat="1">
      <c r="B104" s="29"/>
      <c r="C104" s="29"/>
      <c r="D104" s="29"/>
      <c r="E104" s="29"/>
      <c r="F104" s="29"/>
      <c r="G104" s="32"/>
      <c r="H104" s="29"/>
      <c r="I104" s="33"/>
      <c r="J104" s="29"/>
      <c r="K104" s="29"/>
      <c r="L104" s="29"/>
      <c r="M104" s="29"/>
      <c r="N104" s="30"/>
      <c r="O104" s="30"/>
      <c r="P104" s="13"/>
      <c r="Q104" s="13"/>
      <c r="R104" s="13"/>
      <c r="S104" s="13"/>
      <c r="T104" s="13"/>
      <c r="U104" s="13"/>
      <c r="V104" s="30"/>
      <c r="W104" s="30"/>
      <c r="X104" s="30"/>
      <c r="Y104" s="30"/>
      <c r="Z104" s="30"/>
      <c r="AA104" s="30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I104" s="45"/>
      <c r="CJ104" s="45"/>
      <c r="CK104" s="45"/>
    </row>
    <row r="105" spans="2:89" s="28" customFormat="1">
      <c r="B105" s="29"/>
      <c r="C105" s="29"/>
      <c r="D105" s="29"/>
      <c r="E105" s="29"/>
      <c r="F105" s="29"/>
      <c r="G105" s="32"/>
      <c r="H105" s="29"/>
      <c r="I105" s="33"/>
      <c r="J105" s="29"/>
      <c r="K105" s="29"/>
      <c r="L105" s="29"/>
      <c r="M105" s="29"/>
      <c r="N105" s="30"/>
      <c r="O105" s="30"/>
      <c r="P105" s="13"/>
      <c r="Q105" s="13"/>
      <c r="R105" s="13"/>
      <c r="S105" s="13"/>
      <c r="T105" s="13"/>
      <c r="U105" s="13"/>
      <c r="V105" s="30"/>
      <c r="W105" s="30"/>
      <c r="X105" s="30"/>
      <c r="Y105" s="30"/>
      <c r="Z105" s="30"/>
      <c r="AA105" s="30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I105" s="45"/>
      <c r="CJ105" s="45"/>
      <c r="CK105" s="45"/>
    </row>
    <row r="106" spans="2:89" s="28" customFormat="1">
      <c r="B106" s="29"/>
      <c r="C106" s="29"/>
      <c r="D106" s="29"/>
      <c r="E106" s="29"/>
      <c r="F106" s="29"/>
      <c r="G106" s="32"/>
      <c r="H106" s="29"/>
      <c r="I106" s="33"/>
      <c r="J106" s="29"/>
      <c r="K106" s="29"/>
      <c r="L106" s="29"/>
      <c r="M106" s="29"/>
      <c r="N106" s="30"/>
      <c r="O106" s="30"/>
      <c r="P106" s="13"/>
      <c r="Q106" s="13"/>
      <c r="R106" s="13"/>
      <c r="S106" s="13"/>
      <c r="T106" s="13"/>
      <c r="U106" s="13"/>
      <c r="V106" s="30"/>
      <c r="W106" s="30"/>
      <c r="X106" s="30"/>
      <c r="Y106" s="30"/>
      <c r="Z106" s="30"/>
      <c r="AA106" s="30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I106" s="45"/>
      <c r="CJ106" s="45"/>
      <c r="CK106" s="45"/>
    </row>
    <row r="107" spans="2:89" s="28" customFormat="1">
      <c r="B107" s="29"/>
      <c r="C107" s="29"/>
      <c r="D107" s="29"/>
      <c r="E107" s="29"/>
      <c r="F107" s="29"/>
      <c r="G107" s="32"/>
      <c r="H107" s="29"/>
      <c r="I107" s="33"/>
      <c r="J107" s="29"/>
      <c r="K107" s="29"/>
      <c r="L107" s="29"/>
      <c r="M107" s="29"/>
      <c r="N107" s="30"/>
      <c r="O107" s="30"/>
      <c r="P107" s="13"/>
      <c r="Q107" s="13"/>
      <c r="R107" s="13"/>
      <c r="S107" s="13"/>
      <c r="T107" s="13"/>
      <c r="U107" s="13"/>
      <c r="V107" s="30"/>
      <c r="W107" s="30"/>
      <c r="X107" s="30"/>
      <c r="Y107" s="30"/>
      <c r="Z107" s="30"/>
      <c r="AA107" s="30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I107" s="45"/>
      <c r="CJ107" s="45"/>
      <c r="CK107" s="45"/>
    </row>
    <row r="108" spans="2:89" s="28" customFormat="1">
      <c r="B108" s="29"/>
      <c r="C108" s="29"/>
      <c r="D108" s="29"/>
      <c r="E108" s="29"/>
      <c r="F108" s="29"/>
      <c r="G108" s="32"/>
      <c r="H108" s="29"/>
      <c r="I108" s="33"/>
      <c r="J108" s="29"/>
      <c r="K108" s="29"/>
      <c r="L108" s="29"/>
      <c r="M108" s="29"/>
      <c r="N108" s="30"/>
      <c r="O108" s="30"/>
      <c r="P108" s="13"/>
      <c r="Q108" s="13"/>
      <c r="R108" s="13"/>
      <c r="S108" s="13"/>
      <c r="T108" s="13"/>
      <c r="U108" s="13"/>
      <c r="V108" s="30"/>
      <c r="W108" s="30"/>
      <c r="X108" s="30"/>
      <c r="Y108" s="30"/>
      <c r="Z108" s="30"/>
      <c r="AA108" s="30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I108" s="45"/>
      <c r="CJ108" s="45"/>
      <c r="CK108" s="45"/>
    </row>
    <row r="109" spans="2:89" s="28" customFormat="1">
      <c r="B109" s="29"/>
      <c r="C109" s="29"/>
      <c r="D109" s="29"/>
      <c r="E109" s="29"/>
      <c r="F109" s="29"/>
      <c r="G109" s="32"/>
      <c r="H109" s="29"/>
      <c r="I109" s="33"/>
      <c r="J109" s="29"/>
      <c r="K109" s="29"/>
      <c r="L109" s="29"/>
      <c r="M109" s="29"/>
      <c r="N109" s="30"/>
      <c r="O109" s="30"/>
      <c r="P109" s="13"/>
      <c r="Q109" s="13"/>
      <c r="R109" s="13"/>
      <c r="S109" s="13"/>
      <c r="T109" s="13"/>
      <c r="U109" s="13"/>
      <c r="V109" s="30"/>
      <c r="W109" s="30"/>
      <c r="X109" s="30"/>
      <c r="Y109" s="30"/>
      <c r="Z109" s="30"/>
      <c r="AA109" s="30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I109" s="45"/>
      <c r="CJ109" s="45"/>
      <c r="CK109" s="45"/>
    </row>
    <row r="110" spans="2:89" s="28" customFormat="1">
      <c r="B110" s="29"/>
      <c r="C110" s="29"/>
      <c r="D110" s="29"/>
      <c r="E110" s="29"/>
      <c r="F110" s="29"/>
      <c r="G110" s="32"/>
      <c r="H110" s="29"/>
      <c r="I110" s="33"/>
      <c r="J110" s="29"/>
      <c r="K110" s="29"/>
      <c r="L110" s="29"/>
      <c r="M110" s="29"/>
      <c r="N110" s="30"/>
      <c r="O110" s="30"/>
      <c r="P110" s="13"/>
      <c r="Q110" s="13"/>
      <c r="R110" s="13"/>
      <c r="S110" s="13"/>
      <c r="T110" s="13"/>
      <c r="U110" s="13"/>
      <c r="V110" s="30"/>
      <c r="W110" s="30"/>
      <c r="X110" s="30"/>
      <c r="Y110" s="30"/>
      <c r="Z110" s="30"/>
      <c r="AA110" s="30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I110" s="45"/>
      <c r="CJ110" s="45"/>
      <c r="CK110" s="45"/>
    </row>
    <row r="111" spans="2:89" s="28" customFormat="1">
      <c r="B111" s="29"/>
      <c r="C111" s="29"/>
      <c r="D111" s="29"/>
      <c r="E111" s="29"/>
      <c r="F111" s="29"/>
      <c r="G111" s="32"/>
      <c r="H111" s="29"/>
      <c r="I111" s="33"/>
      <c r="J111" s="29"/>
      <c r="K111" s="29"/>
      <c r="L111" s="29"/>
      <c r="M111" s="29"/>
      <c r="N111" s="30"/>
      <c r="O111" s="30"/>
      <c r="P111" s="13"/>
      <c r="Q111" s="13"/>
      <c r="R111" s="13"/>
      <c r="S111" s="13"/>
      <c r="T111" s="13"/>
      <c r="U111" s="13"/>
      <c r="V111" s="30"/>
      <c r="W111" s="30"/>
      <c r="X111" s="30"/>
      <c r="Y111" s="30"/>
      <c r="Z111" s="30"/>
      <c r="AA111" s="30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I111" s="45"/>
      <c r="CJ111" s="45"/>
      <c r="CK111" s="45"/>
    </row>
    <row r="112" spans="2:89" s="28" customFormat="1">
      <c r="B112" s="29"/>
      <c r="C112" s="29"/>
      <c r="D112" s="29"/>
      <c r="E112" s="29"/>
      <c r="F112" s="29"/>
      <c r="G112" s="32"/>
      <c r="H112" s="29"/>
      <c r="I112" s="33"/>
      <c r="J112" s="29"/>
      <c r="K112" s="29"/>
      <c r="L112" s="29"/>
      <c r="M112" s="29"/>
      <c r="N112" s="30"/>
      <c r="O112" s="30"/>
      <c r="P112" s="13"/>
      <c r="Q112" s="13"/>
      <c r="R112" s="13"/>
      <c r="S112" s="13"/>
      <c r="T112" s="13"/>
      <c r="U112" s="13"/>
      <c r="V112" s="30"/>
      <c r="W112" s="30"/>
      <c r="X112" s="30"/>
      <c r="Y112" s="30"/>
      <c r="Z112" s="30"/>
      <c r="AA112" s="30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I112" s="45"/>
      <c r="CJ112" s="45"/>
      <c r="CK112" s="45"/>
    </row>
    <row r="113" spans="2:89" s="28" customFormat="1">
      <c r="B113" s="29"/>
      <c r="C113" s="29"/>
      <c r="D113" s="29"/>
      <c r="E113" s="29"/>
      <c r="F113" s="29"/>
      <c r="G113" s="32"/>
      <c r="H113" s="29"/>
      <c r="I113" s="33"/>
      <c r="J113" s="29"/>
      <c r="K113" s="29"/>
      <c r="L113" s="29"/>
      <c r="M113" s="29"/>
      <c r="N113" s="30"/>
      <c r="O113" s="30"/>
      <c r="P113" s="13"/>
      <c r="Q113" s="13"/>
      <c r="R113" s="13"/>
      <c r="S113" s="13"/>
      <c r="T113" s="13"/>
      <c r="U113" s="13"/>
      <c r="V113" s="30"/>
      <c r="W113" s="30"/>
      <c r="X113" s="30"/>
      <c r="Y113" s="30"/>
      <c r="Z113" s="30"/>
      <c r="AA113" s="30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I113" s="45"/>
      <c r="CJ113" s="45"/>
      <c r="CK113" s="45"/>
    </row>
    <row r="114" spans="2:89" s="28" customFormat="1">
      <c r="B114" s="29"/>
      <c r="C114" s="29"/>
      <c r="D114" s="29"/>
      <c r="E114" s="29"/>
      <c r="F114" s="29"/>
      <c r="G114" s="32"/>
      <c r="H114" s="29"/>
      <c r="I114" s="33"/>
      <c r="J114" s="29"/>
      <c r="K114" s="29"/>
      <c r="L114" s="29"/>
      <c r="M114" s="29"/>
      <c r="N114" s="30"/>
      <c r="O114" s="30"/>
      <c r="P114" s="13"/>
      <c r="Q114" s="13"/>
      <c r="R114" s="13"/>
      <c r="S114" s="13"/>
      <c r="T114" s="13"/>
      <c r="U114" s="13"/>
      <c r="V114" s="30"/>
      <c r="W114" s="30"/>
      <c r="X114" s="30"/>
      <c r="Y114" s="30"/>
      <c r="Z114" s="30"/>
      <c r="AA114" s="30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I114" s="45"/>
      <c r="CJ114" s="45"/>
      <c r="CK114" s="45"/>
    </row>
    <row r="115" spans="2:89" s="28" customFormat="1">
      <c r="B115" s="29"/>
      <c r="C115" s="29"/>
      <c r="D115" s="29"/>
      <c r="E115" s="29"/>
      <c r="F115" s="29"/>
      <c r="G115" s="32"/>
      <c r="H115" s="29"/>
      <c r="I115" s="33"/>
      <c r="J115" s="29"/>
      <c r="K115" s="29"/>
      <c r="L115" s="29"/>
      <c r="M115" s="29"/>
      <c r="N115" s="30"/>
      <c r="O115" s="30"/>
      <c r="P115" s="13"/>
      <c r="Q115" s="13"/>
      <c r="R115" s="13"/>
      <c r="S115" s="13"/>
      <c r="T115" s="13"/>
      <c r="U115" s="13"/>
      <c r="V115" s="30"/>
      <c r="W115" s="30"/>
      <c r="X115" s="30"/>
      <c r="Y115" s="30"/>
      <c r="Z115" s="30"/>
      <c r="AA115" s="30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I115" s="45"/>
      <c r="CJ115" s="45"/>
      <c r="CK115" s="45"/>
    </row>
    <row r="116" spans="2:89" s="28" customFormat="1">
      <c r="B116" s="29"/>
      <c r="C116" s="29"/>
      <c r="D116" s="29"/>
      <c r="E116" s="29"/>
      <c r="F116" s="29"/>
      <c r="G116" s="32"/>
      <c r="H116" s="29"/>
      <c r="I116" s="33"/>
      <c r="J116" s="29"/>
      <c r="K116" s="29"/>
      <c r="L116" s="29"/>
      <c r="M116" s="29"/>
      <c r="N116" s="30"/>
      <c r="O116" s="30"/>
      <c r="P116" s="13"/>
      <c r="Q116" s="13"/>
      <c r="R116" s="13"/>
      <c r="S116" s="13"/>
      <c r="T116" s="13"/>
      <c r="U116" s="13"/>
      <c r="V116" s="30"/>
      <c r="W116" s="30"/>
      <c r="X116" s="30"/>
      <c r="Y116" s="30"/>
      <c r="Z116" s="30"/>
      <c r="AA116" s="30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I116" s="45"/>
      <c r="CJ116" s="45"/>
      <c r="CK116" s="45"/>
    </row>
    <row r="117" spans="2:89" s="28" customFormat="1">
      <c r="B117" s="29"/>
      <c r="C117" s="29"/>
      <c r="D117" s="29"/>
      <c r="E117" s="29"/>
      <c r="F117" s="29"/>
      <c r="G117" s="32"/>
      <c r="H117" s="29"/>
      <c r="I117" s="33"/>
      <c r="J117" s="29"/>
      <c r="K117" s="29"/>
      <c r="L117" s="29"/>
      <c r="M117" s="29"/>
      <c r="N117" s="30"/>
      <c r="O117" s="30"/>
      <c r="P117" s="13"/>
      <c r="Q117" s="13"/>
      <c r="R117" s="13"/>
      <c r="S117" s="13"/>
      <c r="T117" s="13"/>
      <c r="U117" s="13"/>
      <c r="V117" s="30"/>
      <c r="W117" s="30"/>
      <c r="X117" s="30"/>
      <c r="Y117" s="30"/>
      <c r="Z117" s="30"/>
      <c r="AA117" s="30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I117" s="45"/>
      <c r="CJ117" s="45"/>
      <c r="CK117" s="45"/>
    </row>
    <row r="118" spans="2:89" s="28" customFormat="1">
      <c r="B118" s="29"/>
      <c r="C118" s="29"/>
      <c r="D118" s="29"/>
      <c r="E118" s="29"/>
      <c r="F118" s="29"/>
      <c r="G118" s="32"/>
      <c r="H118" s="29"/>
      <c r="I118" s="33"/>
      <c r="J118" s="29"/>
      <c r="K118" s="29"/>
      <c r="L118" s="29"/>
      <c r="M118" s="29"/>
      <c r="N118" s="30"/>
      <c r="O118" s="30"/>
      <c r="P118" s="13"/>
      <c r="Q118" s="13"/>
      <c r="R118" s="13"/>
      <c r="S118" s="13"/>
      <c r="T118" s="13"/>
      <c r="U118" s="13"/>
      <c r="V118" s="30"/>
      <c r="W118" s="30"/>
      <c r="X118" s="30"/>
      <c r="Y118" s="30"/>
      <c r="Z118" s="30"/>
      <c r="AA118" s="30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I118" s="45"/>
      <c r="CJ118" s="45"/>
      <c r="CK118" s="45"/>
    </row>
    <row r="119" spans="2:89" s="28" customFormat="1">
      <c r="B119" s="29"/>
      <c r="C119" s="29"/>
      <c r="D119" s="29"/>
      <c r="E119" s="29"/>
      <c r="F119" s="29"/>
      <c r="G119" s="32"/>
      <c r="H119" s="29"/>
      <c r="I119" s="33"/>
      <c r="J119" s="29"/>
      <c r="K119" s="29"/>
      <c r="L119" s="29"/>
      <c r="M119" s="29"/>
      <c r="N119" s="30"/>
      <c r="O119" s="30"/>
      <c r="P119" s="13"/>
      <c r="Q119" s="13"/>
      <c r="R119" s="13"/>
      <c r="S119" s="13"/>
      <c r="T119" s="13"/>
      <c r="U119" s="13"/>
      <c r="V119" s="30"/>
      <c r="W119" s="30"/>
      <c r="X119" s="30"/>
      <c r="Y119" s="30"/>
      <c r="Z119" s="30"/>
      <c r="AA119" s="30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I119" s="45"/>
      <c r="CJ119" s="45"/>
      <c r="CK119" s="45"/>
    </row>
    <row r="120" spans="2:89" s="28" customFormat="1">
      <c r="B120" s="29"/>
      <c r="C120" s="29"/>
      <c r="D120" s="29"/>
      <c r="E120" s="29"/>
      <c r="F120" s="29"/>
      <c r="G120" s="32"/>
      <c r="H120" s="29"/>
      <c r="I120" s="33"/>
      <c r="J120" s="29"/>
      <c r="K120" s="29"/>
      <c r="L120" s="29"/>
      <c r="M120" s="29"/>
      <c r="N120" s="30"/>
      <c r="O120" s="30"/>
      <c r="P120" s="13"/>
      <c r="Q120" s="13"/>
      <c r="R120" s="13"/>
      <c r="S120" s="13"/>
      <c r="T120" s="13"/>
      <c r="U120" s="13"/>
      <c r="V120" s="30"/>
      <c r="W120" s="30"/>
      <c r="X120" s="30"/>
      <c r="Y120" s="30"/>
      <c r="Z120" s="30"/>
      <c r="AA120" s="30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I120" s="45"/>
      <c r="CJ120" s="45"/>
      <c r="CK120" s="45"/>
    </row>
    <row r="121" spans="2:89" s="28" customFormat="1">
      <c r="B121" s="29"/>
      <c r="C121" s="29"/>
      <c r="D121" s="29"/>
      <c r="E121" s="29"/>
      <c r="F121" s="29"/>
      <c r="G121" s="32"/>
      <c r="H121" s="29"/>
      <c r="I121" s="33"/>
      <c r="J121" s="29"/>
      <c r="K121" s="29"/>
      <c r="L121" s="29"/>
      <c r="M121" s="29"/>
      <c r="N121" s="30"/>
      <c r="O121" s="30"/>
      <c r="P121" s="13"/>
      <c r="Q121" s="13"/>
      <c r="R121" s="13"/>
      <c r="S121" s="13"/>
      <c r="T121" s="13"/>
      <c r="U121" s="13"/>
      <c r="V121" s="30"/>
      <c r="W121" s="30"/>
      <c r="X121" s="30"/>
      <c r="Y121" s="30"/>
      <c r="Z121" s="30"/>
      <c r="AA121" s="30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I121" s="45"/>
      <c r="CJ121" s="45"/>
      <c r="CK121" s="45"/>
    </row>
    <row r="122" spans="2:89" s="28" customFormat="1">
      <c r="B122" s="29"/>
      <c r="C122" s="29"/>
      <c r="D122" s="29"/>
      <c r="E122" s="29"/>
      <c r="F122" s="29"/>
      <c r="G122" s="32"/>
      <c r="H122" s="29"/>
      <c r="I122" s="33"/>
      <c r="J122" s="29"/>
      <c r="K122" s="29"/>
      <c r="L122" s="29"/>
      <c r="M122" s="29"/>
      <c r="N122" s="30"/>
      <c r="O122" s="30"/>
      <c r="P122" s="13"/>
      <c r="Q122" s="13"/>
      <c r="R122" s="13"/>
      <c r="S122" s="13"/>
      <c r="T122" s="13"/>
      <c r="U122" s="13"/>
      <c r="V122" s="30"/>
      <c r="W122" s="30"/>
      <c r="X122" s="30"/>
      <c r="Y122" s="30"/>
      <c r="Z122" s="30"/>
      <c r="AA122" s="30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I122" s="45"/>
      <c r="CJ122" s="45"/>
      <c r="CK122" s="45"/>
    </row>
    <row r="123" spans="2:89" s="28" customFormat="1">
      <c r="B123" s="29"/>
      <c r="C123" s="29"/>
      <c r="D123" s="29"/>
      <c r="E123" s="29"/>
      <c r="F123" s="29"/>
      <c r="G123" s="32"/>
      <c r="H123" s="29"/>
      <c r="I123" s="33"/>
      <c r="J123" s="29"/>
      <c r="K123" s="29"/>
      <c r="L123" s="29"/>
      <c r="M123" s="29"/>
      <c r="N123" s="30"/>
      <c r="O123" s="30"/>
      <c r="P123" s="13"/>
      <c r="Q123" s="13"/>
      <c r="R123" s="13"/>
      <c r="S123" s="13"/>
      <c r="T123" s="13"/>
      <c r="U123" s="13"/>
      <c r="V123" s="30"/>
      <c r="W123" s="30"/>
      <c r="X123" s="30"/>
      <c r="Y123" s="30"/>
      <c r="Z123" s="30"/>
      <c r="AA123" s="30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I123" s="45"/>
      <c r="CJ123" s="45"/>
      <c r="CK123" s="45"/>
    </row>
    <row r="124" spans="2:89" s="28" customFormat="1">
      <c r="B124" s="29"/>
      <c r="C124" s="29"/>
      <c r="D124" s="29"/>
      <c r="E124" s="29"/>
      <c r="F124" s="29"/>
      <c r="G124" s="32"/>
      <c r="H124" s="29"/>
      <c r="I124" s="33"/>
      <c r="J124" s="29"/>
      <c r="K124" s="29"/>
      <c r="L124" s="29"/>
      <c r="M124" s="29"/>
      <c r="N124" s="30"/>
      <c r="O124" s="30"/>
      <c r="P124" s="13"/>
      <c r="Q124" s="13"/>
      <c r="R124" s="13"/>
      <c r="S124" s="13"/>
      <c r="T124" s="13"/>
      <c r="U124" s="13"/>
      <c r="V124" s="30"/>
      <c r="W124" s="30"/>
      <c r="X124" s="30"/>
      <c r="Y124" s="30"/>
      <c r="Z124" s="30"/>
      <c r="AA124" s="30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I124" s="45"/>
      <c r="CJ124" s="45"/>
      <c r="CK124" s="45"/>
    </row>
    <row r="125" spans="2:89" s="28" customFormat="1">
      <c r="B125" s="29"/>
      <c r="C125" s="29"/>
      <c r="D125" s="29"/>
      <c r="E125" s="29"/>
      <c r="F125" s="29"/>
      <c r="G125" s="32"/>
      <c r="H125" s="29"/>
      <c r="I125" s="33"/>
      <c r="J125" s="29"/>
      <c r="K125" s="29"/>
      <c r="L125" s="29"/>
      <c r="M125" s="29"/>
      <c r="N125" s="30"/>
      <c r="O125" s="30"/>
      <c r="P125" s="13"/>
      <c r="Q125" s="13"/>
      <c r="R125" s="13"/>
      <c r="S125" s="13"/>
      <c r="T125" s="13"/>
      <c r="U125" s="13"/>
      <c r="V125" s="30"/>
      <c r="W125" s="30"/>
      <c r="X125" s="30"/>
      <c r="Y125" s="30"/>
      <c r="Z125" s="30"/>
      <c r="AA125" s="30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I125" s="45"/>
      <c r="CJ125" s="45"/>
      <c r="CK125" s="45"/>
    </row>
    <row r="126" spans="2:89" s="28" customFormat="1">
      <c r="B126" s="29"/>
      <c r="C126" s="29"/>
      <c r="D126" s="29"/>
      <c r="E126" s="29"/>
      <c r="F126" s="29"/>
      <c r="G126" s="32"/>
      <c r="H126" s="29"/>
      <c r="I126" s="33"/>
      <c r="J126" s="29"/>
      <c r="K126" s="29"/>
      <c r="L126" s="29"/>
      <c r="M126" s="29"/>
      <c r="N126" s="30"/>
      <c r="O126" s="30"/>
      <c r="P126" s="13"/>
      <c r="Q126" s="13"/>
      <c r="R126" s="13"/>
      <c r="S126" s="13"/>
      <c r="T126" s="13"/>
      <c r="U126" s="13"/>
      <c r="V126" s="30"/>
      <c r="W126" s="30"/>
      <c r="X126" s="30"/>
      <c r="Y126" s="30"/>
      <c r="Z126" s="30"/>
      <c r="AA126" s="30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I126" s="45"/>
      <c r="CJ126" s="45"/>
      <c r="CK126" s="45"/>
    </row>
    <row r="127" spans="2:89" s="28" customFormat="1">
      <c r="B127" s="29"/>
      <c r="C127" s="29"/>
      <c r="D127" s="29"/>
      <c r="E127" s="29"/>
      <c r="F127" s="29"/>
      <c r="G127" s="32"/>
      <c r="H127" s="29"/>
      <c r="I127" s="33"/>
      <c r="J127" s="29"/>
      <c r="K127" s="29"/>
      <c r="L127" s="29"/>
      <c r="M127" s="29"/>
      <c r="N127" s="30"/>
      <c r="O127" s="30"/>
      <c r="P127" s="13"/>
      <c r="Q127" s="13"/>
      <c r="R127" s="13"/>
      <c r="S127" s="13"/>
      <c r="T127" s="13"/>
      <c r="U127" s="13"/>
      <c r="V127" s="30"/>
      <c r="W127" s="30"/>
      <c r="X127" s="30"/>
      <c r="Y127" s="30"/>
      <c r="Z127" s="30"/>
      <c r="AA127" s="30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I127" s="45"/>
      <c r="CJ127" s="45"/>
      <c r="CK127" s="45"/>
    </row>
    <row r="128" spans="2:89" s="28" customFormat="1">
      <c r="B128" s="29"/>
      <c r="C128" s="29"/>
      <c r="D128" s="29"/>
      <c r="E128" s="29"/>
      <c r="F128" s="29"/>
      <c r="G128" s="32"/>
      <c r="H128" s="29"/>
      <c r="I128" s="33"/>
      <c r="J128" s="29"/>
      <c r="K128" s="29"/>
      <c r="L128" s="29"/>
      <c r="M128" s="29"/>
      <c r="N128" s="30"/>
      <c r="O128" s="30"/>
      <c r="P128" s="13"/>
      <c r="Q128" s="13"/>
      <c r="R128" s="13"/>
      <c r="S128" s="13"/>
      <c r="T128" s="13"/>
      <c r="U128" s="13"/>
      <c r="V128" s="30"/>
      <c r="W128" s="30"/>
      <c r="X128" s="30"/>
      <c r="Y128" s="30"/>
      <c r="Z128" s="30"/>
      <c r="AA128" s="30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I128" s="45"/>
      <c r="CJ128" s="45"/>
      <c r="CK128" s="45"/>
    </row>
    <row r="129" spans="2:89" s="28" customFormat="1">
      <c r="B129" s="29"/>
      <c r="C129" s="29"/>
      <c r="D129" s="29"/>
      <c r="E129" s="29"/>
      <c r="F129" s="29"/>
      <c r="G129" s="32"/>
      <c r="H129" s="29"/>
      <c r="I129" s="33"/>
      <c r="J129" s="29"/>
      <c r="K129" s="29"/>
      <c r="L129" s="29"/>
      <c r="M129" s="29"/>
      <c r="N129" s="30"/>
      <c r="O129" s="30"/>
      <c r="P129" s="13"/>
      <c r="Q129" s="13"/>
      <c r="R129" s="13"/>
      <c r="S129" s="13"/>
      <c r="T129" s="13"/>
      <c r="U129" s="13"/>
      <c r="V129" s="30"/>
      <c r="W129" s="30"/>
      <c r="X129" s="30"/>
      <c r="Y129" s="30"/>
      <c r="Z129" s="30"/>
      <c r="AA129" s="30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I129" s="45"/>
      <c r="CJ129" s="45"/>
      <c r="CK129" s="45"/>
    </row>
    <row r="130" spans="2:89" s="28" customFormat="1">
      <c r="B130" s="29"/>
      <c r="C130" s="29"/>
      <c r="D130" s="29"/>
      <c r="E130" s="29"/>
      <c r="F130" s="29"/>
      <c r="G130" s="32"/>
      <c r="H130" s="29"/>
      <c r="I130" s="33"/>
      <c r="J130" s="29"/>
      <c r="K130" s="29"/>
      <c r="L130" s="29"/>
      <c r="M130" s="29"/>
      <c r="N130" s="30"/>
      <c r="O130" s="30"/>
      <c r="P130" s="13"/>
      <c r="Q130" s="13"/>
      <c r="R130" s="13"/>
      <c r="S130" s="13"/>
      <c r="T130" s="13"/>
      <c r="U130" s="13"/>
      <c r="V130" s="30"/>
      <c r="W130" s="30"/>
      <c r="X130" s="30"/>
      <c r="Y130" s="30"/>
      <c r="Z130" s="30"/>
      <c r="AA130" s="30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I130" s="45"/>
      <c r="CJ130" s="45"/>
      <c r="CK130" s="45"/>
    </row>
    <row r="131" spans="2:89" s="28" customFormat="1">
      <c r="B131" s="29"/>
      <c r="C131" s="29"/>
      <c r="D131" s="29"/>
      <c r="E131" s="29"/>
      <c r="F131" s="29"/>
      <c r="G131" s="32"/>
      <c r="H131" s="29"/>
      <c r="I131" s="33"/>
      <c r="J131" s="29"/>
      <c r="K131" s="29"/>
      <c r="L131" s="29"/>
      <c r="M131" s="29"/>
      <c r="N131" s="30"/>
      <c r="O131" s="30"/>
      <c r="P131" s="13"/>
      <c r="Q131" s="13"/>
      <c r="R131" s="13"/>
      <c r="S131" s="13"/>
      <c r="T131" s="13"/>
      <c r="U131" s="13"/>
      <c r="V131" s="30"/>
      <c r="W131" s="30"/>
      <c r="X131" s="30"/>
      <c r="Y131" s="30"/>
      <c r="Z131" s="30"/>
      <c r="AA131" s="30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I131" s="45"/>
      <c r="CJ131" s="45"/>
      <c r="CK131" s="45"/>
    </row>
    <row r="132" spans="2:89" s="28" customFormat="1">
      <c r="B132" s="29"/>
      <c r="C132" s="29"/>
      <c r="D132" s="29"/>
      <c r="E132" s="29"/>
      <c r="F132" s="29"/>
      <c r="G132" s="32"/>
      <c r="H132" s="29"/>
      <c r="I132" s="33"/>
      <c r="J132" s="29"/>
      <c r="K132" s="29"/>
      <c r="L132" s="29"/>
      <c r="M132" s="29"/>
      <c r="N132" s="30"/>
      <c r="O132" s="30"/>
      <c r="P132" s="13"/>
      <c r="Q132" s="13"/>
      <c r="R132" s="13"/>
      <c r="S132" s="13"/>
      <c r="T132" s="13"/>
      <c r="U132" s="13"/>
      <c r="V132" s="30"/>
      <c r="W132" s="30"/>
      <c r="X132" s="30"/>
      <c r="Y132" s="30"/>
      <c r="Z132" s="30"/>
      <c r="AA132" s="30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I132" s="45"/>
      <c r="CJ132" s="45"/>
      <c r="CK132" s="45"/>
    </row>
    <row r="133" spans="2:89" s="28" customFormat="1">
      <c r="B133" s="29"/>
      <c r="C133" s="29"/>
      <c r="D133" s="29"/>
      <c r="E133" s="29"/>
      <c r="F133" s="29"/>
      <c r="G133" s="32"/>
      <c r="H133" s="29"/>
      <c r="I133" s="33"/>
      <c r="J133" s="29"/>
      <c r="K133" s="29"/>
      <c r="L133" s="29"/>
      <c r="M133" s="29"/>
      <c r="N133" s="30"/>
      <c r="O133" s="30"/>
      <c r="P133" s="13"/>
      <c r="Q133" s="13"/>
      <c r="R133" s="13"/>
      <c r="S133" s="13"/>
      <c r="T133" s="13"/>
      <c r="U133" s="13"/>
      <c r="V133" s="30"/>
      <c r="W133" s="30"/>
      <c r="X133" s="30"/>
      <c r="Y133" s="30"/>
      <c r="Z133" s="30"/>
      <c r="AA133" s="30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I133" s="45"/>
      <c r="CJ133" s="45"/>
      <c r="CK133" s="45"/>
    </row>
    <row r="134" spans="2:89" s="28" customFormat="1">
      <c r="B134" s="29"/>
      <c r="C134" s="29"/>
      <c r="D134" s="29"/>
      <c r="E134" s="29"/>
      <c r="F134" s="29"/>
      <c r="G134" s="32"/>
      <c r="H134" s="29"/>
      <c r="I134" s="33"/>
      <c r="J134" s="29"/>
      <c r="K134" s="29"/>
      <c r="L134" s="29"/>
      <c r="M134" s="29"/>
      <c r="N134" s="30"/>
      <c r="O134" s="30"/>
      <c r="P134" s="13"/>
      <c r="Q134" s="13"/>
      <c r="R134" s="13"/>
      <c r="S134" s="13"/>
      <c r="T134" s="13"/>
      <c r="U134" s="13"/>
      <c r="V134" s="30"/>
      <c r="W134" s="30"/>
      <c r="X134" s="30"/>
      <c r="Y134" s="30"/>
      <c r="Z134" s="30"/>
      <c r="AA134" s="30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I134" s="45"/>
      <c r="CJ134" s="45"/>
      <c r="CK134" s="45"/>
    </row>
    <row r="135" spans="2:89" s="28" customFormat="1">
      <c r="B135" s="29"/>
      <c r="C135" s="29"/>
      <c r="D135" s="29"/>
      <c r="E135" s="29"/>
      <c r="F135" s="29"/>
      <c r="G135" s="32"/>
      <c r="H135" s="29"/>
      <c r="I135" s="33"/>
      <c r="J135" s="29"/>
      <c r="K135" s="29"/>
      <c r="L135" s="29"/>
      <c r="M135" s="29"/>
      <c r="N135" s="30"/>
      <c r="O135" s="30"/>
      <c r="P135" s="13"/>
      <c r="Q135" s="13"/>
      <c r="R135" s="13"/>
      <c r="S135" s="13"/>
      <c r="T135" s="13"/>
      <c r="U135" s="13"/>
      <c r="V135" s="30"/>
      <c r="W135" s="30"/>
      <c r="X135" s="30"/>
      <c r="Y135" s="30"/>
      <c r="Z135" s="30"/>
      <c r="AA135" s="30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I135" s="45"/>
      <c r="CJ135" s="45"/>
      <c r="CK135" s="45"/>
    </row>
    <row r="136" spans="2:89" s="28" customFormat="1">
      <c r="B136" s="29"/>
      <c r="C136" s="29"/>
      <c r="D136" s="29"/>
      <c r="E136" s="29"/>
      <c r="F136" s="29"/>
      <c r="G136" s="32"/>
      <c r="H136" s="29"/>
      <c r="I136" s="33"/>
      <c r="J136" s="29"/>
      <c r="K136" s="29"/>
      <c r="L136" s="29"/>
      <c r="M136" s="29"/>
      <c r="N136" s="30"/>
      <c r="O136" s="30"/>
      <c r="P136" s="13"/>
      <c r="Q136" s="13"/>
      <c r="R136" s="13"/>
      <c r="S136" s="13"/>
      <c r="T136" s="13"/>
      <c r="U136" s="13"/>
      <c r="V136" s="30"/>
      <c r="W136" s="30"/>
      <c r="X136" s="30"/>
      <c r="Y136" s="30"/>
      <c r="Z136" s="30"/>
      <c r="AA136" s="30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I136" s="45"/>
      <c r="CJ136" s="45"/>
      <c r="CK136" s="45"/>
    </row>
    <row r="137" spans="2:89" s="28" customFormat="1">
      <c r="B137" s="29"/>
      <c r="C137" s="29"/>
      <c r="D137" s="29"/>
      <c r="E137" s="29"/>
      <c r="F137" s="29"/>
      <c r="G137" s="32"/>
      <c r="H137" s="29"/>
      <c r="I137" s="33"/>
      <c r="J137" s="29"/>
      <c r="K137" s="29"/>
      <c r="L137" s="29"/>
      <c r="M137" s="29"/>
      <c r="N137" s="30"/>
      <c r="O137" s="30"/>
      <c r="P137" s="13"/>
      <c r="Q137" s="13"/>
      <c r="R137" s="13"/>
      <c r="S137" s="13"/>
      <c r="T137" s="13"/>
      <c r="U137" s="13"/>
      <c r="V137" s="30"/>
      <c r="W137" s="30"/>
      <c r="X137" s="30"/>
      <c r="Y137" s="30"/>
      <c r="Z137" s="30"/>
      <c r="AA137" s="30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I137" s="45"/>
      <c r="CJ137" s="45"/>
      <c r="CK137" s="45"/>
    </row>
    <row r="138" spans="2:89" s="28" customFormat="1">
      <c r="B138" s="29"/>
      <c r="C138" s="29"/>
      <c r="D138" s="29"/>
      <c r="E138" s="29"/>
      <c r="F138" s="29"/>
      <c r="G138" s="32"/>
      <c r="H138" s="29"/>
      <c r="I138" s="33"/>
      <c r="J138" s="29"/>
      <c r="K138" s="29"/>
      <c r="L138" s="29"/>
      <c r="M138" s="29"/>
      <c r="N138" s="30"/>
      <c r="O138" s="30"/>
      <c r="P138" s="13"/>
      <c r="Q138" s="13"/>
      <c r="R138" s="13"/>
      <c r="S138" s="13"/>
      <c r="T138" s="13"/>
      <c r="U138" s="13"/>
      <c r="V138" s="30"/>
      <c r="W138" s="30"/>
      <c r="X138" s="30"/>
      <c r="Y138" s="30"/>
      <c r="Z138" s="30"/>
      <c r="AA138" s="30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I138" s="45"/>
      <c r="CJ138" s="45"/>
      <c r="CK138" s="45"/>
    </row>
    <row r="139" spans="2:89" s="28" customFormat="1">
      <c r="B139" s="29"/>
      <c r="C139" s="29"/>
      <c r="D139" s="29"/>
      <c r="E139" s="29"/>
      <c r="F139" s="29"/>
      <c r="G139" s="32"/>
      <c r="H139" s="29"/>
      <c r="I139" s="33"/>
      <c r="J139" s="29"/>
      <c r="K139" s="29"/>
      <c r="L139" s="29"/>
      <c r="M139" s="29"/>
      <c r="N139" s="30"/>
      <c r="O139" s="30"/>
      <c r="P139" s="13"/>
      <c r="Q139" s="13"/>
      <c r="R139" s="13"/>
      <c r="S139" s="13"/>
      <c r="T139" s="13"/>
      <c r="U139" s="13"/>
      <c r="V139" s="30"/>
      <c r="W139" s="30"/>
      <c r="X139" s="30"/>
      <c r="Y139" s="30"/>
      <c r="Z139" s="30"/>
      <c r="AA139" s="30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I139" s="45"/>
      <c r="CJ139" s="45"/>
      <c r="CK139" s="45"/>
    </row>
    <row r="140" spans="2:89" s="28" customFormat="1">
      <c r="B140" s="29"/>
      <c r="C140" s="29"/>
      <c r="D140" s="29"/>
      <c r="E140" s="29"/>
      <c r="F140" s="29"/>
      <c r="G140" s="32"/>
      <c r="H140" s="29"/>
      <c r="I140" s="33"/>
      <c r="J140" s="29"/>
      <c r="K140" s="29"/>
      <c r="L140" s="29"/>
      <c r="M140" s="29"/>
      <c r="N140" s="30"/>
      <c r="O140" s="30"/>
      <c r="P140" s="13"/>
      <c r="Q140" s="13"/>
      <c r="R140" s="13"/>
      <c r="S140" s="13"/>
      <c r="T140" s="13"/>
      <c r="U140" s="13"/>
      <c r="V140" s="30"/>
      <c r="W140" s="30"/>
      <c r="X140" s="30"/>
      <c r="Y140" s="30"/>
      <c r="Z140" s="30"/>
      <c r="AA140" s="30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I140" s="45"/>
      <c r="CJ140" s="45"/>
      <c r="CK140" s="45"/>
    </row>
    <row r="141" spans="2:89" s="28" customFormat="1">
      <c r="B141" s="29"/>
      <c r="C141" s="29"/>
      <c r="D141" s="29"/>
      <c r="E141" s="29"/>
      <c r="F141" s="29"/>
      <c r="G141" s="32"/>
      <c r="H141" s="29"/>
      <c r="I141" s="33"/>
      <c r="J141" s="29"/>
      <c r="K141" s="29"/>
      <c r="L141" s="29"/>
      <c r="M141" s="29"/>
      <c r="N141" s="30"/>
      <c r="O141" s="30"/>
      <c r="P141" s="13"/>
      <c r="Q141" s="13"/>
      <c r="R141" s="13"/>
      <c r="S141" s="13"/>
      <c r="T141" s="13"/>
      <c r="U141" s="13"/>
      <c r="V141" s="30"/>
      <c r="W141" s="30"/>
      <c r="X141" s="30"/>
      <c r="Y141" s="30"/>
      <c r="Z141" s="30"/>
      <c r="AA141" s="30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I141" s="45"/>
      <c r="CJ141" s="45"/>
      <c r="CK141" s="45"/>
    </row>
    <row r="142" spans="2:89" s="28" customFormat="1">
      <c r="B142" s="29"/>
      <c r="C142" s="29"/>
      <c r="D142" s="29"/>
      <c r="E142" s="29"/>
      <c r="F142" s="29"/>
      <c r="G142" s="32"/>
      <c r="H142" s="29"/>
      <c r="I142" s="33"/>
      <c r="J142" s="29"/>
      <c r="K142" s="29"/>
      <c r="L142" s="29"/>
      <c r="M142" s="29"/>
      <c r="N142" s="30"/>
      <c r="O142" s="30"/>
      <c r="P142" s="13"/>
      <c r="Q142" s="13"/>
      <c r="R142" s="13"/>
      <c r="S142" s="13"/>
      <c r="T142" s="13"/>
      <c r="U142" s="13"/>
      <c r="V142" s="30"/>
      <c r="W142" s="30"/>
      <c r="X142" s="30"/>
      <c r="Y142" s="30"/>
      <c r="Z142" s="30"/>
      <c r="AA142" s="30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I142" s="45"/>
      <c r="CJ142" s="45"/>
      <c r="CK142" s="45"/>
    </row>
    <row r="143" spans="2:89" s="28" customFormat="1">
      <c r="B143" s="29"/>
      <c r="C143" s="29"/>
      <c r="D143" s="29"/>
      <c r="E143" s="29"/>
      <c r="F143" s="29"/>
      <c r="G143" s="32"/>
      <c r="H143" s="29"/>
      <c r="I143" s="33"/>
      <c r="J143" s="29"/>
      <c r="K143" s="29"/>
      <c r="L143" s="29"/>
      <c r="M143" s="29"/>
      <c r="N143" s="30"/>
      <c r="O143" s="30"/>
      <c r="P143" s="13"/>
      <c r="Q143" s="13"/>
      <c r="R143" s="13"/>
      <c r="S143" s="13"/>
      <c r="T143" s="13"/>
      <c r="U143" s="13"/>
      <c r="V143" s="30"/>
      <c r="W143" s="30"/>
      <c r="X143" s="30"/>
      <c r="Y143" s="30"/>
      <c r="Z143" s="30"/>
      <c r="AA143" s="30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I143" s="45"/>
      <c r="CJ143" s="45"/>
      <c r="CK143" s="45"/>
    </row>
    <row r="144" spans="2:89" s="28" customFormat="1">
      <c r="B144" s="29"/>
      <c r="C144" s="29"/>
      <c r="D144" s="29"/>
      <c r="E144" s="29"/>
      <c r="F144" s="29"/>
      <c r="G144" s="32"/>
      <c r="H144" s="29"/>
      <c r="I144" s="33"/>
      <c r="J144" s="29"/>
      <c r="K144" s="29"/>
      <c r="L144" s="29"/>
      <c r="M144" s="29"/>
      <c r="N144" s="30"/>
      <c r="O144" s="30"/>
      <c r="P144" s="13"/>
      <c r="Q144" s="13"/>
      <c r="R144" s="13"/>
      <c r="S144" s="13"/>
      <c r="T144" s="13"/>
      <c r="U144" s="13"/>
      <c r="V144" s="30"/>
      <c r="W144" s="30"/>
      <c r="X144" s="30"/>
      <c r="Y144" s="30"/>
      <c r="Z144" s="30"/>
      <c r="AA144" s="30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I144" s="45"/>
      <c r="CJ144" s="45"/>
      <c r="CK144" s="45"/>
    </row>
    <row r="145" spans="2:89" s="28" customFormat="1">
      <c r="B145" s="29"/>
      <c r="C145" s="29"/>
      <c r="D145" s="29"/>
      <c r="E145" s="29"/>
      <c r="F145" s="29"/>
      <c r="G145" s="32"/>
      <c r="H145" s="29"/>
      <c r="I145" s="33"/>
      <c r="J145" s="29"/>
      <c r="K145" s="29"/>
      <c r="L145" s="29"/>
      <c r="M145" s="29"/>
      <c r="N145" s="30"/>
      <c r="O145" s="30"/>
      <c r="P145" s="13"/>
      <c r="Q145" s="13"/>
      <c r="R145" s="13"/>
      <c r="S145" s="13"/>
      <c r="T145" s="13"/>
      <c r="U145" s="13"/>
      <c r="V145" s="30"/>
      <c r="W145" s="30"/>
      <c r="X145" s="30"/>
      <c r="Y145" s="30"/>
      <c r="Z145" s="30"/>
      <c r="AA145" s="30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I145" s="45"/>
      <c r="CJ145" s="45"/>
      <c r="CK145" s="45"/>
    </row>
    <row r="146" spans="2:89" s="28" customFormat="1">
      <c r="B146" s="29"/>
      <c r="C146" s="29"/>
      <c r="D146" s="29"/>
      <c r="E146" s="29"/>
      <c r="F146" s="29"/>
      <c r="G146" s="32"/>
      <c r="H146" s="29"/>
      <c r="I146" s="33"/>
      <c r="J146" s="29"/>
      <c r="K146" s="29"/>
      <c r="L146" s="29"/>
      <c r="M146" s="29"/>
      <c r="N146" s="30"/>
      <c r="O146" s="30"/>
      <c r="P146" s="13"/>
      <c r="Q146" s="13"/>
      <c r="R146" s="13"/>
      <c r="S146" s="13"/>
      <c r="T146" s="13"/>
      <c r="U146" s="13"/>
      <c r="V146" s="30"/>
      <c r="W146" s="30"/>
      <c r="X146" s="30"/>
      <c r="Y146" s="30"/>
      <c r="Z146" s="30"/>
      <c r="AA146" s="30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I146" s="45"/>
      <c r="CJ146" s="45"/>
      <c r="CK146" s="45"/>
    </row>
    <row r="147" spans="2:89" s="28" customFormat="1">
      <c r="B147" s="29"/>
      <c r="C147" s="29"/>
      <c r="D147" s="29"/>
      <c r="E147" s="29"/>
      <c r="F147" s="29"/>
      <c r="G147" s="32"/>
      <c r="H147" s="29"/>
      <c r="I147" s="33"/>
      <c r="J147" s="29"/>
      <c r="K147" s="29"/>
      <c r="L147" s="29"/>
      <c r="M147" s="29"/>
      <c r="N147" s="30"/>
      <c r="O147" s="30"/>
      <c r="P147" s="13"/>
      <c r="Q147" s="13"/>
      <c r="R147" s="13"/>
      <c r="S147" s="13"/>
      <c r="T147" s="13"/>
      <c r="U147" s="13"/>
      <c r="V147" s="30"/>
      <c r="W147" s="30"/>
      <c r="X147" s="30"/>
      <c r="Y147" s="30"/>
      <c r="Z147" s="30"/>
      <c r="AA147" s="30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I147" s="45"/>
      <c r="CJ147" s="45"/>
      <c r="CK147" s="45"/>
    </row>
    <row r="148" spans="2:89" s="28" customFormat="1">
      <c r="B148" s="29"/>
      <c r="C148" s="29"/>
      <c r="D148" s="29"/>
      <c r="E148" s="29"/>
      <c r="F148" s="29"/>
      <c r="G148" s="32"/>
      <c r="H148" s="29"/>
      <c r="I148" s="33"/>
      <c r="J148" s="29"/>
      <c r="K148" s="29"/>
      <c r="L148" s="29"/>
      <c r="M148" s="29"/>
      <c r="N148" s="30"/>
      <c r="O148" s="30"/>
      <c r="P148" s="13"/>
      <c r="Q148" s="13"/>
      <c r="R148" s="13"/>
      <c r="S148" s="13"/>
      <c r="T148" s="13"/>
      <c r="U148" s="13"/>
      <c r="V148" s="30"/>
      <c r="W148" s="30"/>
      <c r="X148" s="30"/>
      <c r="Y148" s="30"/>
      <c r="Z148" s="30"/>
      <c r="AA148" s="30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I148" s="45"/>
      <c r="CJ148" s="45"/>
      <c r="CK148" s="45"/>
    </row>
    <row r="149" spans="2:89" s="28" customFormat="1">
      <c r="B149" s="29"/>
      <c r="C149" s="29"/>
      <c r="D149" s="29"/>
      <c r="E149" s="29"/>
      <c r="F149" s="29"/>
      <c r="G149" s="32"/>
      <c r="H149" s="29"/>
      <c r="I149" s="33"/>
      <c r="J149" s="29"/>
      <c r="K149" s="29"/>
      <c r="L149" s="29"/>
      <c r="M149" s="29"/>
      <c r="N149" s="30"/>
      <c r="O149" s="30"/>
      <c r="P149" s="13"/>
      <c r="Q149" s="13"/>
      <c r="R149" s="13"/>
      <c r="S149" s="13"/>
      <c r="T149" s="13"/>
      <c r="U149" s="13"/>
      <c r="V149" s="30"/>
      <c r="W149" s="30"/>
      <c r="X149" s="30"/>
      <c r="Y149" s="30"/>
      <c r="Z149" s="30"/>
      <c r="AA149" s="30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I149" s="45"/>
      <c r="CJ149" s="45"/>
      <c r="CK149" s="45"/>
    </row>
    <row r="150" spans="2:89" s="28" customFormat="1">
      <c r="B150" s="29"/>
      <c r="C150" s="29"/>
      <c r="D150" s="29"/>
      <c r="E150" s="29"/>
      <c r="F150" s="29"/>
      <c r="G150" s="32"/>
      <c r="H150" s="29"/>
      <c r="I150" s="33"/>
      <c r="J150" s="29"/>
      <c r="K150" s="29"/>
      <c r="L150" s="29"/>
      <c r="M150" s="29"/>
      <c r="N150" s="30"/>
      <c r="O150" s="30"/>
      <c r="P150" s="13"/>
      <c r="Q150" s="13"/>
      <c r="R150" s="13"/>
      <c r="S150" s="13"/>
      <c r="T150" s="13"/>
      <c r="U150" s="13"/>
      <c r="V150" s="30"/>
      <c r="W150" s="30"/>
      <c r="X150" s="30"/>
      <c r="Y150" s="30"/>
      <c r="Z150" s="30"/>
      <c r="AA150" s="30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I150" s="45"/>
      <c r="CJ150" s="45"/>
      <c r="CK150" s="45"/>
    </row>
    <row r="151" spans="2:89" s="28" customFormat="1">
      <c r="B151" s="29"/>
      <c r="C151" s="29"/>
      <c r="D151" s="29"/>
      <c r="E151" s="29"/>
      <c r="F151" s="29"/>
      <c r="G151" s="32"/>
      <c r="H151" s="29"/>
      <c r="I151" s="33"/>
      <c r="J151" s="29"/>
      <c r="K151" s="29"/>
      <c r="L151" s="29"/>
      <c r="M151" s="29"/>
      <c r="N151" s="30"/>
      <c r="O151" s="30"/>
      <c r="P151" s="13"/>
      <c r="Q151" s="13"/>
      <c r="R151" s="13"/>
      <c r="S151" s="13"/>
      <c r="T151" s="13"/>
      <c r="U151" s="13"/>
      <c r="V151" s="30"/>
      <c r="W151" s="30"/>
      <c r="X151" s="30"/>
      <c r="Y151" s="30"/>
      <c r="Z151" s="30"/>
      <c r="AA151" s="30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I151" s="45"/>
      <c r="CJ151" s="45"/>
      <c r="CK151" s="45"/>
    </row>
    <row r="152" spans="2:89" s="28" customFormat="1">
      <c r="B152" s="29"/>
      <c r="C152" s="29"/>
      <c r="D152" s="29"/>
      <c r="E152" s="29"/>
      <c r="F152" s="29"/>
      <c r="G152" s="32"/>
      <c r="H152" s="29"/>
      <c r="I152" s="33"/>
      <c r="J152" s="29"/>
      <c r="K152" s="29"/>
      <c r="L152" s="29"/>
      <c r="M152" s="29"/>
      <c r="N152" s="30"/>
      <c r="O152" s="30"/>
      <c r="P152" s="13"/>
      <c r="Q152" s="13"/>
      <c r="R152" s="13"/>
      <c r="S152" s="13"/>
      <c r="T152" s="13"/>
      <c r="U152" s="13"/>
      <c r="V152" s="30"/>
      <c r="W152" s="30"/>
      <c r="X152" s="30"/>
      <c r="Y152" s="30"/>
      <c r="Z152" s="30"/>
      <c r="AA152" s="30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I152" s="45"/>
      <c r="CJ152" s="45"/>
      <c r="CK152" s="45"/>
    </row>
    <row r="153" spans="2:89" s="28" customFormat="1">
      <c r="B153" s="29"/>
      <c r="C153" s="29"/>
      <c r="D153" s="29"/>
      <c r="E153" s="29"/>
      <c r="F153" s="29"/>
      <c r="G153" s="32"/>
      <c r="H153" s="29"/>
      <c r="I153" s="33"/>
      <c r="J153" s="29"/>
      <c r="K153" s="29"/>
      <c r="L153" s="29"/>
      <c r="M153" s="29"/>
      <c r="N153" s="30"/>
      <c r="O153" s="30"/>
      <c r="P153" s="13"/>
      <c r="Q153" s="13"/>
      <c r="R153" s="13"/>
      <c r="S153" s="13"/>
      <c r="T153" s="13"/>
      <c r="U153" s="13"/>
      <c r="V153" s="30"/>
      <c r="W153" s="30"/>
      <c r="X153" s="30"/>
      <c r="Y153" s="30"/>
      <c r="Z153" s="30"/>
      <c r="AA153" s="30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I153" s="45"/>
      <c r="CJ153" s="45"/>
      <c r="CK153" s="45"/>
    </row>
    <row r="154" spans="2:89" s="28" customFormat="1">
      <c r="B154" s="29"/>
      <c r="C154" s="29"/>
      <c r="D154" s="29"/>
      <c r="E154" s="29"/>
      <c r="F154" s="29"/>
      <c r="G154" s="32"/>
      <c r="H154" s="29"/>
      <c r="I154" s="33"/>
      <c r="J154" s="29"/>
      <c r="K154" s="29"/>
      <c r="L154" s="29"/>
      <c r="M154" s="29"/>
      <c r="N154" s="30"/>
      <c r="O154" s="30"/>
      <c r="P154" s="13"/>
      <c r="Q154" s="13"/>
      <c r="R154" s="13"/>
      <c r="S154" s="13"/>
      <c r="T154" s="13"/>
      <c r="U154" s="13"/>
      <c r="V154" s="30"/>
      <c r="W154" s="30"/>
      <c r="X154" s="30"/>
      <c r="Y154" s="30"/>
      <c r="Z154" s="30"/>
      <c r="AA154" s="30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I154" s="45"/>
      <c r="CJ154" s="45"/>
      <c r="CK154" s="45"/>
    </row>
    <row r="155" spans="2:89" s="28" customFormat="1">
      <c r="B155" s="29"/>
      <c r="C155" s="29"/>
      <c r="D155" s="29"/>
      <c r="E155" s="29"/>
      <c r="F155" s="29"/>
      <c r="G155" s="32"/>
      <c r="H155" s="29"/>
      <c r="I155" s="33"/>
      <c r="J155" s="29"/>
      <c r="K155" s="29"/>
      <c r="L155" s="29"/>
      <c r="M155" s="29"/>
      <c r="N155" s="30"/>
      <c r="O155" s="30"/>
      <c r="P155" s="13"/>
      <c r="Q155" s="13"/>
      <c r="R155" s="13"/>
      <c r="S155" s="13"/>
      <c r="T155" s="13"/>
      <c r="U155" s="13"/>
      <c r="V155" s="30"/>
      <c r="W155" s="30"/>
      <c r="X155" s="30"/>
      <c r="Y155" s="30"/>
      <c r="Z155" s="30"/>
      <c r="AA155" s="30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I155" s="45"/>
      <c r="CJ155" s="45"/>
      <c r="CK155" s="45"/>
    </row>
    <row r="156" spans="2:89" s="28" customFormat="1">
      <c r="B156" s="29"/>
      <c r="C156" s="29"/>
      <c r="D156" s="29"/>
      <c r="E156" s="29"/>
      <c r="F156" s="29"/>
      <c r="G156" s="32"/>
      <c r="H156" s="29"/>
      <c r="I156" s="33"/>
      <c r="J156" s="29"/>
      <c r="K156" s="29"/>
      <c r="L156" s="29"/>
      <c r="M156" s="29"/>
      <c r="N156" s="30"/>
      <c r="O156" s="30"/>
      <c r="P156" s="13"/>
      <c r="Q156" s="13"/>
      <c r="R156" s="13"/>
      <c r="S156" s="13"/>
      <c r="T156" s="13"/>
      <c r="U156" s="13"/>
      <c r="V156" s="30"/>
      <c r="W156" s="30"/>
      <c r="X156" s="30"/>
      <c r="Y156" s="30"/>
      <c r="Z156" s="30"/>
      <c r="AA156" s="30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I156" s="45"/>
      <c r="CJ156" s="45"/>
      <c r="CK156" s="45"/>
    </row>
    <row r="157" spans="2:89" s="28" customFormat="1">
      <c r="B157" s="29"/>
      <c r="C157" s="29"/>
      <c r="D157" s="29"/>
      <c r="E157" s="29"/>
      <c r="F157" s="29"/>
      <c r="G157" s="32"/>
      <c r="H157" s="29"/>
      <c r="I157" s="33"/>
      <c r="J157" s="29"/>
      <c r="K157" s="29"/>
      <c r="L157" s="29"/>
      <c r="M157" s="29"/>
      <c r="N157" s="30"/>
      <c r="O157" s="30"/>
      <c r="P157" s="13"/>
      <c r="Q157" s="13"/>
      <c r="R157" s="13"/>
      <c r="S157" s="13"/>
      <c r="T157" s="13"/>
      <c r="U157" s="13"/>
      <c r="V157" s="30"/>
      <c r="W157" s="30"/>
      <c r="X157" s="30"/>
      <c r="Y157" s="30"/>
      <c r="Z157" s="30"/>
      <c r="AA157" s="30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I157" s="45"/>
      <c r="CJ157" s="45"/>
      <c r="CK157" s="45"/>
    </row>
    <row r="158" spans="2:89" s="28" customFormat="1">
      <c r="B158" s="29"/>
      <c r="C158" s="29"/>
      <c r="D158" s="29"/>
      <c r="E158" s="29"/>
      <c r="F158" s="29"/>
      <c r="G158" s="32"/>
      <c r="H158" s="29"/>
      <c r="I158" s="33"/>
      <c r="J158" s="29"/>
      <c r="K158" s="29"/>
      <c r="L158" s="29"/>
      <c r="M158" s="29"/>
      <c r="N158" s="30"/>
      <c r="O158" s="30"/>
      <c r="P158" s="13"/>
      <c r="Q158" s="13"/>
      <c r="R158" s="13"/>
      <c r="S158" s="13"/>
      <c r="T158" s="13"/>
      <c r="U158" s="13"/>
      <c r="V158" s="30"/>
      <c r="W158" s="30"/>
      <c r="X158" s="30"/>
      <c r="Y158" s="30"/>
      <c r="Z158" s="30"/>
      <c r="AA158" s="30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I158" s="45"/>
      <c r="CJ158" s="45"/>
      <c r="CK158" s="45"/>
    </row>
    <row r="159" spans="2:89" s="28" customFormat="1">
      <c r="B159" s="29"/>
      <c r="C159" s="29"/>
      <c r="D159" s="29"/>
      <c r="E159" s="29"/>
      <c r="F159" s="29"/>
      <c r="G159" s="32"/>
      <c r="H159" s="29"/>
      <c r="I159" s="33"/>
      <c r="J159" s="29"/>
      <c r="K159" s="29"/>
      <c r="L159" s="29"/>
      <c r="M159" s="29"/>
      <c r="N159" s="30"/>
      <c r="O159" s="30"/>
      <c r="P159" s="13"/>
      <c r="Q159" s="13"/>
      <c r="R159" s="13"/>
      <c r="S159" s="13"/>
      <c r="T159" s="13"/>
      <c r="U159" s="13"/>
      <c r="V159" s="30"/>
      <c r="W159" s="30"/>
      <c r="X159" s="30"/>
      <c r="Y159" s="30"/>
      <c r="Z159" s="30"/>
      <c r="AA159" s="30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I159" s="45"/>
      <c r="CJ159" s="45"/>
      <c r="CK159" s="45"/>
    </row>
    <row r="160" spans="2:89" s="28" customFormat="1">
      <c r="B160" s="29"/>
      <c r="C160" s="29"/>
      <c r="D160" s="29"/>
      <c r="E160" s="29"/>
      <c r="F160" s="29"/>
      <c r="G160" s="32"/>
      <c r="H160" s="29"/>
      <c r="I160" s="33"/>
      <c r="J160" s="29"/>
      <c r="K160" s="29"/>
      <c r="L160" s="29"/>
      <c r="M160" s="29"/>
      <c r="N160" s="30"/>
      <c r="O160" s="30"/>
      <c r="P160" s="13"/>
      <c r="Q160" s="13"/>
      <c r="R160" s="13"/>
      <c r="S160" s="13"/>
      <c r="T160" s="13"/>
      <c r="U160" s="13"/>
      <c r="V160" s="30"/>
      <c r="W160" s="30"/>
      <c r="X160" s="30"/>
      <c r="Y160" s="30"/>
      <c r="Z160" s="30"/>
      <c r="AA160" s="30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I160" s="45"/>
      <c r="CJ160" s="45"/>
      <c r="CK160" s="45"/>
    </row>
    <row r="161" spans="2:89" s="28" customFormat="1">
      <c r="B161" s="29"/>
      <c r="C161" s="29"/>
      <c r="D161" s="29"/>
      <c r="E161" s="29"/>
      <c r="F161" s="29"/>
      <c r="G161" s="32"/>
      <c r="H161" s="29"/>
      <c r="I161" s="33"/>
      <c r="J161" s="29"/>
      <c r="K161" s="29"/>
      <c r="L161" s="29"/>
      <c r="M161" s="29"/>
      <c r="N161" s="30"/>
      <c r="O161" s="30"/>
      <c r="P161" s="13"/>
      <c r="Q161" s="13"/>
      <c r="R161" s="13"/>
      <c r="S161" s="13"/>
      <c r="T161" s="13"/>
      <c r="U161" s="13"/>
      <c r="V161" s="30"/>
      <c r="W161" s="30"/>
      <c r="X161" s="30"/>
      <c r="Y161" s="30"/>
      <c r="Z161" s="30"/>
      <c r="AA161" s="30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I161" s="45"/>
      <c r="CJ161" s="45"/>
      <c r="CK161" s="45"/>
    </row>
    <row r="162" spans="2:89" s="28" customFormat="1">
      <c r="B162" s="29"/>
      <c r="C162" s="29"/>
      <c r="D162" s="29"/>
      <c r="E162" s="29"/>
      <c r="F162" s="29"/>
      <c r="G162" s="32"/>
      <c r="H162" s="29"/>
      <c r="I162" s="33"/>
      <c r="J162" s="29"/>
      <c r="K162" s="29"/>
      <c r="L162" s="29"/>
      <c r="M162" s="29"/>
      <c r="N162" s="30"/>
      <c r="O162" s="30"/>
      <c r="P162" s="13"/>
      <c r="Q162" s="13"/>
      <c r="R162" s="13"/>
      <c r="S162" s="13"/>
      <c r="T162" s="13"/>
      <c r="U162" s="13"/>
      <c r="V162" s="30"/>
      <c r="W162" s="30"/>
      <c r="X162" s="30"/>
      <c r="Y162" s="30"/>
      <c r="Z162" s="30"/>
      <c r="AA162" s="30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I162" s="45"/>
      <c r="CJ162" s="45"/>
      <c r="CK162" s="45"/>
    </row>
    <row r="163" spans="2:89" s="28" customFormat="1">
      <c r="B163" s="29"/>
      <c r="C163" s="29"/>
      <c r="D163" s="29"/>
      <c r="E163" s="29"/>
      <c r="F163" s="29"/>
      <c r="G163" s="32"/>
      <c r="H163" s="29"/>
      <c r="I163" s="33"/>
      <c r="J163" s="29"/>
      <c r="K163" s="29"/>
      <c r="L163" s="29"/>
      <c r="M163" s="29"/>
      <c r="N163" s="30"/>
      <c r="O163" s="30"/>
      <c r="P163" s="13"/>
      <c r="Q163" s="13"/>
      <c r="R163" s="13"/>
      <c r="S163" s="13"/>
      <c r="T163" s="13"/>
      <c r="U163" s="13"/>
      <c r="V163" s="30"/>
      <c r="W163" s="30"/>
      <c r="X163" s="30"/>
      <c r="Y163" s="30"/>
      <c r="Z163" s="30"/>
      <c r="AA163" s="30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I163" s="45"/>
      <c r="CJ163" s="45"/>
      <c r="CK163" s="45"/>
    </row>
    <row r="164" spans="2:89" s="28" customFormat="1">
      <c r="B164" s="29"/>
      <c r="C164" s="29"/>
      <c r="D164" s="29"/>
      <c r="E164" s="29"/>
      <c r="F164" s="29"/>
      <c r="G164" s="32"/>
      <c r="H164" s="29"/>
      <c r="I164" s="33"/>
      <c r="J164" s="29"/>
      <c r="K164" s="29"/>
      <c r="L164" s="29"/>
      <c r="M164" s="29"/>
      <c r="N164" s="30"/>
      <c r="O164" s="30"/>
      <c r="P164" s="13"/>
      <c r="Q164" s="13"/>
      <c r="R164" s="13"/>
      <c r="S164" s="13"/>
      <c r="T164" s="13"/>
      <c r="U164" s="13"/>
      <c r="V164" s="30"/>
      <c r="W164" s="30"/>
      <c r="X164" s="30"/>
      <c r="Y164" s="30"/>
      <c r="Z164" s="30"/>
      <c r="AA164" s="30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I164" s="45"/>
      <c r="CJ164" s="45"/>
      <c r="CK164" s="45"/>
    </row>
    <row r="165" spans="2:89" s="28" customFormat="1">
      <c r="B165" s="29"/>
      <c r="C165" s="29"/>
      <c r="D165" s="29"/>
      <c r="E165" s="29"/>
      <c r="F165" s="29"/>
      <c r="G165" s="32"/>
      <c r="H165" s="29"/>
      <c r="I165" s="33"/>
      <c r="J165" s="29"/>
      <c r="K165" s="29"/>
      <c r="L165" s="29"/>
      <c r="M165" s="29"/>
      <c r="N165" s="30"/>
      <c r="O165" s="30"/>
      <c r="P165" s="13"/>
      <c r="Q165" s="13"/>
      <c r="R165" s="13"/>
      <c r="S165" s="13"/>
      <c r="T165" s="13"/>
      <c r="U165" s="13"/>
      <c r="V165" s="30"/>
      <c r="W165" s="30"/>
      <c r="X165" s="30"/>
      <c r="Y165" s="30"/>
      <c r="Z165" s="30"/>
      <c r="AA165" s="30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I165" s="45"/>
      <c r="CJ165" s="45"/>
      <c r="CK165" s="45"/>
    </row>
    <row r="166" spans="2:89" s="28" customFormat="1">
      <c r="B166" s="29"/>
      <c r="C166" s="29"/>
      <c r="D166" s="29"/>
      <c r="E166" s="29"/>
      <c r="F166" s="29"/>
      <c r="G166" s="32"/>
      <c r="H166" s="29"/>
      <c r="I166" s="33"/>
      <c r="J166" s="29"/>
      <c r="K166" s="29"/>
      <c r="L166" s="29"/>
      <c r="M166" s="29"/>
      <c r="N166" s="30"/>
      <c r="O166" s="30"/>
      <c r="P166" s="13"/>
      <c r="Q166" s="13"/>
      <c r="R166" s="13"/>
      <c r="S166" s="13"/>
      <c r="T166" s="13"/>
      <c r="U166" s="13"/>
      <c r="V166" s="30"/>
      <c r="W166" s="30"/>
      <c r="X166" s="30"/>
      <c r="Y166" s="30"/>
      <c r="Z166" s="30"/>
      <c r="AA166" s="30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I166" s="45"/>
      <c r="CJ166" s="45"/>
      <c r="CK166" s="45"/>
    </row>
    <row r="167" spans="2:89" s="28" customFormat="1">
      <c r="B167" s="29"/>
      <c r="C167" s="29"/>
      <c r="D167" s="29"/>
      <c r="E167" s="29"/>
      <c r="F167" s="29"/>
      <c r="G167" s="32"/>
      <c r="H167" s="29"/>
      <c r="I167" s="33"/>
      <c r="J167" s="29"/>
      <c r="K167" s="29"/>
      <c r="L167" s="29"/>
      <c r="M167" s="29"/>
      <c r="N167" s="30"/>
      <c r="O167" s="30"/>
      <c r="P167" s="13"/>
      <c r="Q167" s="13"/>
      <c r="R167" s="13"/>
      <c r="S167" s="13"/>
      <c r="T167" s="13"/>
      <c r="U167" s="13"/>
      <c r="V167" s="30"/>
      <c r="W167" s="30"/>
      <c r="X167" s="30"/>
      <c r="Y167" s="30"/>
      <c r="Z167" s="30"/>
      <c r="AA167" s="30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I167" s="45"/>
      <c r="CJ167" s="45"/>
      <c r="CK167" s="45"/>
    </row>
    <row r="168" spans="2:89" s="28" customFormat="1">
      <c r="B168" s="29"/>
      <c r="C168" s="29"/>
      <c r="D168" s="29"/>
      <c r="E168" s="29"/>
      <c r="F168" s="29"/>
      <c r="G168" s="32"/>
      <c r="H168" s="29"/>
      <c r="I168" s="33"/>
      <c r="J168" s="29"/>
      <c r="K168" s="29"/>
      <c r="L168" s="29"/>
      <c r="M168" s="29"/>
      <c r="N168" s="30"/>
      <c r="O168" s="30"/>
      <c r="P168" s="13"/>
      <c r="Q168" s="13"/>
      <c r="R168" s="13"/>
      <c r="S168" s="13"/>
      <c r="T168" s="13"/>
      <c r="U168" s="13"/>
      <c r="V168" s="30"/>
      <c r="W168" s="30"/>
      <c r="X168" s="30"/>
      <c r="Y168" s="30"/>
      <c r="Z168" s="30"/>
      <c r="AA168" s="30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I168" s="45"/>
      <c r="CJ168" s="45"/>
      <c r="CK168" s="45"/>
    </row>
    <row r="169" spans="2:89" s="28" customFormat="1">
      <c r="B169" s="29"/>
      <c r="C169" s="29"/>
      <c r="D169" s="29"/>
      <c r="E169" s="29"/>
      <c r="F169" s="29"/>
      <c r="G169" s="32"/>
      <c r="H169" s="29"/>
      <c r="I169" s="33"/>
      <c r="J169" s="29"/>
      <c r="K169" s="29"/>
      <c r="L169" s="29"/>
      <c r="M169" s="29"/>
      <c r="N169" s="30"/>
      <c r="O169" s="30"/>
      <c r="P169" s="13"/>
      <c r="Q169" s="13"/>
      <c r="R169" s="13"/>
      <c r="S169" s="13"/>
      <c r="T169" s="13"/>
      <c r="U169" s="13"/>
      <c r="V169" s="30"/>
      <c r="W169" s="30"/>
      <c r="X169" s="30"/>
      <c r="Y169" s="30"/>
      <c r="Z169" s="30"/>
      <c r="AA169" s="30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I169" s="45"/>
      <c r="CJ169" s="45"/>
      <c r="CK169" s="45"/>
    </row>
    <row r="170" spans="2:89" s="28" customFormat="1">
      <c r="B170" s="29"/>
      <c r="C170" s="29"/>
      <c r="D170" s="29"/>
      <c r="E170" s="29"/>
      <c r="F170" s="29"/>
      <c r="G170" s="32"/>
      <c r="H170" s="29"/>
      <c r="I170" s="33"/>
      <c r="J170" s="29"/>
      <c r="K170" s="29"/>
      <c r="L170" s="29"/>
      <c r="M170" s="29"/>
      <c r="N170" s="30"/>
      <c r="O170" s="30"/>
      <c r="P170" s="13"/>
      <c r="Q170" s="13"/>
      <c r="R170" s="13"/>
      <c r="S170" s="13"/>
      <c r="T170" s="13"/>
      <c r="U170" s="13"/>
      <c r="V170" s="30"/>
      <c r="W170" s="30"/>
      <c r="X170" s="30"/>
      <c r="Y170" s="30"/>
      <c r="Z170" s="30"/>
      <c r="AA170" s="30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I170" s="45"/>
      <c r="CJ170" s="45"/>
      <c r="CK170" s="45"/>
    </row>
    <row r="171" spans="2:89" s="28" customFormat="1">
      <c r="B171" s="29"/>
      <c r="C171" s="29"/>
      <c r="D171" s="29"/>
      <c r="E171" s="29"/>
      <c r="F171" s="29"/>
      <c r="G171" s="32"/>
      <c r="H171" s="29"/>
      <c r="I171" s="33"/>
      <c r="J171" s="29"/>
      <c r="K171" s="29"/>
      <c r="L171" s="29"/>
      <c r="M171" s="29"/>
      <c r="N171" s="30"/>
      <c r="O171" s="30"/>
      <c r="P171" s="13"/>
      <c r="Q171" s="13"/>
      <c r="R171" s="13"/>
      <c r="S171" s="13"/>
      <c r="T171" s="13"/>
      <c r="U171" s="13"/>
      <c r="V171" s="30"/>
      <c r="W171" s="30"/>
      <c r="X171" s="30"/>
      <c r="Y171" s="30"/>
      <c r="Z171" s="30"/>
      <c r="AA171" s="30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I171" s="45"/>
      <c r="CJ171" s="45"/>
      <c r="CK171" s="45"/>
    </row>
    <row r="172" spans="2:89" s="28" customFormat="1">
      <c r="B172" s="29"/>
      <c r="C172" s="29"/>
      <c r="D172" s="29"/>
      <c r="E172" s="29"/>
      <c r="F172" s="29"/>
      <c r="G172" s="32"/>
      <c r="H172" s="29"/>
      <c r="I172" s="33"/>
      <c r="J172" s="29"/>
      <c r="K172" s="29"/>
      <c r="L172" s="29"/>
      <c r="M172" s="29"/>
      <c r="N172" s="30"/>
      <c r="O172" s="30"/>
      <c r="P172" s="13"/>
      <c r="Q172" s="13"/>
      <c r="R172" s="13"/>
      <c r="S172" s="13"/>
      <c r="T172" s="13"/>
      <c r="U172" s="13"/>
      <c r="V172" s="30"/>
      <c r="W172" s="30"/>
      <c r="X172" s="30"/>
      <c r="Y172" s="30"/>
      <c r="Z172" s="30"/>
      <c r="AA172" s="30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I172" s="45"/>
      <c r="CJ172" s="45"/>
      <c r="CK172" s="45"/>
    </row>
    <row r="173" spans="2:89" s="28" customFormat="1">
      <c r="B173" s="29"/>
      <c r="C173" s="29"/>
      <c r="D173" s="29"/>
      <c r="E173" s="29"/>
      <c r="F173" s="29"/>
      <c r="G173" s="32"/>
      <c r="H173" s="29"/>
      <c r="I173" s="33"/>
      <c r="J173" s="29"/>
      <c r="K173" s="29"/>
      <c r="L173" s="29"/>
      <c r="M173" s="29"/>
      <c r="N173" s="30"/>
      <c r="O173" s="30"/>
      <c r="P173" s="13"/>
      <c r="Q173" s="13"/>
      <c r="R173" s="13"/>
      <c r="S173" s="13"/>
      <c r="T173" s="13"/>
      <c r="U173" s="13"/>
      <c r="V173" s="30"/>
      <c r="W173" s="30"/>
      <c r="X173" s="30"/>
      <c r="Y173" s="30"/>
      <c r="Z173" s="30"/>
      <c r="AA173" s="30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I173" s="45"/>
      <c r="CJ173" s="45"/>
      <c r="CK173" s="45"/>
    </row>
    <row r="174" spans="2:89" s="28" customFormat="1">
      <c r="B174" s="29"/>
      <c r="C174" s="29"/>
      <c r="D174" s="29"/>
      <c r="E174" s="29"/>
      <c r="F174" s="29"/>
      <c r="G174" s="32"/>
      <c r="H174" s="29"/>
      <c r="I174" s="33"/>
      <c r="J174" s="29"/>
      <c r="K174" s="29"/>
      <c r="L174" s="29"/>
      <c r="M174" s="29"/>
      <c r="N174" s="30"/>
      <c r="O174" s="30"/>
      <c r="P174" s="13"/>
      <c r="Q174" s="13"/>
      <c r="R174" s="13"/>
      <c r="S174" s="13"/>
      <c r="T174" s="13"/>
      <c r="U174" s="13"/>
      <c r="V174" s="30"/>
      <c r="W174" s="30"/>
      <c r="X174" s="30"/>
      <c r="Y174" s="30"/>
      <c r="Z174" s="30"/>
      <c r="AA174" s="30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I174" s="45"/>
      <c r="CJ174" s="45"/>
      <c r="CK174" s="45"/>
    </row>
    <row r="175" spans="2:89" s="28" customFormat="1">
      <c r="B175" s="29"/>
      <c r="C175" s="29"/>
      <c r="D175" s="29"/>
      <c r="E175" s="29"/>
      <c r="F175" s="29"/>
      <c r="G175" s="32"/>
      <c r="H175" s="29"/>
      <c r="I175" s="33"/>
      <c r="J175" s="29"/>
      <c r="K175" s="29"/>
      <c r="L175" s="29"/>
      <c r="M175" s="29"/>
      <c r="N175" s="30"/>
      <c r="O175" s="30"/>
      <c r="P175" s="13"/>
      <c r="Q175" s="13"/>
      <c r="R175" s="13"/>
      <c r="S175" s="13"/>
      <c r="T175" s="13"/>
      <c r="U175" s="13"/>
      <c r="V175" s="30"/>
      <c r="W175" s="30"/>
      <c r="X175" s="30"/>
      <c r="Y175" s="30"/>
      <c r="Z175" s="30"/>
      <c r="AA175" s="30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I175" s="45"/>
      <c r="CJ175" s="45"/>
      <c r="CK175" s="45"/>
    </row>
    <row r="176" spans="2:89" s="28" customFormat="1">
      <c r="B176" s="29"/>
      <c r="C176" s="29"/>
      <c r="D176" s="29"/>
      <c r="E176" s="29"/>
      <c r="F176" s="29"/>
      <c r="G176" s="32"/>
      <c r="H176" s="29"/>
      <c r="I176" s="33"/>
      <c r="J176" s="29"/>
      <c r="K176" s="29"/>
      <c r="L176" s="29"/>
      <c r="M176" s="29"/>
      <c r="N176" s="30"/>
      <c r="O176" s="30"/>
      <c r="P176" s="13"/>
      <c r="Q176" s="13"/>
      <c r="R176" s="13"/>
      <c r="S176" s="13"/>
      <c r="T176" s="13"/>
      <c r="U176" s="13"/>
      <c r="V176" s="30"/>
      <c r="W176" s="30"/>
      <c r="X176" s="30"/>
      <c r="Y176" s="30"/>
      <c r="Z176" s="30"/>
      <c r="AA176" s="30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I176" s="45"/>
      <c r="CJ176" s="45"/>
      <c r="CK176" s="45"/>
    </row>
    <row r="177" spans="2:89" s="28" customFormat="1">
      <c r="B177" s="29"/>
      <c r="C177" s="29"/>
      <c r="D177" s="29"/>
      <c r="E177" s="29"/>
      <c r="F177" s="29"/>
      <c r="G177" s="32"/>
      <c r="H177" s="29"/>
      <c r="I177" s="33"/>
      <c r="J177" s="29"/>
      <c r="K177" s="29"/>
      <c r="L177" s="29"/>
      <c r="M177" s="29"/>
      <c r="N177" s="30"/>
      <c r="O177" s="30"/>
      <c r="P177" s="13"/>
      <c r="Q177" s="13"/>
      <c r="R177" s="13"/>
      <c r="S177" s="13"/>
      <c r="T177" s="13"/>
      <c r="U177" s="13"/>
      <c r="V177" s="30"/>
      <c r="W177" s="30"/>
      <c r="X177" s="30"/>
      <c r="Y177" s="30"/>
      <c r="Z177" s="30"/>
      <c r="AA177" s="30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I177" s="45"/>
      <c r="CJ177" s="45"/>
      <c r="CK177" s="45"/>
    </row>
    <row r="178" spans="2:89" s="28" customFormat="1">
      <c r="B178" s="29"/>
      <c r="C178" s="29"/>
      <c r="D178" s="29"/>
      <c r="E178" s="29"/>
      <c r="F178" s="29"/>
      <c r="G178" s="32"/>
      <c r="H178" s="29"/>
      <c r="I178" s="33"/>
      <c r="J178" s="29"/>
      <c r="K178" s="29"/>
      <c r="L178" s="29"/>
      <c r="M178" s="29"/>
      <c r="N178" s="30"/>
      <c r="O178" s="30"/>
      <c r="P178" s="13"/>
      <c r="Q178" s="13"/>
      <c r="R178" s="13"/>
      <c r="S178" s="13"/>
      <c r="T178" s="13"/>
      <c r="U178" s="13"/>
      <c r="V178" s="30"/>
      <c r="W178" s="30"/>
      <c r="X178" s="30"/>
      <c r="Y178" s="30"/>
      <c r="Z178" s="30"/>
      <c r="AA178" s="30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I178" s="45"/>
      <c r="CJ178" s="45"/>
      <c r="CK178" s="45"/>
    </row>
    <row r="179" spans="2:89" s="28" customFormat="1">
      <c r="B179" s="29"/>
      <c r="C179" s="29"/>
      <c r="D179" s="29"/>
      <c r="E179" s="29"/>
      <c r="F179" s="29"/>
      <c r="G179" s="32"/>
      <c r="H179" s="29"/>
      <c r="I179" s="33"/>
      <c r="J179" s="29"/>
      <c r="K179" s="29"/>
      <c r="L179" s="29"/>
      <c r="M179" s="29"/>
      <c r="N179" s="30"/>
      <c r="O179" s="30"/>
      <c r="P179" s="13"/>
      <c r="Q179" s="13"/>
      <c r="R179" s="13"/>
      <c r="S179" s="13"/>
      <c r="T179" s="13"/>
      <c r="U179" s="13"/>
      <c r="V179" s="30"/>
      <c r="W179" s="30"/>
      <c r="X179" s="30"/>
      <c r="Y179" s="30"/>
      <c r="Z179" s="30"/>
      <c r="AA179" s="30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I179" s="45"/>
      <c r="CJ179" s="45"/>
      <c r="CK179" s="45"/>
    </row>
    <row r="180" spans="2:89" s="28" customFormat="1">
      <c r="B180" s="29"/>
      <c r="C180" s="29"/>
      <c r="D180" s="29"/>
      <c r="E180" s="29"/>
      <c r="F180" s="29"/>
      <c r="G180" s="32"/>
      <c r="H180" s="29"/>
      <c r="I180" s="33"/>
      <c r="J180" s="29"/>
      <c r="K180" s="29"/>
      <c r="L180" s="29"/>
      <c r="M180" s="29"/>
      <c r="N180" s="30"/>
      <c r="O180" s="30"/>
      <c r="P180" s="13"/>
      <c r="Q180" s="13"/>
      <c r="R180" s="13"/>
      <c r="S180" s="13"/>
      <c r="T180" s="13"/>
      <c r="U180" s="13"/>
      <c r="V180" s="30"/>
      <c r="W180" s="30"/>
      <c r="X180" s="30"/>
      <c r="Y180" s="30"/>
      <c r="Z180" s="30"/>
      <c r="AA180" s="30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I180" s="45"/>
      <c r="CJ180" s="45"/>
      <c r="CK180" s="45"/>
    </row>
    <row r="181" spans="2:89" s="28" customFormat="1">
      <c r="B181" s="29"/>
      <c r="C181" s="29"/>
      <c r="D181" s="29"/>
      <c r="E181" s="29"/>
      <c r="F181" s="29"/>
      <c r="G181" s="32"/>
      <c r="H181" s="29"/>
      <c r="I181" s="33"/>
      <c r="J181" s="29"/>
      <c r="K181" s="29"/>
      <c r="L181" s="29"/>
      <c r="M181" s="29"/>
      <c r="N181" s="30"/>
      <c r="O181" s="30"/>
      <c r="P181" s="13"/>
      <c r="Q181" s="13"/>
      <c r="R181" s="13"/>
      <c r="S181" s="13"/>
      <c r="T181" s="13"/>
      <c r="U181" s="13"/>
      <c r="V181" s="30"/>
      <c r="W181" s="30"/>
      <c r="X181" s="30"/>
      <c r="Y181" s="30"/>
      <c r="Z181" s="30"/>
      <c r="AA181" s="30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I181" s="45"/>
      <c r="CJ181" s="45"/>
      <c r="CK181" s="45"/>
    </row>
    <row r="182" spans="2:89" s="28" customFormat="1">
      <c r="B182" s="29"/>
      <c r="C182" s="29"/>
      <c r="D182" s="29"/>
      <c r="E182" s="29"/>
      <c r="F182" s="29"/>
      <c r="G182" s="32"/>
      <c r="H182" s="29"/>
      <c r="I182" s="33"/>
      <c r="J182" s="29"/>
      <c r="K182" s="29"/>
      <c r="L182" s="29"/>
      <c r="M182" s="29"/>
      <c r="N182" s="30"/>
      <c r="O182" s="30"/>
      <c r="P182" s="13"/>
      <c r="Q182" s="13"/>
      <c r="R182" s="13"/>
      <c r="S182" s="13"/>
      <c r="T182" s="13"/>
      <c r="U182" s="13"/>
      <c r="V182" s="30"/>
      <c r="W182" s="30"/>
      <c r="X182" s="30"/>
      <c r="Y182" s="30"/>
      <c r="Z182" s="30"/>
      <c r="AA182" s="30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I182" s="45"/>
      <c r="CJ182" s="45"/>
      <c r="CK182" s="45"/>
    </row>
    <row r="183" spans="2:89" s="28" customFormat="1">
      <c r="B183" s="29"/>
      <c r="C183" s="29"/>
      <c r="D183" s="29"/>
      <c r="E183" s="29"/>
      <c r="F183" s="29"/>
      <c r="G183" s="32"/>
      <c r="H183" s="29"/>
      <c r="I183" s="33"/>
      <c r="J183" s="29"/>
      <c r="K183" s="29"/>
      <c r="L183" s="29"/>
      <c r="M183" s="29"/>
      <c r="N183" s="30"/>
      <c r="O183" s="30"/>
      <c r="P183" s="13"/>
      <c r="Q183" s="13"/>
      <c r="R183" s="13"/>
      <c r="S183" s="13"/>
      <c r="T183" s="13"/>
      <c r="U183" s="13"/>
      <c r="V183" s="30"/>
      <c r="W183" s="30"/>
      <c r="X183" s="30"/>
      <c r="Y183" s="30"/>
      <c r="Z183" s="30"/>
      <c r="AA183" s="30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I183" s="45"/>
      <c r="CJ183" s="45"/>
      <c r="CK183" s="45"/>
    </row>
    <row r="184" spans="2:89" s="28" customFormat="1">
      <c r="B184" s="29"/>
      <c r="C184" s="29"/>
      <c r="D184" s="29"/>
      <c r="E184" s="29"/>
      <c r="F184" s="29"/>
      <c r="G184" s="32"/>
      <c r="H184" s="29"/>
      <c r="I184" s="33"/>
      <c r="J184" s="29"/>
      <c r="K184" s="29"/>
      <c r="L184" s="29"/>
      <c r="M184" s="29"/>
      <c r="N184" s="30"/>
      <c r="O184" s="30"/>
      <c r="P184" s="13"/>
      <c r="Q184" s="13"/>
      <c r="R184" s="13"/>
      <c r="S184" s="13"/>
      <c r="T184" s="13"/>
      <c r="U184" s="13"/>
      <c r="V184" s="30"/>
      <c r="W184" s="30"/>
      <c r="X184" s="30"/>
      <c r="Y184" s="30"/>
      <c r="Z184" s="30"/>
      <c r="AA184" s="30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I184" s="45"/>
      <c r="CJ184" s="45"/>
      <c r="CK184" s="45"/>
    </row>
    <row r="185" spans="2:89" s="28" customFormat="1">
      <c r="B185" s="29"/>
      <c r="C185" s="29"/>
      <c r="D185" s="29"/>
      <c r="E185" s="29"/>
      <c r="F185" s="29"/>
      <c r="G185" s="32"/>
      <c r="H185" s="29"/>
      <c r="I185" s="33"/>
      <c r="J185" s="29"/>
      <c r="K185" s="29"/>
      <c r="L185" s="29"/>
      <c r="M185" s="29"/>
      <c r="N185" s="30"/>
      <c r="O185" s="30"/>
      <c r="P185" s="13"/>
      <c r="Q185" s="13"/>
      <c r="R185" s="13"/>
      <c r="S185" s="13"/>
      <c r="T185" s="13"/>
      <c r="U185" s="13"/>
      <c r="V185" s="30"/>
      <c r="W185" s="30"/>
      <c r="X185" s="30"/>
      <c r="Y185" s="30"/>
      <c r="Z185" s="30"/>
      <c r="AA185" s="30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I185" s="45"/>
      <c r="CJ185" s="45"/>
      <c r="CK185" s="45"/>
    </row>
    <row r="186" spans="2:89" s="28" customFormat="1">
      <c r="B186" s="29"/>
      <c r="C186" s="29"/>
      <c r="D186" s="29"/>
      <c r="E186" s="29"/>
      <c r="F186" s="29"/>
      <c r="G186" s="32"/>
      <c r="H186" s="29"/>
      <c r="I186" s="33"/>
      <c r="J186" s="29"/>
      <c r="K186" s="29"/>
      <c r="L186" s="29"/>
      <c r="M186" s="29"/>
      <c r="N186" s="30"/>
      <c r="O186" s="30"/>
      <c r="P186" s="13"/>
      <c r="Q186" s="13"/>
      <c r="R186" s="13"/>
      <c r="S186" s="13"/>
      <c r="T186" s="13"/>
      <c r="U186" s="13"/>
      <c r="V186" s="30"/>
      <c r="W186" s="30"/>
      <c r="X186" s="30"/>
      <c r="Y186" s="30"/>
      <c r="Z186" s="30"/>
      <c r="AA186" s="30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I186" s="45"/>
      <c r="CJ186" s="45"/>
      <c r="CK186" s="45"/>
    </row>
    <row r="187" spans="2:89" s="28" customFormat="1">
      <c r="B187" s="29"/>
      <c r="C187" s="29"/>
      <c r="D187" s="29"/>
      <c r="E187" s="29"/>
      <c r="F187" s="29"/>
      <c r="G187" s="32"/>
      <c r="H187" s="29"/>
      <c r="I187" s="33"/>
      <c r="J187" s="29"/>
      <c r="K187" s="29"/>
      <c r="L187" s="29"/>
      <c r="M187" s="29"/>
      <c r="N187" s="30"/>
      <c r="O187" s="30"/>
      <c r="P187" s="13"/>
      <c r="Q187" s="13"/>
      <c r="R187" s="13"/>
      <c r="S187" s="13"/>
      <c r="T187" s="13"/>
      <c r="U187" s="13"/>
      <c r="V187" s="30"/>
      <c r="W187" s="30"/>
      <c r="X187" s="30"/>
      <c r="Y187" s="30"/>
      <c r="Z187" s="30"/>
      <c r="AA187" s="30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I187" s="45"/>
      <c r="CJ187" s="45"/>
      <c r="CK187" s="45"/>
    </row>
    <row r="188" spans="2:89" s="28" customFormat="1">
      <c r="B188" s="29"/>
      <c r="C188" s="29"/>
      <c r="D188" s="29"/>
      <c r="E188" s="29"/>
      <c r="F188" s="29"/>
      <c r="G188" s="32"/>
      <c r="H188" s="29"/>
      <c r="I188" s="33"/>
      <c r="J188" s="29"/>
      <c r="K188" s="29"/>
      <c r="L188" s="29"/>
      <c r="M188" s="29"/>
      <c r="N188" s="30"/>
      <c r="O188" s="30"/>
      <c r="P188" s="13"/>
      <c r="Q188" s="13"/>
      <c r="R188" s="13"/>
      <c r="S188" s="13"/>
      <c r="T188" s="13"/>
      <c r="U188" s="13"/>
      <c r="V188" s="30"/>
      <c r="W188" s="30"/>
      <c r="X188" s="30"/>
      <c r="Y188" s="30"/>
      <c r="Z188" s="30"/>
      <c r="AA188" s="30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I188" s="45"/>
      <c r="CJ188" s="45"/>
      <c r="CK188" s="45"/>
    </row>
    <row r="189" spans="2:89" s="28" customFormat="1">
      <c r="B189" s="29"/>
      <c r="C189" s="29"/>
      <c r="D189" s="29"/>
      <c r="E189" s="29"/>
      <c r="F189" s="29"/>
      <c r="G189" s="32"/>
      <c r="H189" s="29"/>
      <c r="I189" s="33"/>
      <c r="J189" s="29"/>
      <c r="K189" s="29"/>
      <c r="L189" s="29"/>
      <c r="M189" s="29"/>
      <c r="N189" s="30"/>
      <c r="O189" s="30"/>
      <c r="P189" s="13"/>
      <c r="Q189" s="13"/>
      <c r="R189" s="13"/>
      <c r="S189" s="13"/>
      <c r="T189" s="13"/>
      <c r="U189" s="13"/>
      <c r="V189" s="30"/>
      <c r="W189" s="30"/>
      <c r="X189" s="30"/>
      <c r="Y189" s="30"/>
      <c r="Z189" s="30"/>
      <c r="AA189" s="30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I189" s="45"/>
      <c r="CJ189" s="45"/>
      <c r="CK189" s="45"/>
    </row>
    <row r="190" spans="2:89" s="28" customFormat="1">
      <c r="B190" s="29"/>
      <c r="C190" s="29"/>
      <c r="D190" s="29"/>
      <c r="E190" s="29"/>
      <c r="F190" s="29"/>
      <c r="G190" s="32"/>
      <c r="H190" s="29"/>
      <c r="I190" s="33"/>
      <c r="J190" s="29"/>
      <c r="K190" s="29"/>
      <c r="L190" s="29"/>
      <c r="M190" s="29"/>
      <c r="N190" s="30"/>
      <c r="O190" s="30"/>
      <c r="P190" s="13"/>
      <c r="Q190" s="13"/>
      <c r="R190" s="13"/>
      <c r="S190" s="13"/>
      <c r="T190" s="13"/>
      <c r="U190" s="13"/>
      <c r="V190" s="30"/>
      <c r="W190" s="30"/>
      <c r="X190" s="30"/>
      <c r="Y190" s="30"/>
      <c r="Z190" s="30"/>
      <c r="AA190" s="30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I190" s="45"/>
      <c r="CJ190" s="45"/>
      <c r="CK190" s="45"/>
    </row>
    <row r="191" spans="2:89" s="28" customFormat="1">
      <c r="B191" s="29"/>
      <c r="C191" s="29"/>
      <c r="D191" s="29"/>
      <c r="E191" s="29"/>
      <c r="F191" s="29"/>
      <c r="G191" s="32"/>
      <c r="H191" s="29"/>
      <c r="I191" s="33"/>
      <c r="J191" s="29"/>
      <c r="K191" s="29"/>
      <c r="L191" s="29"/>
      <c r="M191" s="29"/>
      <c r="N191" s="30"/>
      <c r="O191" s="30"/>
      <c r="P191" s="13"/>
      <c r="Q191" s="13"/>
      <c r="R191" s="13"/>
      <c r="S191" s="13"/>
      <c r="T191" s="13"/>
      <c r="U191" s="13"/>
      <c r="V191" s="30"/>
      <c r="W191" s="30"/>
      <c r="X191" s="30"/>
      <c r="Y191" s="30"/>
      <c r="Z191" s="30"/>
      <c r="AA191" s="30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I191" s="45"/>
      <c r="CJ191" s="45"/>
      <c r="CK191" s="45"/>
    </row>
    <row r="192" spans="2:89" s="28" customFormat="1">
      <c r="B192" s="29"/>
      <c r="C192" s="29"/>
      <c r="D192" s="29"/>
      <c r="E192" s="29"/>
      <c r="F192" s="29"/>
      <c r="G192" s="32"/>
      <c r="H192" s="29"/>
      <c r="I192" s="33"/>
      <c r="J192" s="29"/>
      <c r="K192" s="29"/>
      <c r="L192" s="29"/>
      <c r="M192" s="29"/>
      <c r="N192" s="30"/>
      <c r="O192" s="30"/>
      <c r="P192" s="13"/>
      <c r="Q192" s="13"/>
      <c r="R192" s="13"/>
      <c r="S192" s="13"/>
      <c r="T192" s="13"/>
      <c r="U192" s="13"/>
      <c r="V192" s="30"/>
      <c r="W192" s="30"/>
      <c r="X192" s="30"/>
      <c r="Y192" s="30"/>
      <c r="Z192" s="30"/>
      <c r="AA192" s="30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I192" s="45"/>
      <c r="CJ192" s="45"/>
      <c r="CK192" s="45"/>
    </row>
    <row r="193" spans="2:89" s="28" customFormat="1">
      <c r="B193" s="29"/>
      <c r="C193" s="29"/>
      <c r="D193" s="29"/>
      <c r="E193" s="29"/>
      <c r="F193" s="29"/>
      <c r="G193" s="32"/>
      <c r="H193" s="29"/>
      <c r="I193" s="33"/>
      <c r="J193" s="29"/>
      <c r="K193" s="29"/>
      <c r="L193" s="29"/>
      <c r="M193" s="29"/>
      <c r="N193" s="30"/>
      <c r="O193" s="30"/>
      <c r="P193" s="13"/>
      <c r="Q193" s="13"/>
      <c r="R193" s="13"/>
      <c r="S193" s="13"/>
      <c r="T193" s="13"/>
      <c r="U193" s="13"/>
      <c r="V193" s="30"/>
      <c r="W193" s="30"/>
      <c r="X193" s="30"/>
      <c r="Y193" s="30"/>
      <c r="Z193" s="30"/>
      <c r="AA193" s="30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I193" s="45"/>
      <c r="CJ193" s="45"/>
      <c r="CK193" s="45"/>
    </row>
    <row r="194" spans="2:89" s="28" customFormat="1">
      <c r="B194" s="29"/>
      <c r="C194" s="29"/>
      <c r="D194" s="29"/>
      <c r="E194" s="29"/>
      <c r="F194" s="29"/>
      <c r="G194" s="32"/>
      <c r="H194" s="29"/>
      <c r="I194" s="33"/>
      <c r="J194" s="29"/>
      <c r="K194" s="29"/>
      <c r="L194" s="29"/>
      <c r="M194" s="29"/>
      <c r="N194" s="30"/>
      <c r="O194" s="30"/>
      <c r="P194" s="13"/>
      <c r="Q194" s="13"/>
      <c r="R194" s="13"/>
      <c r="S194" s="13"/>
      <c r="T194" s="13"/>
      <c r="U194" s="13"/>
      <c r="V194" s="30"/>
      <c r="W194" s="30"/>
      <c r="X194" s="30"/>
      <c r="Y194" s="30"/>
      <c r="Z194" s="30"/>
      <c r="AA194" s="30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I194" s="45"/>
      <c r="CJ194" s="45"/>
      <c r="CK194" s="45"/>
    </row>
    <row r="195" spans="2:89" s="28" customFormat="1">
      <c r="B195" s="29"/>
      <c r="C195" s="29"/>
      <c r="D195" s="29"/>
      <c r="E195" s="29"/>
      <c r="F195" s="29"/>
      <c r="G195" s="32"/>
      <c r="H195" s="29"/>
      <c r="I195" s="33"/>
      <c r="J195" s="29"/>
      <c r="K195" s="29"/>
      <c r="L195" s="29"/>
      <c r="M195" s="29"/>
      <c r="N195" s="30"/>
      <c r="O195" s="30"/>
      <c r="P195" s="13"/>
      <c r="Q195" s="13"/>
      <c r="R195" s="13"/>
      <c r="S195" s="13"/>
      <c r="T195" s="13"/>
      <c r="U195" s="13"/>
      <c r="V195" s="30"/>
      <c r="W195" s="30"/>
      <c r="X195" s="30"/>
      <c r="Y195" s="30"/>
      <c r="Z195" s="30"/>
      <c r="AA195" s="30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I195" s="45"/>
      <c r="CJ195" s="45"/>
      <c r="CK195" s="45"/>
    </row>
    <row r="196" spans="2:89" s="28" customFormat="1">
      <c r="B196" s="29"/>
      <c r="C196" s="29"/>
      <c r="D196" s="29"/>
      <c r="E196" s="29"/>
      <c r="F196" s="29"/>
      <c r="G196" s="32"/>
      <c r="H196" s="29"/>
      <c r="I196" s="33"/>
      <c r="J196" s="29"/>
      <c r="K196" s="29"/>
      <c r="L196" s="29"/>
      <c r="M196" s="29"/>
      <c r="N196" s="30"/>
      <c r="O196" s="30"/>
      <c r="P196" s="13"/>
      <c r="Q196" s="13"/>
      <c r="R196" s="13"/>
      <c r="S196" s="13"/>
      <c r="T196" s="13"/>
      <c r="U196" s="13"/>
      <c r="V196" s="30"/>
      <c r="W196" s="30"/>
      <c r="X196" s="30"/>
      <c r="Y196" s="30"/>
      <c r="Z196" s="30"/>
      <c r="AA196" s="30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I196" s="45"/>
      <c r="CJ196" s="45"/>
      <c r="CK196" s="45"/>
    </row>
    <row r="197" spans="2:89" s="28" customFormat="1">
      <c r="B197" s="29"/>
      <c r="C197" s="29"/>
      <c r="D197" s="29"/>
      <c r="E197" s="29"/>
      <c r="F197" s="29"/>
      <c r="G197" s="32"/>
      <c r="H197" s="29"/>
      <c r="I197" s="33"/>
      <c r="J197" s="29"/>
      <c r="K197" s="29"/>
      <c r="L197" s="29"/>
      <c r="M197" s="29"/>
      <c r="N197" s="30"/>
      <c r="O197" s="30"/>
      <c r="P197" s="13"/>
      <c r="Q197" s="13"/>
      <c r="R197" s="13"/>
      <c r="S197" s="13"/>
      <c r="T197" s="13"/>
      <c r="U197" s="13"/>
      <c r="V197" s="30"/>
      <c r="W197" s="30"/>
      <c r="X197" s="30"/>
      <c r="Y197" s="30"/>
      <c r="Z197" s="30"/>
      <c r="AA197" s="30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I197" s="45"/>
      <c r="CJ197" s="45"/>
      <c r="CK197" s="45"/>
    </row>
    <row r="198" spans="2:89" s="28" customFormat="1">
      <c r="B198" s="29"/>
      <c r="C198" s="29"/>
      <c r="D198" s="29"/>
      <c r="E198" s="29"/>
      <c r="F198" s="29"/>
      <c r="G198" s="32"/>
      <c r="H198" s="29"/>
      <c r="I198" s="33"/>
      <c r="J198" s="29"/>
      <c r="K198" s="29"/>
      <c r="L198" s="29"/>
      <c r="M198" s="29"/>
      <c r="N198" s="30"/>
      <c r="O198" s="30"/>
      <c r="P198" s="13"/>
      <c r="Q198" s="13"/>
      <c r="R198" s="13"/>
      <c r="S198" s="13"/>
      <c r="T198" s="13"/>
      <c r="U198" s="13"/>
      <c r="V198" s="30"/>
      <c r="W198" s="30"/>
      <c r="X198" s="30"/>
      <c r="Y198" s="30"/>
      <c r="Z198" s="30"/>
      <c r="AA198" s="30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I198" s="45"/>
      <c r="CJ198" s="45"/>
      <c r="CK198" s="45"/>
    </row>
    <row r="199" spans="2:89" s="28" customFormat="1">
      <c r="B199" s="29"/>
      <c r="C199" s="29"/>
      <c r="D199" s="29"/>
      <c r="E199" s="29"/>
      <c r="F199" s="29"/>
      <c r="G199" s="32"/>
      <c r="H199" s="29"/>
      <c r="I199" s="33"/>
      <c r="J199" s="29"/>
      <c r="K199" s="29"/>
      <c r="L199" s="29"/>
      <c r="M199" s="29"/>
      <c r="N199" s="30"/>
      <c r="O199" s="30"/>
      <c r="P199" s="13"/>
      <c r="Q199" s="13"/>
      <c r="R199" s="13"/>
      <c r="S199" s="13"/>
      <c r="T199" s="13"/>
      <c r="U199" s="13"/>
      <c r="V199" s="30"/>
      <c r="W199" s="30"/>
      <c r="X199" s="30"/>
      <c r="Y199" s="30"/>
      <c r="Z199" s="30"/>
      <c r="AA199" s="30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I199" s="45"/>
      <c r="CJ199" s="45"/>
      <c r="CK199" s="45"/>
    </row>
    <row r="200" spans="2:89" s="28" customFormat="1">
      <c r="B200" s="29"/>
      <c r="C200" s="29"/>
      <c r="D200" s="29"/>
      <c r="E200" s="29"/>
      <c r="F200" s="29"/>
      <c r="G200" s="32"/>
      <c r="H200" s="29"/>
      <c r="I200" s="33"/>
      <c r="J200" s="29"/>
      <c r="K200" s="29"/>
      <c r="L200" s="29"/>
      <c r="M200" s="29"/>
      <c r="N200" s="30"/>
      <c r="O200" s="30"/>
      <c r="P200" s="13"/>
      <c r="Q200" s="13"/>
      <c r="R200" s="13"/>
      <c r="S200" s="13"/>
      <c r="T200" s="13"/>
      <c r="U200" s="13"/>
      <c r="V200" s="30"/>
      <c r="W200" s="30"/>
      <c r="X200" s="30"/>
      <c r="Y200" s="30"/>
      <c r="Z200" s="30"/>
      <c r="AA200" s="30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I200" s="45"/>
      <c r="CJ200" s="45"/>
      <c r="CK200" s="45"/>
    </row>
    <row r="201" spans="2:89" s="28" customFormat="1">
      <c r="B201" s="29"/>
      <c r="C201" s="29"/>
      <c r="D201" s="29"/>
      <c r="E201" s="29"/>
      <c r="F201" s="29"/>
      <c r="G201" s="32"/>
      <c r="H201" s="29"/>
      <c r="I201" s="33"/>
      <c r="J201" s="29"/>
      <c r="K201" s="29"/>
      <c r="L201" s="29"/>
      <c r="M201" s="29"/>
      <c r="N201" s="30"/>
      <c r="O201" s="30"/>
      <c r="P201" s="13"/>
      <c r="Q201" s="13"/>
      <c r="R201" s="13"/>
      <c r="S201" s="13"/>
      <c r="T201" s="13"/>
      <c r="U201" s="13"/>
      <c r="V201" s="30"/>
      <c r="W201" s="30"/>
      <c r="X201" s="30"/>
      <c r="Y201" s="30"/>
      <c r="Z201" s="30"/>
      <c r="AA201" s="30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I201" s="45"/>
      <c r="CJ201" s="45"/>
      <c r="CK201" s="45"/>
    </row>
    <row r="202" spans="2:89" s="28" customFormat="1">
      <c r="B202" s="29"/>
      <c r="C202" s="29"/>
      <c r="D202" s="29"/>
      <c r="E202" s="29"/>
      <c r="F202" s="29"/>
      <c r="G202" s="32"/>
      <c r="H202" s="29"/>
      <c r="I202" s="33"/>
      <c r="J202" s="29"/>
      <c r="K202" s="29"/>
      <c r="L202" s="29"/>
      <c r="M202" s="29"/>
      <c r="N202" s="30"/>
      <c r="O202" s="30"/>
      <c r="P202" s="13"/>
      <c r="Q202" s="13"/>
      <c r="R202" s="13"/>
      <c r="S202" s="13"/>
      <c r="T202" s="13"/>
      <c r="U202" s="13"/>
      <c r="V202" s="30"/>
      <c r="W202" s="30"/>
      <c r="X202" s="30"/>
      <c r="Y202" s="30"/>
      <c r="Z202" s="30"/>
      <c r="AA202" s="30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I202" s="45"/>
      <c r="CJ202" s="45"/>
      <c r="CK202" s="45"/>
    </row>
    <row r="203" spans="2:89" s="28" customFormat="1">
      <c r="B203" s="29"/>
      <c r="C203" s="29"/>
      <c r="D203" s="29"/>
      <c r="E203" s="29"/>
      <c r="F203" s="29"/>
      <c r="G203" s="32"/>
      <c r="H203" s="29"/>
      <c r="I203" s="33"/>
      <c r="J203" s="29"/>
      <c r="K203" s="29"/>
      <c r="L203" s="29"/>
      <c r="M203" s="29"/>
      <c r="N203" s="30"/>
      <c r="O203" s="30"/>
      <c r="P203" s="13"/>
      <c r="Q203" s="13"/>
      <c r="R203" s="13"/>
      <c r="S203" s="13"/>
      <c r="T203" s="13"/>
      <c r="U203" s="13"/>
      <c r="V203" s="30"/>
      <c r="W203" s="30"/>
      <c r="X203" s="30"/>
      <c r="Y203" s="30"/>
      <c r="Z203" s="30"/>
      <c r="AA203" s="30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I203" s="45"/>
      <c r="CJ203" s="45"/>
      <c r="CK203" s="45"/>
    </row>
    <row r="204" spans="2:89" s="28" customFormat="1">
      <c r="B204" s="29"/>
      <c r="C204" s="29"/>
      <c r="D204" s="29"/>
      <c r="E204" s="29"/>
      <c r="F204" s="29"/>
      <c r="G204" s="32"/>
      <c r="H204" s="29"/>
      <c r="I204" s="33"/>
      <c r="J204" s="29"/>
      <c r="K204" s="29"/>
      <c r="L204" s="29"/>
      <c r="M204" s="29"/>
      <c r="N204" s="30"/>
      <c r="O204" s="30"/>
      <c r="P204" s="13"/>
      <c r="Q204" s="13"/>
      <c r="R204" s="13"/>
      <c r="S204" s="13"/>
      <c r="T204" s="13"/>
      <c r="U204" s="13"/>
      <c r="V204" s="30"/>
      <c r="W204" s="30"/>
      <c r="X204" s="30"/>
      <c r="Y204" s="30"/>
      <c r="Z204" s="30"/>
      <c r="AA204" s="30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I204" s="45"/>
      <c r="CJ204" s="45"/>
      <c r="CK204" s="45"/>
    </row>
    <row r="205" spans="2:89" s="28" customFormat="1">
      <c r="B205" s="29"/>
      <c r="C205" s="29"/>
      <c r="D205" s="29"/>
      <c r="E205" s="29"/>
      <c r="F205" s="29"/>
      <c r="G205" s="32"/>
      <c r="H205" s="29"/>
      <c r="I205" s="33"/>
      <c r="J205" s="29"/>
      <c r="K205" s="29"/>
      <c r="L205" s="29"/>
      <c r="M205" s="29"/>
      <c r="N205" s="30"/>
      <c r="O205" s="30"/>
      <c r="P205" s="13"/>
      <c r="Q205" s="13"/>
      <c r="R205" s="13"/>
      <c r="S205" s="13"/>
      <c r="T205" s="13"/>
      <c r="U205" s="13"/>
      <c r="V205" s="30"/>
      <c r="W205" s="30"/>
      <c r="X205" s="30"/>
      <c r="Y205" s="30"/>
      <c r="Z205" s="30"/>
      <c r="AA205" s="30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I205" s="45"/>
      <c r="CJ205" s="45"/>
      <c r="CK205" s="45"/>
    </row>
    <row r="206" spans="2:89" s="28" customFormat="1">
      <c r="B206" s="29"/>
      <c r="C206" s="29"/>
      <c r="D206" s="29"/>
      <c r="E206" s="29"/>
      <c r="F206" s="29"/>
      <c r="G206" s="32"/>
      <c r="H206" s="29"/>
      <c r="I206" s="33"/>
      <c r="J206" s="29"/>
      <c r="K206" s="29"/>
      <c r="L206" s="29"/>
      <c r="M206" s="29"/>
      <c r="N206" s="30"/>
      <c r="O206" s="30"/>
      <c r="P206" s="13"/>
      <c r="Q206" s="13"/>
      <c r="R206" s="13"/>
      <c r="S206" s="13"/>
      <c r="T206" s="13"/>
      <c r="U206" s="13"/>
      <c r="V206" s="30"/>
      <c r="W206" s="30"/>
      <c r="X206" s="30"/>
      <c r="Y206" s="30"/>
      <c r="Z206" s="30"/>
      <c r="AA206" s="30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I206" s="45"/>
      <c r="CJ206" s="45"/>
      <c r="CK206" s="45"/>
    </row>
    <row r="207" spans="2:89" s="28" customFormat="1">
      <c r="B207" s="29"/>
      <c r="C207" s="29"/>
      <c r="D207" s="29"/>
      <c r="E207" s="29"/>
      <c r="F207" s="29"/>
      <c r="G207" s="32"/>
      <c r="H207" s="29"/>
      <c r="I207" s="33"/>
      <c r="J207" s="29"/>
      <c r="K207" s="29"/>
      <c r="L207" s="29"/>
      <c r="M207" s="29"/>
      <c r="N207" s="30"/>
      <c r="O207" s="30"/>
      <c r="P207" s="13"/>
      <c r="Q207" s="13"/>
      <c r="R207" s="13"/>
      <c r="S207" s="13"/>
      <c r="T207" s="13"/>
      <c r="U207" s="13"/>
      <c r="V207" s="30"/>
      <c r="W207" s="30"/>
      <c r="X207" s="30"/>
      <c r="Y207" s="30"/>
      <c r="Z207" s="30"/>
      <c r="AA207" s="30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I207" s="45"/>
      <c r="CJ207" s="45"/>
      <c r="CK207" s="45"/>
    </row>
    <row r="208" spans="2:89" s="28" customFormat="1">
      <c r="B208" s="29"/>
      <c r="C208" s="29"/>
      <c r="D208" s="29"/>
      <c r="E208" s="29"/>
      <c r="F208" s="29"/>
      <c r="G208" s="32"/>
      <c r="H208" s="29"/>
      <c r="I208" s="33"/>
      <c r="J208" s="29"/>
      <c r="K208" s="29"/>
      <c r="L208" s="29"/>
      <c r="M208" s="29"/>
      <c r="N208" s="30"/>
      <c r="O208" s="30"/>
      <c r="P208" s="13"/>
      <c r="Q208" s="13"/>
      <c r="R208" s="13"/>
      <c r="S208" s="13"/>
      <c r="T208" s="13"/>
      <c r="U208" s="13"/>
      <c r="V208" s="30"/>
      <c r="W208" s="30"/>
      <c r="X208" s="30"/>
      <c r="Y208" s="30"/>
      <c r="Z208" s="30"/>
      <c r="AA208" s="30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I208" s="45"/>
      <c r="CJ208" s="45"/>
      <c r="CK208" s="45"/>
    </row>
    <row r="209" spans="2:89" s="28" customFormat="1">
      <c r="B209" s="29"/>
      <c r="C209" s="29"/>
      <c r="D209" s="29"/>
      <c r="E209" s="29"/>
      <c r="F209" s="29"/>
      <c r="G209" s="32"/>
      <c r="H209" s="29"/>
      <c r="I209" s="33"/>
      <c r="J209" s="29"/>
      <c r="K209" s="29"/>
      <c r="L209" s="29"/>
      <c r="M209" s="29"/>
      <c r="N209" s="30"/>
      <c r="O209" s="30"/>
      <c r="P209" s="13"/>
      <c r="Q209" s="13"/>
      <c r="R209" s="13"/>
      <c r="S209" s="13"/>
      <c r="T209" s="13"/>
      <c r="U209" s="13"/>
      <c r="V209" s="30"/>
      <c r="W209" s="30"/>
      <c r="X209" s="30"/>
      <c r="Y209" s="30"/>
      <c r="Z209" s="30"/>
      <c r="AA209" s="30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I209" s="45"/>
      <c r="CJ209" s="45"/>
      <c r="CK209" s="45"/>
    </row>
    <row r="210" spans="2:89" s="28" customFormat="1">
      <c r="B210" s="29"/>
      <c r="C210" s="29"/>
      <c r="D210" s="29"/>
      <c r="E210" s="29"/>
      <c r="F210" s="29"/>
      <c r="G210" s="32"/>
      <c r="H210" s="29"/>
      <c r="I210" s="33"/>
      <c r="J210" s="29"/>
      <c r="K210" s="29"/>
      <c r="L210" s="29"/>
      <c r="M210" s="29"/>
      <c r="N210" s="30"/>
      <c r="O210" s="30"/>
      <c r="P210" s="13"/>
      <c r="Q210" s="13"/>
      <c r="R210" s="13"/>
      <c r="S210" s="13"/>
      <c r="T210" s="13"/>
      <c r="U210" s="13"/>
      <c r="V210" s="30"/>
      <c r="W210" s="30"/>
      <c r="X210" s="30"/>
      <c r="Y210" s="30"/>
      <c r="Z210" s="30"/>
      <c r="AA210" s="30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I210" s="45"/>
      <c r="CJ210" s="45"/>
      <c r="CK210" s="45"/>
    </row>
    <row r="211" spans="2:89" s="28" customFormat="1">
      <c r="B211" s="29"/>
      <c r="C211" s="29"/>
      <c r="D211" s="29"/>
      <c r="E211" s="29"/>
      <c r="F211" s="29"/>
      <c r="G211" s="32"/>
      <c r="H211" s="29"/>
      <c r="I211" s="33"/>
      <c r="J211" s="29"/>
      <c r="K211" s="29"/>
      <c r="L211" s="29"/>
      <c r="M211" s="29"/>
      <c r="N211" s="30"/>
      <c r="O211" s="30"/>
      <c r="P211" s="13"/>
      <c r="Q211" s="13"/>
      <c r="R211" s="13"/>
      <c r="S211" s="13"/>
      <c r="T211" s="13"/>
      <c r="U211" s="13"/>
      <c r="V211" s="30"/>
      <c r="W211" s="30"/>
      <c r="X211" s="30"/>
      <c r="Y211" s="30"/>
      <c r="Z211" s="30"/>
      <c r="AA211" s="30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I211" s="45"/>
      <c r="CJ211" s="45"/>
      <c r="CK211" s="45"/>
    </row>
    <row r="212" spans="2:89" s="28" customFormat="1">
      <c r="B212" s="29"/>
      <c r="C212" s="29"/>
      <c r="D212" s="29"/>
      <c r="E212" s="29"/>
      <c r="F212" s="29"/>
      <c r="G212" s="32"/>
      <c r="H212" s="29"/>
      <c r="I212" s="33"/>
      <c r="J212" s="29"/>
      <c r="K212" s="29"/>
      <c r="L212" s="29"/>
      <c r="M212" s="29"/>
      <c r="N212" s="30"/>
      <c r="O212" s="30"/>
      <c r="P212" s="13"/>
      <c r="Q212" s="13"/>
      <c r="R212" s="13"/>
      <c r="S212" s="13"/>
      <c r="T212" s="13"/>
      <c r="U212" s="13"/>
      <c r="V212" s="30"/>
      <c r="W212" s="30"/>
      <c r="X212" s="30"/>
      <c r="Y212" s="30"/>
      <c r="Z212" s="30"/>
      <c r="AA212" s="30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I212" s="45"/>
      <c r="CJ212" s="45"/>
      <c r="CK212" s="45"/>
    </row>
    <row r="213" spans="2:89" s="28" customFormat="1">
      <c r="B213" s="29"/>
      <c r="C213" s="29"/>
      <c r="D213" s="29"/>
      <c r="E213" s="29"/>
      <c r="F213" s="29"/>
      <c r="G213" s="32"/>
      <c r="H213" s="29"/>
      <c r="I213" s="33"/>
      <c r="J213" s="29"/>
      <c r="K213" s="29"/>
      <c r="L213" s="29"/>
      <c r="M213" s="29"/>
      <c r="N213" s="30"/>
      <c r="O213" s="30"/>
      <c r="P213" s="13"/>
      <c r="Q213" s="13"/>
      <c r="R213" s="13"/>
      <c r="S213" s="13"/>
      <c r="T213" s="13"/>
      <c r="U213" s="13"/>
      <c r="V213" s="30"/>
      <c r="W213" s="30"/>
      <c r="X213" s="30"/>
      <c r="Y213" s="30"/>
      <c r="Z213" s="30"/>
      <c r="AA213" s="30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I213" s="45"/>
      <c r="CJ213" s="45"/>
      <c r="CK213" s="45"/>
    </row>
    <row r="214" spans="2:89" s="28" customFormat="1">
      <c r="B214" s="29"/>
      <c r="C214" s="29"/>
      <c r="D214" s="29"/>
      <c r="E214" s="29"/>
      <c r="F214" s="29"/>
      <c r="G214" s="32"/>
      <c r="H214" s="29"/>
      <c r="I214" s="33"/>
      <c r="J214" s="29"/>
      <c r="K214" s="29"/>
      <c r="L214" s="29"/>
      <c r="M214" s="29"/>
      <c r="N214" s="30"/>
      <c r="O214" s="30"/>
      <c r="P214" s="13"/>
      <c r="Q214" s="13"/>
      <c r="R214" s="13"/>
      <c r="S214" s="13"/>
      <c r="T214" s="13"/>
      <c r="U214" s="13"/>
      <c r="V214" s="30"/>
      <c r="W214" s="30"/>
      <c r="X214" s="30"/>
      <c r="Y214" s="30"/>
      <c r="Z214" s="30"/>
      <c r="AA214" s="30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I214" s="45"/>
      <c r="CJ214" s="45"/>
      <c r="CK214" s="45"/>
    </row>
    <row r="215" spans="2:89" s="28" customFormat="1">
      <c r="B215" s="29"/>
      <c r="C215" s="29"/>
      <c r="D215" s="29"/>
      <c r="E215" s="29"/>
      <c r="F215" s="29"/>
      <c r="G215" s="32"/>
      <c r="H215" s="29"/>
      <c r="I215" s="33"/>
      <c r="J215" s="29"/>
      <c r="K215" s="29"/>
      <c r="L215" s="29"/>
      <c r="M215" s="29"/>
      <c r="N215" s="30"/>
      <c r="O215" s="30"/>
      <c r="P215" s="13"/>
      <c r="Q215" s="13"/>
      <c r="R215" s="13"/>
      <c r="S215" s="13"/>
      <c r="T215" s="13"/>
      <c r="U215" s="13"/>
      <c r="V215" s="30"/>
      <c r="W215" s="30"/>
      <c r="X215" s="30"/>
      <c r="Y215" s="30"/>
      <c r="Z215" s="30"/>
      <c r="AA215" s="30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I215" s="45"/>
      <c r="CJ215" s="45"/>
      <c r="CK215" s="45"/>
    </row>
    <row r="216" spans="2:89" s="28" customFormat="1">
      <c r="B216" s="29"/>
      <c r="C216" s="29"/>
      <c r="D216" s="29"/>
      <c r="E216" s="29"/>
      <c r="F216" s="29"/>
      <c r="G216" s="32"/>
      <c r="H216" s="29"/>
      <c r="I216" s="33"/>
      <c r="J216" s="29"/>
      <c r="K216" s="29"/>
      <c r="L216" s="29"/>
      <c r="M216" s="29"/>
      <c r="N216" s="30"/>
      <c r="O216" s="30"/>
      <c r="P216" s="13"/>
      <c r="Q216" s="13"/>
      <c r="R216" s="13"/>
      <c r="S216" s="13"/>
      <c r="T216" s="13"/>
      <c r="U216" s="13"/>
      <c r="V216" s="30"/>
      <c r="W216" s="30"/>
      <c r="X216" s="30"/>
      <c r="Y216" s="30"/>
      <c r="Z216" s="30"/>
      <c r="AA216" s="30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I216" s="45"/>
      <c r="CJ216" s="45"/>
      <c r="CK216" s="45"/>
    </row>
    <row r="217" spans="2:89" s="28" customFormat="1">
      <c r="B217" s="29"/>
      <c r="C217" s="29"/>
      <c r="D217" s="29"/>
      <c r="E217" s="29"/>
      <c r="F217" s="29"/>
      <c r="G217" s="32"/>
      <c r="H217" s="29"/>
      <c r="I217" s="33"/>
      <c r="J217" s="29"/>
      <c r="K217" s="29"/>
      <c r="L217" s="29"/>
      <c r="M217" s="29"/>
      <c r="N217" s="30"/>
      <c r="O217" s="30"/>
      <c r="P217" s="13"/>
      <c r="Q217" s="13"/>
      <c r="R217" s="13"/>
      <c r="S217" s="13"/>
      <c r="T217" s="13"/>
      <c r="U217" s="13"/>
      <c r="V217" s="30"/>
      <c r="W217" s="30"/>
      <c r="X217" s="30"/>
      <c r="Y217" s="30"/>
      <c r="Z217" s="30"/>
      <c r="AA217" s="30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I217" s="45"/>
      <c r="CJ217" s="45"/>
      <c r="CK217" s="45"/>
    </row>
    <row r="218" spans="2:89" s="28" customFormat="1">
      <c r="B218" s="29"/>
      <c r="C218" s="29"/>
      <c r="D218" s="29"/>
      <c r="E218" s="29"/>
      <c r="F218" s="29"/>
      <c r="G218" s="32"/>
      <c r="H218" s="29"/>
      <c r="I218" s="33"/>
      <c r="J218" s="29"/>
      <c r="K218" s="29"/>
      <c r="L218" s="29"/>
      <c r="M218" s="29"/>
      <c r="N218" s="30"/>
      <c r="O218" s="30"/>
      <c r="P218" s="13"/>
      <c r="Q218" s="13"/>
      <c r="R218" s="13"/>
      <c r="S218" s="13"/>
      <c r="T218" s="13"/>
      <c r="U218" s="13"/>
      <c r="V218" s="30"/>
      <c r="W218" s="30"/>
      <c r="X218" s="30"/>
      <c r="Y218" s="30"/>
      <c r="Z218" s="30"/>
      <c r="AA218" s="30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I218" s="45"/>
      <c r="CJ218" s="45"/>
      <c r="CK218" s="45"/>
    </row>
    <row r="219" spans="2:89" s="28" customFormat="1">
      <c r="B219" s="29"/>
      <c r="C219" s="29"/>
      <c r="D219" s="29"/>
      <c r="E219" s="29"/>
      <c r="F219" s="29"/>
      <c r="G219" s="32"/>
      <c r="H219" s="29"/>
      <c r="I219" s="33"/>
      <c r="J219" s="29"/>
      <c r="K219" s="29"/>
      <c r="L219" s="29"/>
      <c r="M219" s="29"/>
      <c r="N219" s="30"/>
      <c r="O219" s="30"/>
      <c r="P219" s="13"/>
      <c r="Q219" s="13"/>
      <c r="R219" s="13"/>
      <c r="S219" s="13"/>
      <c r="T219" s="13"/>
      <c r="U219" s="13"/>
      <c r="V219" s="30"/>
      <c r="W219" s="30"/>
      <c r="X219" s="30"/>
      <c r="Y219" s="30"/>
      <c r="Z219" s="30"/>
      <c r="AA219" s="30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I219" s="45"/>
      <c r="CJ219" s="45"/>
      <c r="CK219" s="45"/>
    </row>
    <row r="220" spans="2:89" s="28" customFormat="1">
      <c r="B220" s="29"/>
      <c r="C220" s="29"/>
      <c r="D220" s="29"/>
      <c r="E220" s="29"/>
      <c r="F220" s="29"/>
      <c r="G220" s="32"/>
      <c r="H220" s="29"/>
      <c r="I220" s="33"/>
      <c r="J220" s="29"/>
      <c r="K220" s="29"/>
      <c r="L220" s="29"/>
      <c r="M220" s="29"/>
      <c r="N220" s="30"/>
      <c r="O220" s="30"/>
      <c r="P220" s="13"/>
      <c r="Q220" s="13"/>
      <c r="R220" s="13"/>
      <c r="S220" s="13"/>
      <c r="T220" s="13"/>
      <c r="U220" s="13"/>
      <c r="V220" s="30"/>
      <c r="W220" s="30"/>
      <c r="X220" s="30"/>
      <c r="Y220" s="30"/>
      <c r="Z220" s="30"/>
      <c r="AA220" s="30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I220" s="45"/>
      <c r="CJ220" s="45"/>
      <c r="CK220" s="45"/>
    </row>
    <row r="221" spans="2:89" s="28" customFormat="1">
      <c r="B221" s="29"/>
      <c r="C221" s="29"/>
      <c r="D221" s="29"/>
      <c r="E221" s="29"/>
      <c r="F221" s="29"/>
      <c r="G221" s="32"/>
      <c r="H221" s="29"/>
      <c r="I221" s="33"/>
      <c r="J221" s="29"/>
      <c r="K221" s="29"/>
      <c r="L221" s="29"/>
      <c r="M221" s="29"/>
      <c r="N221" s="30"/>
      <c r="O221" s="30"/>
      <c r="P221" s="13"/>
      <c r="Q221" s="13"/>
      <c r="R221" s="13"/>
      <c r="S221" s="13"/>
      <c r="T221" s="13"/>
      <c r="U221" s="13"/>
      <c r="V221" s="30"/>
      <c r="W221" s="30"/>
      <c r="X221" s="30"/>
      <c r="Y221" s="30"/>
      <c r="Z221" s="30"/>
      <c r="AA221" s="30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I221" s="45"/>
      <c r="CJ221" s="45"/>
      <c r="CK221" s="45"/>
    </row>
    <row r="222" spans="2:89" s="28" customFormat="1">
      <c r="B222" s="29"/>
      <c r="C222" s="29"/>
      <c r="D222" s="29"/>
      <c r="E222" s="29"/>
      <c r="F222" s="29"/>
      <c r="G222" s="32"/>
      <c r="H222" s="29"/>
      <c r="I222" s="33"/>
      <c r="J222" s="29"/>
      <c r="K222" s="29"/>
      <c r="L222" s="29"/>
      <c r="M222" s="29"/>
      <c r="N222" s="30"/>
      <c r="O222" s="30"/>
      <c r="P222" s="13"/>
      <c r="Q222" s="13"/>
      <c r="R222" s="13"/>
      <c r="S222" s="13"/>
      <c r="T222" s="13"/>
      <c r="U222" s="13"/>
      <c r="V222" s="30"/>
      <c r="W222" s="30"/>
      <c r="X222" s="30"/>
      <c r="Y222" s="30"/>
      <c r="Z222" s="30"/>
      <c r="AA222" s="30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I222" s="45"/>
      <c r="CJ222" s="45"/>
      <c r="CK222" s="45"/>
    </row>
    <row r="223" spans="2:89" s="28" customFormat="1">
      <c r="B223" s="29"/>
      <c r="C223" s="29"/>
      <c r="D223" s="29"/>
      <c r="E223" s="29"/>
      <c r="F223" s="29"/>
      <c r="G223" s="32"/>
      <c r="H223" s="29"/>
      <c r="I223" s="33"/>
      <c r="J223" s="29"/>
      <c r="K223" s="29"/>
      <c r="L223" s="29"/>
      <c r="M223" s="29"/>
      <c r="N223" s="30"/>
      <c r="O223" s="30"/>
      <c r="P223" s="13"/>
      <c r="Q223" s="13"/>
      <c r="R223" s="13"/>
      <c r="S223" s="13"/>
      <c r="T223" s="13"/>
      <c r="U223" s="13"/>
      <c r="V223" s="30"/>
      <c r="W223" s="30"/>
      <c r="X223" s="30"/>
      <c r="Y223" s="30"/>
      <c r="Z223" s="30"/>
      <c r="AA223" s="30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I223" s="45"/>
      <c r="CJ223" s="45"/>
      <c r="CK223" s="45"/>
    </row>
    <row r="224" spans="2:89" s="28" customFormat="1">
      <c r="B224" s="29"/>
      <c r="C224" s="29"/>
      <c r="D224" s="29"/>
      <c r="E224" s="29"/>
      <c r="F224" s="29"/>
      <c r="G224" s="32"/>
      <c r="H224" s="29"/>
      <c r="I224" s="33"/>
      <c r="J224" s="29"/>
      <c r="K224" s="29"/>
      <c r="L224" s="29"/>
      <c r="M224" s="29"/>
      <c r="N224" s="30"/>
      <c r="O224" s="30"/>
      <c r="P224" s="13"/>
      <c r="Q224" s="13"/>
      <c r="R224" s="13"/>
      <c r="S224" s="13"/>
      <c r="T224" s="13"/>
      <c r="U224" s="13"/>
      <c r="V224" s="30"/>
      <c r="W224" s="30"/>
      <c r="X224" s="30"/>
      <c r="Y224" s="30"/>
      <c r="Z224" s="30"/>
      <c r="AA224" s="30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I224" s="45"/>
      <c r="CJ224" s="45"/>
      <c r="CK224" s="45"/>
    </row>
    <row r="225" spans="2:89" s="28" customFormat="1">
      <c r="B225" s="29"/>
      <c r="C225" s="29"/>
      <c r="D225" s="29"/>
      <c r="E225" s="29"/>
      <c r="F225" s="29"/>
      <c r="G225" s="32"/>
      <c r="H225" s="29"/>
      <c r="I225" s="33"/>
      <c r="J225" s="29"/>
      <c r="K225" s="29"/>
      <c r="L225" s="29"/>
      <c r="M225" s="29"/>
      <c r="N225" s="30"/>
      <c r="O225" s="30"/>
      <c r="P225" s="13"/>
      <c r="Q225" s="13"/>
      <c r="R225" s="13"/>
      <c r="S225" s="13"/>
      <c r="T225" s="13"/>
      <c r="U225" s="13"/>
      <c r="V225" s="30"/>
      <c r="W225" s="30"/>
      <c r="X225" s="30"/>
      <c r="Y225" s="30"/>
      <c r="Z225" s="30"/>
      <c r="AA225" s="30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I225" s="45"/>
      <c r="CJ225" s="45"/>
      <c r="CK225" s="45"/>
    </row>
    <row r="226" spans="2:89" s="28" customFormat="1">
      <c r="B226" s="29"/>
      <c r="C226" s="29"/>
      <c r="D226" s="29"/>
      <c r="E226" s="29"/>
      <c r="F226" s="29"/>
      <c r="G226" s="32"/>
      <c r="H226" s="29"/>
      <c r="I226" s="33"/>
      <c r="J226" s="29"/>
      <c r="K226" s="29"/>
      <c r="L226" s="29"/>
      <c r="M226" s="29"/>
      <c r="N226" s="30"/>
      <c r="O226" s="30"/>
      <c r="P226" s="13"/>
      <c r="Q226" s="13"/>
      <c r="R226" s="13"/>
      <c r="S226" s="13"/>
      <c r="T226" s="13"/>
      <c r="U226" s="13"/>
      <c r="V226" s="30"/>
      <c r="W226" s="30"/>
      <c r="X226" s="30"/>
      <c r="Y226" s="30"/>
      <c r="Z226" s="30"/>
      <c r="AA226" s="30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I226" s="45"/>
      <c r="CJ226" s="45"/>
      <c r="CK226" s="45"/>
    </row>
    <row r="227" spans="2:89" s="28" customFormat="1">
      <c r="B227" s="29"/>
      <c r="C227" s="29"/>
      <c r="D227" s="29"/>
      <c r="E227" s="29"/>
      <c r="F227" s="29"/>
      <c r="G227" s="32"/>
      <c r="H227" s="29"/>
      <c r="I227" s="33"/>
      <c r="J227" s="29"/>
      <c r="K227" s="29"/>
      <c r="L227" s="29"/>
      <c r="M227" s="29"/>
      <c r="N227" s="30"/>
      <c r="O227" s="30"/>
      <c r="P227" s="13"/>
      <c r="Q227" s="13"/>
      <c r="R227" s="13"/>
      <c r="S227" s="13"/>
      <c r="T227" s="13"/>
      <c r="U227" s="13"/>
      <c r="V227" s="30"/>
      <c r="W227" s="30"/>
      <c r="X227" s="30"/>
      <c r="Y227" s="30"/>
      <c r="Z227" s="30"/>
      <c r="AA227" s="30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I227" s="45"/>
      <c r="CJ227" s="45"/>
      <c r="CK227" s="45"/>
    </row>
    <row r="228" spans="2:89" s="28" customFormat="1">
      <c r="B228" s="29"/>
      <c r="C228" s="29"/>
      <c r="D228" s="29"/>
      <c r="E228" s="29"/>
      <c r="F228" s="29"/>
      <c r="G228" s="32"/>
      <c r="H228" s="29"/>
      <c r="I228" s="33"/>
      <c r="J228" s="29"/>
      <c r="K228" s="29"/>
      <c r="L228" s="29"/>
      <c r="M228" s="29"/>
      <c r="N228" s="30"/>
      <c r="O228" s="30"/>
      <c r="P228" s="13"/>
      <c r="Q228" s="13"/>
      <c r="R228" s="13"/>
      <c r="S228" s="13"/>
      <c r="T228" s="13"/>
      <c r="U228" s="13"/>
      <c r="V228" s="30"/>
      <c r="W228" s="30"/>
      <c r="X228" s="30"/>
      <c r="Y228" s="30"/>
      <c r="Z228" s="30"/>
      <c r="AA228" s="30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I228" s="45"/>
      <c r="CJ228" s="45"/>
      <c r="CK228" s="45"/>
    </row>
    <row r="229" spans="2:89" s="28" customFormat="1">
      <c r="B229" s="29"/>
      <c r="C229" s="29"/>
      <c r="D229" s="29"/>
      <c r="E229" s="29"/>
      <c r="F229" s="29"/>
      <c r="G229" s="32"/>
      <c r="H229" s="29"/>
      <c r="I229" s="33"/>
      <c r="J229" s="29"/>
      <c r="K229" s="29"/>
      <c r="L229" s="29"/>
      <c r="M229" s="29"/>
      <c r="N229" s="30"/>
      <c r="O229" s="30"/>
      <c r="P229" s="13"/>
      <c r="Q229" s="13"/>
      <c r="R229" s="13"/>
      <c r="S229" s="13"/>
      <c r="T229" s="13"/>
      <c r="U229" s="13"/>
      <c r="V229" s="30"/>
      <c r="W229" s="30"/>
      <c r="X229" s="30"/>
      <c r="Y229" s="30"/>
      <c r="Z229" s="30"/>
      <c r="AA229" s="30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I229" s="45"/>
      <c r="CJ229" s="45"/>
      <c r="CK229" s="45"/>
    </row>
    <row r="230" spans="2:89" s="28" customFormat="1">
      <c r="B230" s="29"/>
      <c r="C230" s="29"/>
      <c r="D230" s="29"/>
      <c r="E230" s="29"/>
      <c r="F230" s="29"/>
      <c r="G230" s="32"/>
      <c r="H230" s="29"/>
      <c r="I230" s="33"/>
      <c r="J230" s="29"/>
      <c r="K230" s="29"/>
      <c r="L230" s="29"/>
      <c r="M230" s="29"/>
      <c r="N230" s="30"/>
      <c r="O230" s="30"/>
      <c r="P230" s="13"/>
      <c r="Q230" s="13"/>
      <c r="R230" s="13"/>
      <c r="S230" s="13"/>
      <c r="T230" s="13"/>
      <c r="U230" s="13"/>
      <c r="V230" s="30"/>
      <c r="W230" s="30"/>
      <c r="X230" s="30"/>
      <c r="Y230" s="30"/>
      <c r="Z230" s="30"/>
      <c r="AA230" s="30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I230" s="45"/>
      <c r="CJ230" s="45"/>
      <c r="CK230" s="45"/>
    </row>
    <row r="231" spans="2:89" s="28" customFormat="1">
      <c r="B231" s="29"/>
      <c r="C231" s="29"/>
      <c r="D231" s="29"/>
      <c r="E231" s="29"/>
      <c r="F231" s="29"/>
      <c r="G231" s="32"/>
      <c r="H231" s="29"/>
      <c r="I231" s="33"/>
      <c r="J231" s="29"/>
      <c r="K231" s="29"/>
      <c r="L231" s="29"/>
      <c r="M231" s="29"/>
      <c r="N231" s="30"/>
      <c r="O231" s="30"/>
      <c r="P231" s="13"/>
      <c r="Q231" s="13"/>
      <c r="R231" s="13"/>
      <c r="S231" s="13"/>
      <c r="T231" s="13"/>
      <c r="U231" s="13"/>
      <c r="V231" s="30"/>
      <c r="W231" s="30"/>
      <c r="X231" s="30"/>
      <c r="Y231" s="30"/>
      <c r="Z231" s="30"/>
      <c r="AA231" s="30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I231" s="45"/>
      <c r="CJ231" s="45"/>
      <c r="CK231" s="45"/>
    </row>
    <row r="232" spans="2:89" s="28" customFormat="1">
      <c r="B232" s="29"/>
      <c r="C232" s="29"/>
      <c r="D232" s="29"/>
      <c r="E232" s="29"/>
      <c r="F232" s="29"/>
      <c r="G232" s="32"/>
      <c r="H232" s="29"/>
      <c r="I232" s="33"/>
      <c r="J232" s="29"/>
      <c r="K232" s="29"/>
      <c r="L232" s="29"/>
      <c r="M232" s="29"/>
      <c r="N232" s="30"/>
      <c r="O232" s="30"/>
      <c r="P232" s="13"/>
      <c r="Q232" s="13"/>
      <c r="R232" s="13"/>
      <c r="S232" s="13"/>
      <c r="T232" s="13"/>
      <c r="U232" s="13"/>
      <c r="V232" s="30"/>
      <c r="W232" s="30"/>
      <c r="X232" s="30"/>
      <c r="Y232" s="30"/>
      <c r="Z232" s="30"/>
      <c r="AA232" s="30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I232" s="45"/>
      <c r="CJ232" s="45"/>
      <c r="CK232" s="45"/>
    </row>
    <row r="233" spans="2:89" s="28" customFormat="1">
      <c r="B233" s="29"/>
      <c r="C233" s="29"/>
      <c r="D233" s="29"/>
      <c r="E233" s="29"/>
      <c r="F233" s="29"/>
      <c r="G233" s="32"/>
      <c r="H233" s="29"/>
      <c r="I233" s="33"/>
      <c r="J233" s="29"/>
      <c r="K233" s="29"/>
      <c r="L233" s="29"/>
      <c r="M233" s="29"/>
      <c r="N233" s="30"/>
      <c r="O233" s="30"/>
      <c r="P233" s="13"/>
      <c r="Q233" s="13"/>
      <c r="R233" s="13"/>
      <c r="S233" s="13"/>
      <c r="T233" s="13"/>
      <c r="U233" s="13"/>
      <c r="V233" s="30"/>
      <c r="W233" s="30"/>
      <c r="X233" s="30"/>
      <c r="Y233" s="30"/>
      <c r="Z233" s="30"/>
      <c r="AA233" s="30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I233" s="45"/>
      <c r="CJ233" s="45"/>
      <c r="CK233" s="45"/>
    </row>
    <row r="234" spans="2:89" s="28" customFormat="1">
      <c r="B234" s="29"/>
      <c r="C234" s="29"/>
      <c r="D234" s="29"/>
      <c r="E234" s="29"/>
      <c r="F234" s="29"/>
      <c r="G234" s="32"/>
      <c r="H234" s="29"/>
      <c r="I234" s="33"/>
      <c r="J234" s="29"/>
      <c r="K234" s="29"/>
      <c r="L234" s="29"/>
      <c r="M234" s="29"/>
      <c r="N234" s="30"/>
      <c r="O234" s="30"/>
      <c r="P234" s="13"/>
      <c r="Q234" s="13"/>
      <c r="R234" s="13"/>
      <c r="S234" s="13"/>
      <c r="T234" s="13"/>
      <c r="U234" s="13"/>
      <c r="V234" s="30"/>
      <c r="W234" s="30"/>
      <c r="X234" s="30"/>
      <c r="Y234" s="30"/>
      <c r="Z234" s="30"/>
      <c r="AA234" s="30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I234" s="45"/>
      <c r="CJ234" s="45"/>
      <c r="CK234" s="45"/>
    </row>
    <row r="235" spans="2:89" s="28" customFormat="1">
      <c r="B235" s="29"/>
      <c r="C235" s="29"/>
      <c r="D235" s="29"/>
      <c r="E235" s="29"/>
      <c r="F235" s="29"/>
      <c r="G235" s="32"/>
      <c r="H235" s="29"/>
      <c r="I235" s="33"/>
      <c r="J235" s="29"/>
      <c r="K235" s="29"/>
      <c r="L235" s="29"/>
      <c r="M235" s="29"/>
      <c r="N235" s="30"/>
      <c r="O235" s="30"/>
      <c r="P235" s="13"/>
      <c r="Q235" s="13"/>
      <c r="R235" s="13"/>
      <c r="S235" s="13"/>
      <c r="T235" s="13"/>
      <c r="U235" s="13"/>
      <c r="V235" s="30"/>
      <c r="W235" s="30"/>
      <c r="X235" s="30"/>
      <c r="Y235" s="30"/>
      <c r="Z235" s="30"/>
      <c r="AA235" s="30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I235" s="45"/>
      <c r="CJ235" s="45"/>
      <c r="CK235" s="45"/>
    </row>
    <row r="236" spans="2:89" s="28" customFormat="1">
      <c r="B236" s="29"/>
      <c r="C236" s="29"/>
      <c r="D236" s="29"/>
      <c r="E236" s="29"/>
      <c r="F236" s="29"/>
      <c r="G236" s="32"/>
      <c r="H236" s="29"/>
      <c r="I236" s="33"/>
      <c r="J236" s="29"/>
      <c r="K236" s="29"/>
      <c r="L236" s="29"/>
      <c r="M236" s="29"/>
      <c r="N236" s="30"/>
      <c r="O236" s="30"/>
      <c r="P236" s="13"/>
      <c r="Q236" s="13"/>
      <c r="R236" s="13"/>
      <c r="S236" s="13"/>
      <c r="T236" s="13"/>
      <c r="U236" s="13"/>
      <c r="V236" s="30"/>
      <c r="W236" s="30"/>
      <c r="X236" s="30"/>
      <c r="Y236" s="30"/>
      <c r="Z236" s="30"/>
      <c r="AA236" s="30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I236" s="45"/>
      <c r="CJ236" s="45"/>
      <c r="CK236" s="45"/>
    </row>
    <row r="237" spans="2:89" s="28" customFormat="1">
      <c r="B237" s="29"/>
      <c r="C237" s="29"/>
      <c r="D237" s="29"/>
      <c r="E237" s="29"/>
      <c r="F237" s="29"/>
      <c r="G237" s="32"/>
      <c r="H237" s="29"/>
      <c r="I237" s="33"/>
      <c r="J237" s="29"/>
      <c r="K237" s="29"/>
      <c r="L237" s="29"/>
      <c r="M237" s="29"/>
      <c r="N237" s="30"/>
      <c r="O237" s="30"/>
      <c r="P237" s="13"/>
      <c r="Q237" s="13"/>
      <c r="R237" s="13"/>
      <c r="S237" s="13"/>
      <c r="T237" s="13"/>
      <c r="U237" s="13"/>
      <c r="V237" s="30"/>
      <c r="W237" s="30"/>
      <c r="X237" s="30"/>
      <c r="Y237" s="30"/>
      <c r="Z237" s="30"/>
      <c r="AA237" s="30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I237" s="45"/>
      <c r="CJ237" s="45"/>
      <c r="CK237" s="45"/>
    </row>
    <row r="238" spans="2:89" s="28" customFormat="1">
      <c r="B238" s="29"/>
      <c r="C238" s="29"/>
      <c r="D238" s="29"/>
      <c r="E238" s="29"/>
      <c r="F238" s="29"/>
      <c r="G238" s="32"/>
      <c r="H238" s="29"/>
      <c r="I238" s="33"/>
      <c r="J238" s="29"/>
      <c r="K238" s="29"/>
      <c r="L238" s="29"/>
      <c r="M238" s="29"/>
      <c r="N238" s="30"/>
      <c r="O238" s="30"/>
      <c r="P238" s="13"/>
      <c r="Q238" s="13"/>
      <c r="R238" s="13"/>
      <c r="S238" s="13"/>
      <c r="T238" s="13"/>
      <c r="U238" s="13"/>
      <c r="V238" s="30"/>
      <c r="W238" s="30"/>
      <c r="X238" s="30"/>
      <c r="Y238" s="30"/>
      <c r="Z238" s="30"/>
      <c r="AA238" s="30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I238" s="45"/>
      <c r="CJ238" s="45"/>
      <c r="CK238" s="45"/>
    </row>
    <row r="239" spans="2:89" s="28" customFormat="1">
      <c r="B239" s="29"/>
      <c r="C239" s="29"/>
      <c r="D239" s="29"/>
      <c r="E239" s="29"/>
      <c r="F239" s="29"/>
      <c r="G239" s="32"/>
      <c r="H239" s="29"/>
      <c r="I239" s="33"/>
      <c r="J239" s="29"/>
      <c r="K239" s="29"/>
      <c r="L239" s="29"/>
      <c r="M239" s="29"/>
      <c r="N239" s="30"/>
      <c r="O239" s="30"/>
      <c r="P239" s="13"/>
      <c r="Q239" s="13"/>
      <c r="R239" s="13"/>
      <c r="S239" s="13"/>
      <c r="T239" s="13"/>
      <c r="U239" s="13"/>
      <c r="V239" s="30"/>
      <c r="W239" s="30"/>
      <c r="X239" s="30"/>
      <c r="Y239" s="30"/>
      <c r="Z239" s="30"/>
      <c r="AA239" s="30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I239" s="45"/>
      <c r="CJ239" s="45"/>
      <c r="CK239" s="45"/>
    </row>
    <row r="240" spans="2:89" s="28" customFormat="1">
      <c r="B240" s="29"/>
      <c r="C240" s="29"/>
      <c r="D240" s="29"/>
      <c r="E240" s="29"/>
      <c r="F240" s="29"/>
      <c r="G240" s="32"/>
      <c r="H240" s="29"/>
      <c r="I240" s="33"/>
      <c r="J240" s="29"/>
      <c r="K240" s="29"/>
      <c r="L240" s="29"/>
      <c r="M240" s="29"/>
      <c r="N240" s="30"/>
      <c r="O240" s="30"/>
      <c r="P240" s="13"/>
      <c r="Q240" s="13"/>
      <c r="R240" s="13"/>
      <c r="S240" s="13"/>
      <c r="T240" s="13"/>
      <c r="U240" s="13"/>
      <c r="V240" s="30"/>
      <c r="W240" s="30"/>
      <c r="X240" s="30"/>
      <c r="Y240" s="30"/>
      <c r="Z240" s="30"/>
      <c r="AA240" s="30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I240" s="45"/>
      <c r="CJ240" s="45"/>
      <c r="CK240" s="45"/>
    </row>
    <row r="241" spans="2:89" s="28" customFormat="1">
      <c r="B241" s="29"/>
      <c r="C241" s="29"/>
      <c r="D241" s="29"/>
      <c r="E241" s="29"/>
      <c r="F241" s="29"/>
      <c r="G241" s="32"/>
      <c r="H241" s="29"/>
      <c r="I241" s="33"/>
      <c r="J241" s="29"/>
      <c r="K241" s="29"/>
      <c r="L241" s="29"/>
      <c r="M241" s="29"/>
      <c r="N241" s="30"/>
      <c r="O241" s="30"/>
      <c r="P241" s="13"/>
      <c r="Q241" s="13"/>
      <c r="R241" s="13"/>
      <c r="S241" s="13"/>
      <c r="T241" s="13"/>
      <c r="U241" s="13"/>
      <c r="V241" s="30"/>
      <c r="W241" s="30"/>
      <c r="X241" s="30"/>
      <c r="Y241" s="30"/>
      <c r="Z241" s="30"/>
      <c r="AA241" s="30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I241" s="45"/>
      <c r="CJ241" s="45"/>
      <c r="CK241" s="45"/>
    </row>
    <row r="242" spans="2:89" s="28" customFormat="1">
      <c r="B242" s="29"/>
      <c r="C242" s="29"/>
      <c r="D242" s="29"/>
      <c r="E242" s="29"/>
      <c r="F242" s="29"/>
      <c r="G242" s="32"/>
      <c r="H242" s="29"/>
      <c r="I242" s="33"/>
      <c r="J242" s="29"/>
      <c r="K242" s="29"/>
      <c r="L242" s="29"/>
      <c r="M242" s="29"/>
      <c r="N242" s="30"/>
      <c r="O242" s="30"/>
      <c r="P242" s="13"/>
      <c r="Q242" s="13"/>
      <c r="R242" s="13"/>
      <c r="S242" s="13"/>
      <c r="T242" s="13"/>
      <c r="U242" s="13"/>
      <c r="V242" s="30"/>
      <c r="W242" s="30"/>
      <c r="X242" s="30"/>
      <c r="Y242" s="30"/>
      <c r="Z242" s="30"/>
      <c r="AA242" s="30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I242" s="45"/>
      <c r="CJ242" s="45"/>
      <c r="CK242" s="45"/>
    </row>
    <row r="243" spans="2:89" s="28" customFormat="1">
      <c r="B243" s="29"/>
      <c r="C243" s="29"/>
      <c r="D243" s="29"/>
      <c r="E243" s="29"/>
      <c r="F243" s="29"/>
      <c r="G243" s="32"/>
      <c r="H243" s="29"/>
      <c r="I243" s="33"/>
      <c r="J243" s="29"/>
      <c r="K243" s="29"/>
      <c r="L243" s="29"/>
      <c r="M243" s="29"/>
      <c r="N243" s="30"/>
      <c r="O243" s="30"/>
      <c r="P243" s="13"/>
      <c r="Q243" s="13"/>
      <c r="R243" s="13"/>
      <c r="S243" s="13"/>
      <c r="T243" s="13"/>
      <c r="U243" s="13"/>
      <c r="V243" s="30"/>
      <c r="W243" s="30"/>
      <c r="X243" s="30"/>
      <c r="Y243" s="30"/>
      <c r="Z243" s="30"/>
      <c r="AA243" s="30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I243" s="45"/>
      <c r="CJ243" s="45"/>
      <c r="CK243" s="45"/>
    </row>
    <row r="244" spans="2:89" s="28" customFormat="1">
      <c r="B244" s="29"/>
      <c r="C244" s="29"/>
      <c r="D244" s="29"/>
      <c r="E244" s="29"/>
      <c r="F244" s="29"/>
      <c r="G244" s="32"/>
      <c r="H244" s="29"/>
      <c r="I244" s="33"/>
      <c r="J244" s="29"/>
      <c r="K244" s="29"/>
      <c r="L244" s="29"/>
      <c r="M244" s="29"/>
      <c r="N244" s="30"/>
      <c r="O244" s="30"/>
      <c r="P244" s="13"/>
      <c r="Q244" s="13"/>
      <c r="R244" s="13"/>
      <c r="S244" s="13"/>
      <c r="T244" s="13"/>
      <c r="U244" s="13"/>
      <c r="V244" s="30"/>
      <c r="W244" s="30"/>
      <c r="X244" s="30"/>
      <c r="Y244" s="30"/>
      <c r="Z244" s="30"/>
      <c r="AA244" s="30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I244" s="45"/>
      <c r="CJ244" s="45"/>
      <c r="CK244" s="45"/>
    </row>
    <row r="245" spans="2:89" s="28" customFormat="1">
      <c r="B245" s="29"/>
      <c r="C245" s="29"/>
      <c r="D245" s="29"/>
      <c r="E245" s="29"/>
      <c r="F245" s="29"/>
      <c r="G245" s="32"/>
      <c r="H245" s="29"/>
      <c r="I245" s="33"/>
      <c r="J245" s="29"/>
      <c r="K245" s="29"/>
      <c r="L245" s="29"/>
      <c r="M245" s="29"/>
      <c r="N245" s="30"/>
      <c r="O245" s="30"/>
      <c r="P245" s="13"/>
      <c r="Q245" s="13"/>
      <c r="R245" s="13"/>
      <c r="S245" s="13"/>
      <c r="T245" s="13"/>
      <c r="U245" s="13"/>
      <c r="V245" s="30"/>
      <c r="W245" s="30"/>
      <c r="X245" s="30"/>
      <c r="Y245" s="30"/>
      <c r="Z245" s="30"/>
      <c r="AA245" s="30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I245" s="45"/>
      <c r="CJ245" s="45"/>
      <c r="CK245" s="45"/>
    </row>
    <row r="246" spans="2:89" s="28" customFormat="1">
      <c r="B246" s="29"/>
      <c r="C246" s="29"/>
      <c r="D246" s="29"/>
      <c r="E246" s="29"/>
      <c r="F246" s="29"/>
      <c r="G246" s="32"/>
      <c r="H246" s="29"/>
      <c r="I246" s="33"/>
      <c r="J246" s="29"/>
      <c r="K246" s="29"/>
      <c r="L246" s="29"/>
      <c r="M246" s="29"/>
      <c r="N246" s="30"/>
      <c r="O246" s="30"/>
      <c r="P246" s="13"/>
      <c r="Q246" s="13"/>
      <c r="R246" s="13"/>
      <c r="S246" s="13"/>
      <c r="T246" s="13"/>
      <c r="U246" s="13"/>
      <c r="V246" s="30"/>
      <c r="W246" s="30"/>
      <c r="X246" s="30"/>
      <c r="Y246" s="30"/>
      <c r="Z246" s="30"/>
      <c r="AA246" s="30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I246" s="45"/>
      <c r="CJ246" s="45"/>
      <c r="CK246" s="45"/>
    </row>
    <row r="247" spans="2:89" s="28" customFormat="1">
      <c r="B247" s="29"/>
      <c r="C247" s="29"/>
      <c r="D247" s="29"/>
      <c r="E247" s="29"/>
      <c r="F247" s="29"/>
      <c r="G247" s="32"/>
      <c r="H247" s="29"/>
      <c r="I247" s="33"/>
      <c r="J247" s="29"/>
      <c r="K247" s="29"/>
      <c r="L247" s="29"/>
      <c r="M247" s="29"/>
      <c r="N247" s="30"/>
      <c r="O247" s="30"/>
      <c r="P247" s="13"/>
      <c r="Q247" s="13"/>
      <c r="R247" s="13"/>
      <c r="S247" s="13"/>
      <c r="T247" s="13"/>
      <c r="U247" s="13"/>
      <c r="V247" s="30"/>
      <c r="W247" s="30"/>
      <c r="X247" s="30"/>
      <c r="Y247" s="30"/>
      <c r="Z247" s="30"/>
      <c r="AA247" s="30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I247" s="45"/>
      <c r="CJ247" s="45"/>
      <c r="CK247" s="45"/>
    </row>
    <row r="248" spans="2:89" s="28" customFormat="1">
      <c r="B248" s="29"/>
      <c r="C248" s="29"/>
      <c r="D248" s="29"/>
      <c r="E248" s="29"/>
      <c r="F248" s="29"/>
      <c r="G248" s="32"/>
      <c r="H248" s="29"/>
      <c r="I248" s="33"/>
      <c r="J248" s="29"/>
      <c r="K248" s="29"/>
      <c r="L248" s="29"/>
      <c r="M248" s="29"/>
      <c r="N248" s="30"/>
      <c r="O248" s="30"/>
      <c r="P248" s="13"/>
      <c r="Q248" s="13"/>
      <c r="R248" s="13"/>
      <c r="S248" s="13"/>
      <c r="T248" s="13"/>
      <c r="U248" s="13"/>
      <c r="V248" s="30"/>
      <c r="W248" s="30"/>
      <c r="X248" s="30"/>
      <c r="Y248" s="30"/>
      <c r="Z248" s="30"/>
      <c r="AA248" s="30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I248" s="45"/>
      <c r="CJ248" s="45"/>
      <c r="CK248" s="45"/>
    </row>
    <row r="249" spans="2:89" s="28" customFormat="1">
      <c r="B249" s="29"/>
      <c r="C249" s="29"/>
      <c r="D249" s="29"/>
      <c r="E249" s="29"/>
      <c r="F249" s="29"/>
      <c r="G249" s="32"/>
      <c r="H249" s="29"/>
      <c r="I249" s="33"/>
      <c r="J249" s="29"/>
      <c r="K249" s="29"/>
      <c r="L249" s="29"/>
      <c r="M249" s="29"/>
      <c r="N249" s="30"/>
      <c r="O249" s="30"/>
      <c r="P249" s="13"/>
      <c r="Q249" s="13"/>
      <c r="R249" s="13"/>
      <c r="S249" s="13"/>
      <c r="T249" s="13"/>
      <c r="U249" s="13"/>
      <c r="V249" s="30"/>
      <c r="W249" s="30"/>
      <c r="X249" s="30"/>
      <c r="Y249" s="30"/>
      <c r="Z249" s="30"/>
      <c r="AA249" s="30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I249" s="45"/>
      <c r="CJ249" s="45"/>
      <c r="CK249" s="45"/>
    </row>
    <row r="250" spans="2:89" s="28" customFormat="1">
      <c r="B250" s="29"/>
      <c r="C250" s="29"/>
      <c r="D250" s="29"/>
      <c r="E250" s="29"/>
      <c r="F250" s="29"/>
      <c r="G250" s="32"/>
      <c r="H250" s="29"/>
      <c r="I250" s="33"/>
      <c r="J250" s="29"/>
      <c r="K250" s="29"/>
      <c r="L250" s="29"/>
      <c r="M250" s="29"/>
      <c r="N250" s="30"/>
      <c r="O250" s="30"/>
      <c r="P250" s="13"/>
      <c r="Q250" s="13"/>
      <c r="R250" s="13"/>
      <c r="S250" s="13"/>
      <c r="T250" s="13"/>
      <c r="U250" s="13"/>
      <c r="V250" s="30"/>
      <c r="W250" s="30"/>
      <c r="X250" s="30"/>
      <c r="Y250" s="30"/>
      <c r="Z250" s="30"/>
      <c r="AA250" s="30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I250" s="45"/>
      <c r="CJ250" s="45"/>
      <c r="CK250" s="45"/>
    </row>
    <row r="251" spans="2:89" s="28" customFormat="1">
      <c r="B251" s="29"/>
      <c r="C251" s="29"/>
      <c r="D251" s="29"/>
      <c r="E251" s="29"/>
      <c r="F251" s="29"/>
      <c r="G251" s="32"/>
      <c r="H251" s="29"/>
      <c r="I251" s="33"/>
      <c r="J251" s="29"/>
      <c r="K251" s="29"/>
      <c r="L251" s="29"/>
      <c r="M251" s="29"/>
      <c r="N251" s="30"/>
      <c r="O251" s="30"/>
      <c r="P251" s="13"/>
      <c r="Q251" s="13"/>
      <c r="R251" s="13"/>
      <c r="S251" s="13"/>
      <c r="T251" s="13"/>
      <c r="U251" s="13"/>
      <c r="V251" s="30"/>
      <c r="W251" s="30"/>
      <c r="X251" s="30"/>
      <c r="Y251" s="30"/>
      <c r="Z251" s="30"/>
      <c r="AA251" s="30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I251" s="45"/>
      <c r="CJ251" s="45"/>
      <c r="CK251" s="45"/>
    </row>
    <row r="252" spans="2:89" s="28" customFormat="1">
      <c r="B252" s="29"/>
      <c r="C252" s="29"/>
      <c r="D252" s="29"/>
      <c r="E252" s="29"/>
      <c r="F252" s="29"/>
      <c r="G252" s="32"/>
      <c r="H252" s="29"/>
      <c r="I252" s="33"/>
      <c r="J252" s="29"/>
      <c r="K252" s="29"/>
      <c r="L252" s="29"/>
      <c r="M252" s="29"/>
      <c r="N252" s="30"/>
      <c r="O252" s="30"/>
      <c r="P252" s="13"/>
      <c r="Q252" s="13"/>
      <c r="R252" s="13"/>
      <c r="S252" s="13"/>
      <c r="T252" s="13"/>
      <c r="U252" s="13"/>
      <c r="V252" s="30"/>
      <c r="W252" s="30"/>
      <c r="X252" s="30"/>
      <c r="Y252" s="30"/>
      <c r="Z252" s="30"/>
      <c r="AA252" s="30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I252" s="45"/>
      <c r="CJ252" s="45"/>
      <c r="CK252" s="45"/>
    </row>
    <row r="253" spans="2:89" s="28" customFormat="1">
      <c r="B253" s="29"/>
      <c r="C253" s="29"/>
      <c r="D253" s="29"/>
      <c r="E253" s="29"/>
      <c r="F253" s="29"/>
      <c r="G253" s="32"/>
      <c r="H253" s="29"/>
      <c r="I253" s="33"/>
      <c r="J253" s="29"/>
      <c r="K253" s="29"/>
      <c r="L253" s="29"/>
      <c r="M253" s="29"/>
      <c r="N253" s="30"/>
      <c r="O253" s="30"/>
      <c r="P253" s="13"/>
      <c r="Q253" s="13"/>
      <c r="R253" s="13"/>
      <c r="S253" s="13"/>
      <c r="T253" s="13"/>
      <c r="U253" s="13"/>
      <c r="V253" s="30"/>
      <c r="W253" s="30"/>
      <c r="X253" s="30"/>
      <c r="Y253" s="30"/>
      <c r="Z253" s="30"/>
      <c r="AA253" s="30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I253" s="45"/>
      <c r="CJ253" s="45"/>
      <c r="CK253" s="45"/>
    </row>
    <row r="254" spans="2:89" s="28" customFormat="1">
      <c r="B254" s="29"/>
      <c r="C254" s="29"/>
      <c r="D254" s="29"/>
      <c r="E254" s="29"/>
      <c r="F254" s="29"/>
      <c r="G254" s="32"/>
      <c r="H254" s="29"/>
      <c r="I254" s="33"/>
      <c r="J254" s="29"/>
      <c r="K254" s="29"/>
      <c r="L254" s="29"/>
      <c r="M254" s="29"/>
      <c r="N254" s="30"/>
      <c r="O254" s="30"/>
      <c r="P254" s="13"/>
      <c r="Q254" s="13"/>
      <c r="R254" s="13"/>
      <c r="S254" s="13"/>
      <c r="T254" s="13"/>
      <c r="U254" s="13"/>
      <c r="V254" s="30"/>
      <c r="W254" s="30"/>
      <c r="X254" s="30"/>
      <c r="Y254" s="30"/>
      <c r="Z254" s="30"/>
      <c r="AA254" s="30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I254" s="45"/>
      <c r="CJ254" s="45"/>
      <c r="CK254" s="45"/>
    </row>
    <row r="255" spans="2:89" s="28" customFormat="1">
      <c r="B255" s="29"/>
      <c r="C255" s="29"/>
      <c r="D255" s="29"/>
      <c r="E255" s="29"/>
      <c r="F255" s="29"/>
      <c r="G255" s="32"/>
      <c r="H255" s="29"/>
      <c r="I255" s="33"/>
      <c r="J255" s="29"/>
      <c r="K255" s="29"/>
      <c r="L255" s="29"/>
      <c r="M255" s="29"/>
      <c r="N255" s="30"/>
      <c r="O255" s="30"/>
      <c r="P255" s="13"/>
      <c r="Q255" s="13"/>
      <c r="R255" s="13"/>
      <c r="S255" s="13"/>
      <c r="T255" s="13"/>
      <c r="U255" s="13"/>
      <c r="V255" s="30"/>
      <c r="W255" s="30"/>
      <c r="X255" s="30"/>
      <c r="Y255" s="30"/>
      <c r="Z255" s="30"/>
      <c r="AA255" s="30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I255" s="45"/>
      <c r="CJ255" s="45"/>
      <c r="CK255" s="45"/>
    </row>
    <row r="256" spans="2:89" s="28" customFormat="1">
      <c r="B256" s="29"/>
      <c r="C256" s="29"/>
      <c r="D256" s="29"/>
      <c r="E256" s="29"/>
      <c r="F256" s="29"/>
      <c r="G256" s="32"/>
      <c r="H256" s="29"/>
      <c r="I256" s="33"/>
      <c r="J256" s="29"/>
      <c r="K256" s="29"/>
      <c r="L256" s="29"/>
      <c r="M256" s="29"/>
      <c r="N256" s="30"/>
      <c r="O256" s="30"/>
      <c r="P256" s="13"/>
      <c r="Q256" s="13"/>
      <c r="R256" s="13"/>
      <c r="S256" s="13"/>
      <c r="T256" s="13"/>
      <c r="U256" s="13"/>
      <c r="V256" s="30"/>
      <c r="W256" s="30"/>
      <c r="X256" s="30"/>
      <c r="Y256" s="30"/>
      <c r="Z256" s="30"/>
      <c r="AA256" s="30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I256" s="45"/>
      <c r="CJ256" s="45"/>
      <c r="CK256" s="45"/>
    </row>
    <row r="257" spans="2:89" s="28" customFormat="1">
      <c r="B257" s="29"/>
      <c r="C257" s="29"/>
      <c r="D257" s="29"/>
      <c r="E257" s="29"/>
      <c r="F257" s="29"/>
      <c r="G257" s="32"/>
      <c r="H257" s="29"/>
      <c r="I257" s="33"/>
      <c r="J257" s="29"/>
      <c r="K257" s="29"/>
      <c r="L257" s="29"/>
      <c r="M257" s="29"/>
      <c r="N257" s="30"/>
      <c r="O257" s="30"/>
      <c r="P257" s="13"/>
      <c r="Q257" s="13"/>
      <c r="R257" s="13"/>
      <c r="S257" s="13"/>
      <c r="T257" s="13"/>
      <c r="U257" s="13"/>
      <c r="V257" s="30"/>
      <c r="W257" s="30"/>
      <c r="X257" s="30"/>
      <c r="Y257" s="30"/>
      <c r="Z257" s="30"/>
      <c r="AA257" s="30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I257" s="45"/>
      <c r="CJ257" s="45"/>
      <c r="CK257" s="45"/>
    </row>
    <row r="258" spans="2:89" s="28" customFormat="1">
      <c r="B258" s="29"/>
      <c r="C258" s="29"/>
      <c r="D258" s="29"/>
      <c r="E258" s="29"/>
      <c r="F258" s="29"/>
      <c r="G258" s="32"/>
      <c r="H258" s="29"/>
      <c r="I258" s="33"/>
      <c r="J258" s="29"/>
      <c r="K258" s="29"/>
      <c r="L258" s="29"/>
      <c r="M258" s="29"/>
      <c r="N258" s="30"/>
      <c r="O258" s="30"/>
      <c r="P258" s="13"/>
      <c r="Q258" s="13"/>
      <c r="R258" s="13"/>
      <c r="S258" s="13"/>
      <c r="T258" s="13"/>
      <c r="U258" s="13"/>
      <c r="V258" s="30"/>
      <c r="W258" s="30"/>
      <c r="X258" s="30"/>
      <c r="Y258" s="30"/>
      <c r="Z258" s="30"/>
      <c r="AA258" s="30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I258" s="45"/>
      <c r="CJ258" s="45"/>
      <c r="CK258" s="45"/>
    </row>
    <row r="259" spans="2:89" s="28" customFormat="1">
      <c r="B259" s="29"/>
      <c r="C259" s="29"/>
      <c r="D259" s="29"/>
      <c r="E259" s="29"/>
      <c r="F259" s="29"/>
      <c r="G259" s="32"/>
      <c r="H259" s="29"/>
      <c r="I259" s="33"/>
      <c r="J259" s="29"/>
      <c r="K259" s="29"/>
      <c r="L259" s="29"/>
      <c r="M259" s="29"/>
      <c r="N259" s="30"/>
      <c r="O259" s="30"/>
      <c r="P259" s="13"/>
      <c r="Q259" s="13"/>
      <c r="R259" s="13"/>
      <c r="S259" s="13"/>
      <c r="T259" s="13"/>
      <c r="U259" s="13"/>
      <c r="V259" s="30"/>
      <c r="W259" s="30"/>
      <c r="X259" s="30"/>
      <c r="Y259" s="30"/>
      <c r="Z259" s="30"/>
      <c r="AA259" s="30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I259" s="45"/>
      <c r="CJ259" s="45"/>
      <c r="CK259" s="45"/>
    </row>
    <row r="260" spans="2:89" s="28" customFormat="1">
      <c r="B260" s="29"/>
      <c r="C260" s="29"/>
      <c r="D260" s="29"/>
      <c r="E260" s="29"/>
      <c r="F260" s="29"/>
      <c r="G260" s="32"/>
      <c r="H260" s="29"/>
      <c r="I260" s="33"/>
      <c r="J260" s="29"/>
      <c r="K260" s="29"/>
      <c r="L260" s="29"/>
      <c r="M260" s="29"/>
      <c r="N260" s="30"/>
      <c r="O260" s="30"/>
      <c r="P260" s="13"/>
      <c r="Q260" s="13"/>
      <c r="R260" s="13"/>
      <c r="S260" s="13"/>
      <c r="T260" s="13"/>
      <c r="U260" s="13"/>
      <c r="V260" s="30"/>
      <c r="W260" s="30"/>
      <c r="X260" s="30"/>
      <c r="Y260" s="30"/>
      <c r="Z260" s="30"/>
      <c r="AA260" s="30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I260" s="45"/>
      <c r="CJ260" s="45"/>
      <c r="CK260" s="45"/>
    </row>
    <row r="261" spans="2:89" s="28" customFormat="1">
      <c r="B261" s="29"/>
      <c r="C261" s="29"/>
      <c r="D261" s="29"/>
      <c r="E261" s="29"/>
      <c r="F261" s="29"/>
      <c r="G261" s="32"/>
      <c r="H261" s="29"/>
      <c r="I261" s="33"/>
      <c r="J261" s="29"/>
      <c r="K261" s="29"/>
      <c r="L261" s="29"/>
      <c r="M261" s="29"/>
      <c r="N261" s="30"/>
      <c r="O261" s="30"/>
      <c r="P261" s="13"/>
      <c r="Q261" s="13"/>
      <c r="R261" s="13"/>
      <c r="S261" s="13"/>
      <c r="T261" s="13"/>
      <c r="U261" s="13"/>
      <c r="V261" s="30"/>
      <c r="W261" s="30"/>
      <c r="X261" s="30"/>
      <c r="Y261" s="30"/>
      <c r="Z261" s="30"/>
      <c r="AA261" s="30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I261" s="45"/>
      <c r="CJ261" s="45"/>
      <c r="CK261" s="45"/>
    </row>
    <row r="262" spans="2:89" s="28" customFormat="1">
      <c r="B262" s="29"/>
      <c r="C262" s="29"/>
      <c r="D262" s="29"/>
      <c r="E262" s="29"/>
      <c r="F262" s="29"/>
      <c r="G262" s="32"/>
      <c r="H262" s="29"/>
      <c r="I262" s="33"/>
      <c r="J262" s="29"/>
      <c r="K262" s="29"/>
      <c r="L262" s="29"/>
      <c r="M262" s="29"/>
      <c r="N262" s="30"/>
      <c r="O262" s="30"/>
      <c r="P262" s="13"/>
      <c r="Q262" s="13"/>
      <c r="R262" s="13"/>
      <c r="S262" s="13"/>
      <c r="T262" s="13"/>
      <c r="U262" s="13"/>
      <c r="V262" s="30"/>
      <c r="W262" s="30"/>
      <c r="X262" s="30"/>
      <c r="Y262" s="30"/>
      <c r="Z262" s="30"/>
      <c r="AA262" s="30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I262" s="45"/>
      <c r="CJ262" s="45"/>
      <c r="CK262" s="45"/>
    </row>
    <row r="263" spans="2:89" s="28" customFormat="1">
      <c r="B263" s="29"/>
      <c r="C263" s="29"/>
      <c r="D263" s="29"/>
      <c r="E263" s="29"/>
      <c r="F263" s="29"/>
      <c r="G263" s="32"/>
      <c r="H263" s="29"/>
      <c r="I263" s="33"/>
      <c r="J263" s="29"/>
      <c r="K263" s="29"/>
      <c r="L263" s="29"/>
      <c r="M263" s="29"/>
      <c r="N263" s="30"/>
      <c r="O263" s="30"/>
      <c r="P263" s="13"/>
      <c r="Q263" s="13"/>
      <c r="R263" s="13"/>
      <c r="S263" s="13"/>
      <c r="T263" s="13"/>
      <c r="U263" s="13"/>
      <c r="V263" s="30"/>
      <c r="W263" s="30"/>
      <c r="X263" s="30"/>
      <c r="Y263" s="30"/>
      <c r="Z263" s="30"/>
      <c r="AA263" s="30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I263" s="45"/>
      <c r="CJ263" s="45"/>
      <c r="CK263" s="45"/>
    </row>
    <row r="264" spans="2:89" s="28" customFormat="1">
      <c r="B264" s="29"/>
      <c r="C264" s="29"/>
      <c r="D264" s="29"/>
      <c r="E264" s="29"/>
      <c r="F264" s="29"/>
      <c r="G264" s="32"/>
      <c r="H264" s="29"/>
      <c r="I264" s="33"/>
      <c r="J264" s="29"/>
      <c r="K264" s="29"/>
      <c r="L264" s="29"/>
      <c r="M264" s="29"/>
      <c r="N264" s="30"/>
      <c r="O264" s="30"/>
      <c r="P264" s="13"/>
      <c r="Q264" s="13"/>
      <c r="R264" s="13"/>
      <c r="S264" s="13"/>
      <c r="T264" s="13"/>
      <c r="U264" s="13"/>
      <c r="V264" s="30"/>
      <c r="W264" s="30"/>
      <c r="X264" s="30"/>
      <c r="Y264" s="30"/>
      <c r="Z264" s="30"/>
      <c r="AA264" s="30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I264" s="45"/>
      <c r="CJ264" s="45"/>
      <c r="CK264" s="45"/>
    </row>
    <row r="265" spans="2:89" s="28" customFormat="1">
      <c r="B265" s="29"/>
      <c r="C265" s="29"/>
      <c r="D265" s="29"/>
      <c r="E265" s="29"/>
      <c r="F265" s="29"/>
      <c r="G265" s="32"/>
      <c r="H265" s="29"/>
      <c r="I265" s="33"/>
      <c r="J265" s="29"/>
      <c r="K265" s="29"/>
      <c r="L265" s="29"/>
      <c r="M265" s="29"/>
      <c r="N265" s="30"/>
      <c r="O265" s="30"/>
      <c r="P265" s="13"/>
      <c r="Q265" s="13"/>
      <c r="R265" s="13"/>
      <c r="S265" s="13"/>
      <c r="T265" s="13"/>
      <c r="U265" s="13"/>
      <c r="V265" s="30"/>
      <c r="W265" s="30"/>
      <c r="X265" s="30"/>
      <c r="Y265" s="30"/>
      <c r="Z265" s="30"/>
      <c r="AA265" s="30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I265" s="45"/>
      <c r="CJ265" s="45"/>
      <c r="CK265" s="45"/>
    </row>
    <row r="266" spans="2:89" s="28" customFormat="1">
      <c r="B266" s="29"/>
      <c r="C266" s="29"/>
      <c r="D266" s="29"/>
      <c r="E266" s="29"/>
      <c r="F266" s="29"/>
      <c r="G266" s="32"/>
      <c r="H266" s="29"/>
      <c r="I266" s="33"/>
      <c r="J266" s="29"/>
      <c r="K266" s="29"/>
      <c r="L266" s="29"/>
      <c r="M266" s="29"/>
      <c r="N266" s="30"/>
      <c r="O266" s="30"/>
      <c r="P266" s="13"/>
      <c r="Q266" s="13"/>
      <c r="R266" s="13"/>
      <c r="S266" s="13"/>
      <c r="T266" s="13"/>
      <c r="U266" s="13"/>
      <c r="V266" s="30"/>
      <c r="W266" s="30"/>
      <c r="X266" s="30"/>
      <c r="Y266" s="30"/>
      <c r="Z266" s="30"/>
      <c r="AA266" s="30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I266" s="45"/>
      <c r="CJ266" s="45"/>
      <c r="CK266" s="45"/>
    </row>
    <row r="267" spans="2:89" s="28" customFormat="1">
      <c r="B267" s="29"/>
      <c r="C267" s="29"/>
      <c r="D267" s="29"/>
      <c r="E267" s="29"/>
      <c r="F267" s="29"/>
      <c r="G267" s="32"/>
      <c r="H267" s="29"/>
      <c r="I267" s="33"/>
      <c r="J267" s="29"/>
      <c r="K267" s="29"/>
      <c r="L267" s="29"/>
      <c r="M267" s="29"/>
      <c r="N267" s="30"/>
      <c r="O267" s="30"/>
      <c r="P267" s="13"/>
      <c r="Q267" s="13"/>
      <c r="R267" s="13"/>
      <c r="S267" s="13"/>
      <c r="T267" s="13"/>
      <c r="U267" s="13"/>
      <c r="V267" s="30"/>
      <c r="W267" s="30"/>
      <c r="X267" s="30"/>
      <c r="Y267" s="30"/>
      <c r="Z267" s="30"/>
      <c r="AA267" s="30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I267" s="45"/>
      <c r="CJ267" s="45"/>
      <c r="CK267" s="45"/>
    </row>
    <row r="268" spans="2:89" s="28" customFormat="1">
      <c r="B268" s="29"/>
      <c r="C268" s="29"/>
      <c r="D268" s="29"/>
      <c r="E268" s="29"/>
      <c r="F268" s="29"/>
      <c r="G268" s="32"/>
      <c r="H268" s="29"/>
      <c r="I268" s="33"/>
      <c r="J268" s="29"/>
      <c r="K268" s="29"/>
      <c r="L268" s="29"/>
      <c r="M268" s="29"/>
      <c r="N268" s="30"/>
      <c r="O268" s="30"/>
      <c r="P268" s="13"/>
      <c r="Q268" s="13"/>
      <c r="R268" s="13"/>
      <c r="S268" s="13"/>
      <c r="T268" s="13"/>
      <c r="U268" s="13"/>
      <c r="V268" s="30"/>
      <c r="W268" s="30"/>
      <c r="X268" s="30"/>
      <c r="Y268" s="30"/>
      <c r="Z268" s="30"/>
      <c r="AA268" s="30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I268" s="45"/>
      <c r="CJ268" s="45"/>
      <c r="CK268" s="45"/>
    </row>
    <row r="269" spans="2:89" s="28" customFormat="1">
      <c r="B269" s="29"/>
      <c r="C269" s="29"/>
      <c r="D269" s="29"/>
      <c r="E269" s="29"/>
      <c r="F269" s="29"/>
      <c r="G269" s="32"/>
      <c r="H269" s="29"/>
      <c r="I269" s="33"/>
      <c r="J269" s="29"/>
      <c r="K269" s="29"/>
      <c r="L269" s="29"/>
      <c r="M269" s="29"/>
      <c r="N269" s="30"/>
      <c r="O269" s="30"/>
      <c r="P269" s="13"/>
      <c r="Q269" s="13"/>
      <c r="R269" s="13"/>
      <c r="S269" s="13"/>
      <c r="T269" s="13"/>
      <c r="U269" s="13"/>
      <c r="V269" s="30"/>
      <c r="W269" s="30"/>
      <c r="X269" s="30"/>
      <c r="Y269" s="30"/>
      <c r="Z269" s="30"/>
      <c r="AA269" s="30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I269" s="45"/>
      <c r="CJ269" s="45"/>
      <c r="CK269" s="45"/>
    </row>
    <row r="270" spans="2:89" s="28" customFormat="1">
      <c r="B270" s="29"/>
      <c r="C270" s="29"/>
      <c r="D270" s="29"/>
      <c r="E270" s="29"/>
      <c r="F270" s="29"/>
      <c r="G270" s="32"/>
      <c r="H270" s="29"/>
      <c r="I270" s="33"/>
      <c r="J270" s="29"/>
      <c r="K270" s="29"/>
      <c r="L270" s="29"/>
      <c r="M270" s="29"/>
      <c r="N270" s="30"/>
      <c r="O270" s="30"/>
      <c r="P270" s="13"/>
      <c r="Q270" s="13"/>
      <c r="R270" s="13"/>
      <c r="S270" s="13"/>
      <c r="T270" s="13"/>
      <c r="U270" s="13"/>
      <c r="V270" s="30"/>
      <c r="W270" s="30"/>
      <c r="X270" s="30"/>
      <c r="Y270" s="30"/>
      <c r="Z270" s="30"/>
      <c r="AA270" s="30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I270" s="45"/>
      <c r="CJ270" s="45"/>
      <c r="CK270" s="45"/>
    </row>
    <row r="271" spans="2:89" s="28" customFormat="1">
      <c r="B271" s="29"/>
      <c r="C271" s="29"/>
      <c r="D271" s="29"/>
      <c r="E271" s="29"/>
      <c r="F271" s="29"/>
      <c r="G271" s="32"/>
      <c r="H271" s="29"/>
      <c r="I271" s="33"/>
      <c r="J271" s="29"/>
      <c r="K271" s="29"/>
      <c r="L271" s="29"/>
      <c r="M271" s="29"/>
      <c r="N271" s="30"/>
      <c r="O271" s="30"/>
      <c r="P271" s="13"/>
      <c r="Q271" s="13"/>
      <c r="R271" s="13"/>
      <c r="S271" s="13"/>
      <c r="T271" s="13"/>
      <c r="U271" s="13"/>
      <c r="V271" s="30"/>
      <c r="W271" s="30"/>
      <c r="X271" s="30"/>
      <c r="Y271" s="30"/>
      <c r="Z271" s="30"/>
      <c r="AA271" s="30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I271" s="45"/>
      <c r="CJ271" s="45"/>
      <c r="CK271" s="45"/>
    </row>
    <row r="272" spans="2:89" s="28" customFormat="1">
      <c r="B272" s="29"/>
      <c r="C272" s="29"/>
      <c r="D272" s="29"/>
      <c r="E272" s="29"/>
      <c r="F272" s="29"/>
      <c r="G272" s="32"/>
      <c r="H272" s="29"/>
      <c r="I272" s="33"/>
      <c r="J272" s="29"/>
      <c r="K272" s="29"/>
      <c r="L272" s="29"/>
      <c r="M272" s="29"/>
      <c r="N272" s="30"/>
      <c r="O272" s="30"/>
      <c r="P272" s="13"/>
      <c r="Q272" s="13"/>
      <c r="R272" s="13"/>
      <c r="S272" s="13"/>
      <c r="T272" s="13"/>
      <c r="U272" s="13"/>
      <c r="V272" s="30"/>
      <c r="W272" s="30"/>
      <c r="X272" s="30"/>
      <c r="Y272" s="30"/>
      <c r="Z272" s="30"/>
      <c r="AA272" s="30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I272" s="45"/>
      <c r="CJ272" s="45"/>
      <c r="CK272" s="45"/>
    </row>
    <row r="273" spans="2:89" s="28" customFormat="1">
      <c r="B273" s="29"/>
      <c r="C273" s="29"/>
      <c r="D273" s="29"/>
      <c r="E273" s="29"/>
      <c r="F273" s="29"/>
      <c r="G273" s="32"/>
      <c r="H273" s="29"/>
      <c r="I273" s="33"/>
      <c r="J273" s="29"/>
      <c r="K273" s="29"/>
      <c r="L273" s="29"/>
      <c r="M273" s="29"/>
      <c r="N273" s="30"/>
      <c r="O273" s="30"/>
      <c r="P273" s="13"/>
      <c r="Q273" s="13"/>
      <c r="R273" s="13"/>
      <c r="S273" s="13"/>
      <c r="T273" s="13"/>
      <c r="U273" s="13"/>
      <c r="V273" s="30"/>
      <c r="W273" s="30"/>
      <c r="X273" s="30"/>
      <c r="Y273" s="30"/>
      <c r="Z273" s="30"/>
      <c r="AA273" s="30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I273" s="45"/>
      <c r="CJ273" s="45"/>
      <c r="CK273" s="45"/>
    </row>
    <row r="274" spans="2:89" s="28" customFormat="1">
      <c r="B274" s="29"/>
      <c r="C274" s="29"/>
      <c r="D274" s="29"/>
      <c r="E274" s="29"/>
      <c r="F274" s="29"/>
      <c r="G274" s="32"/>
      <c r="H274" s="29"/>
      <c r="I274" s="33"/>
      <c r="J274" s="29"/>
      <c r="K274" s="29"/>
      <c r="L274" s="29"/>
      <c r="M274" s="29"/>
      <c r="N274" s="30"/>
      <c r="O274" s="30"/>
      <c r="P274" s="13"/>
      <c r="Q274" s="13"/>
      <c r="R274" s="13"/>
      <c r="S274" s="13"/>
      <c r="T274" s="13"/>
      <c r="U274" s="13"/>
      <c r="V274" s="30"/>
      <c r="W274" s="30"/>
      <c r="X274" s="30"/>
      <c r="Y274" s="30"/>
      <c r="Z274" s="30"/>
      <c r="AA274" s="30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I274" s="45"/>
      <c r="CJ274" s="45"/>
      <c r="CK274" s="45"/>
    </row>
    <row r="275" spans="2:89" s="28" customFormat="1">
      <c r="B275" s="29"/>
      <c r="C275" s="29"/>
      <c r="D275" s="29"/>
      <c r="E275" s="29"/>
      <c r="F275" s="29"/>
      <c r="G275" s="32"/>
      <c r="H275" s="29"/>
      <c r="I275" s="33"/>
      <c r="J275" s="29"/>
      <c r="K275" s="29"/>
      <c r="L275" s="29"/>
      <c r="M275" s="29"/>
      <c r="N275" s="30"/>
      <c r="O275" s="30"/>
      <c r="P275" s="13"/>
      <c r="Q275" s="13"/>
      <c r="R275" s="13"/>
      <c r="S275" s="13"/>
      <c r="T275" s="13"/>
      <c r="U275" s="13"/>
      <c r="V275" s="30"/>
      <c r="W275" s="30"/>
      <c r="X275" s="30"/>
      <c r="Y275" s="30"/>
      <c r="Z275" s="30"/>
      <c r="AA275" s="30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I275" s="45"/>
      <c r="CJ275" s="45"/>
      <c r="CK275" s="45"/>
    </row>
    <row r="276" spans="2:89" s="28" customFormat="1">
      <c r="B276" s="29"/>
      <c r="C276" s="29"/>
      <c r="D276" s="29"/>
      <c r="E276" s="29"/>
      <c r="F276" s="29"/>
      <c r="G276" s="32"/>
      <c r="H276" s="29"/>
      <c r="I276" s="33"/>
      <c r="J276" s="29"/>
      <c r="K276" s="29"/>
      <c r="L276" s="29"/>
      <c r="M276" s="29"/>
      <c r="N276" s="30"/>
      <c r="O276" s="30"/>
      <c r="P276" s="13"/>
      <c r="Q276" s="13"/>
      <c r="R276" s="13"/>
      <c r="S276" s="13"/>
      <c r="T276" s="13"/>
      <c r="U276" s="13"/>
      <c r="V276" s="30"/>
      <c r="W276" s="30"/>
      <c r="X276" s="30"/>
      <c r="Y276" s="30"/>
      <c r="Z276" s="30"/>
      <c r="AA276" s="30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I276" s="45"/>
      <c r="CJ276" s="45"/>
      <c r="CK276" s="45"/>
    </row>
    <row r="277" spans="2:89" s="28" customFormat="1">
      <c r="B277" s="29"/>
      <c r="C277" s="29"/>
      <c r="D277" s="29"/>
      <c r="E277" s="29"/>
      <c r="F277" s="29"/>
      <c r="G277" s="32"/>
      <c r="H277" s="29"/>
      <c r="I277" s="33"/>
      <c r="J277" s="29"/>
      <c r="K277" s="29"/>
      <c r="L277" s="29"/>
      <c r="M277" s="29"/>
      <c r="N277" s="30"/>
      <c r="O277" s="30"/>
      <c r="P277" s="13"/>
      <c r="Q277" s="13"/>
      <c r="R277" s="13"/>
      <c r="S277" s="13"/>
      <c r="T277" s="13"/>
      <c r="U277" s="13"/>
      <c r="V277" s="30"/>
      <c r="W277" s="30"/>
      <c r="X277" s="30"/>
      <c r="Y277" s="30"/>
      <c r="Z277" s="30"/>
      <c r="AA277" s="30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I277" s="45"/>
      <c r="CJ277" s="45"/>
      <c r="CK277" s="45"/>
    </row>
    <row r="278" spans="2:89" s="28" customFormat="1">
      <c r="B278" s="29"/>
      <c r="C278" s="29"/>
      <c r="D278" s="29"/>
      <c r="E278" s="29"/>
      <c r="F278" s="29"/>
      <c r="G278" s="32"/>
      <c r="H278" s="29"/>
      <c r="I278" s="33"/>
      <c r="J278" s="29"/>
      <c r="K278" s="29"/>
      <c r="L278" s="29"/>
      <c r="M278" s="29"/>
      <c r="N278" s="30"/>
      <c r="O278" s="30"/>
      <c r="P278" s="13"/>
      <c r="Q278" s="13"/>
      <c r="R278" s="13"/>
      <c r="S278" s="13"/>
      <c r="T278" s="13"/>
      <c r="U278" s="13"/>
      <c r="V278" s="30"/>
      <c r="W278" s="30"/>
      <c r="X278" s="30"/>
      <c r="Y278" s="30"/>
      <c r="Z278" s="30"/>
      <c r="AA278" s="30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I278" s="45"/>
      <c r="CJ278" s="45"/>
      <c r="CK278" s="45"/>
    </row>
    <row r="279" spans="2:89" s="28" customFormat="1">
      <c r="B279" s="29"/>
      <c r="C279" s="29"/>
      <c r="D279" s="29"/>
      <c r="E279" s="29"/>
      <c r="F279" s="29"/>
      <c r="G279" s="32"/>
      <c r="H279" s="29"/>
      <c r="I279" s="33"/>
      <c r="J279" s="29"/>
      <c r="K279" s="29"/>
      <c r="L279" s="29"/>
      <c r="M279" s="29"/>
      <c r="N279" s="30"/>
      <c r="O279" s="30"/>
      <c r="P279" s="13"/>
      <c r="Q279" s="13"/>
      <c r="R279" s="13"/>
      <c r="S279" s="13"/>
      <c r="T279" s="13"/>
      <c r="U279" s="13"/>
      <c r="V279" s="30"/>
      <c r="W279" s="30"/>
      <c r="X279" s="30"/>
      <c r="Y279" s="30"/>
      <c r="Z279" s="30"/>
      <c r="AA279" s="30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I279" s="45"/>
      <c r="CJ279" s="45"/>
      <c r="CK279" s="45"/>
    </row>
    <row r="280" spans="2:89" s="28" customFormat="1">
      <c r="B280" s="29"/>
      <c r="C280" s="29"/>
      <c r="D280" s="29"/>
      <c r="E280" s="29"/>
      <c r="F280" s="29"/>
      <c r="G280" s="32"/>
      <c r="H280" s="29"/>
      <c r="I280" s="33"/>
      <c r="J280" s="29"/>
      <c r="K280" s="29"/>
      <c r="L280" s="29"/>
      <c r="M280" s="29"/>
      <c r="N280" s="30"/>
      <c r="O280" s="30"/>
      <c r="P280" s="13"/>
      <c r="Q280" s="13"/>
      <c r="R280" s="13"/>
      <c r="S280" s="13"/>
      <c r="T280" s="13"/>
      <c r="U280" s="13"/>
      <c r="V280" s="30"/>
      <c r="W280" s="30"/>
      <c r="X280" s="30"/>
      <c r="Y280" s="30"/>
      <c r="Z280" s="30"/>
      <c r="AA280" s="30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I280" s="45"/>
      <c r="CJ280" s="45"/>
      <c r="CK280" s="45"/>
    </row>
    <row r="281" spans="2:89" s="28" customFormat="1">
      <c r="B281" s="29"/>
      <c r="C281" s="29"/>
      <c r="D281" s="29"/>
      <c r="E281" s="29"/>
      <c r="F281" s="29"/>
      <c r="G281" s="32"/>
      <c r="H281" s="29"/>
      <c r="I281" s="33"/>
      <c r="J281" s="29"/>
      <c r="K281" s="29"/>
      <c r="L281" s="29"/>
      <c r="M281" s="29"/>
      <c r="N281" s="30"/>
      <c r="O281" s="30"/>
      <c r="P281" s="13"/>
      <c r="Q281" s="13"/>
      <c r="R281" s="13"/>
      <c r="S281" s="13"/>
      <c r="T281" s="13"/>
      <c r="U281" s="13"/>
      <c r="V281" s="30"/>
      <c r="W281" s="30"/>
      <c r="X281" s="30"/>
      <c r="Y281" s="30"/>
      <c r="Z281" s="30"/>
      <c r="AA281" s="30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I281" s="45"/>
      <c r="CJ281" s="45"/>
      <c r="CK281" s="45"/>
    </row>
    <row r="282" spans="2:89" s="28" customFormat="1">
      <c r="B282" s="29"/>
      <c r="C282" s="29"/>
      <c r="D282" s="29"/>
      <c r="E282" s="29"/>
      <c r="F282" s="29"/>
      <c r="G282" s="32"/>
      <c r="H282" s="29"/>
      <c r="I282" s="33"/>
      <c r="J282" s="29"/>
      <c r="K282" s="29"/>
      <c r="L282" s="29"/>
      <c r="M282" s="29"/>
      <c r="N282" s="30"/>
      <c r="O282" s="30"/>
      <c r="P282" s="13"/>
      <c r="Q282" s="13"/>
      <c r="R282" s="13"/>
      <c r="S282" s="13"/>
      <c r="T282" s="13"/>
      <c r="U282" s="13"/>
      <c r="V282" s="30"/>
      <c r="W282" s="30"/>
      <c r="X282" s="30"/>
      <c r="Y282" s="30"/>
      <c r="Z282" s="30"/>
      <c r="AA282" s="30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I282" s="45"/>
      <c r="CJ282" s="45"/>
      <c r="CK282" s="45"/>
    </row>
    <row r="283" spans="2:89" s="28" customFormat="1">
      <c r="B283" s="29"/>
      <c r="C283" s="29"/>
      <c r="D283" s="29"/>
      <c r="E283" s="29"/>
      <c r="F283" s="29"/>
      <c r="G283" s="32"/>
      <c r="H283" s="29"/>
      <c r="I283" s="33"/>
      <c r="J283" s="29"/>
      <c r="K283" s="29"/>
      <c r="L283" s="29"/>
      <c r="M283" s="29"/>
      <c r="N283" s="30"/>
      <c r="O283" s="30"/>
      <c r="P283" s="13"/>
      <c r="Q283" s="13"/>
      <c r="R283" s="13"/>
      <c r="S283" s="13"/>
      <c r="T283" s="13"/>
      <c r="U283" s="13"/>
      <c r="V283" s="30"/>
      <c r="W283" s="30"/>
      <c r="X283" s="30"/>
      <c r="Y283" s="30"/>
      <c r="Z283" s="30"/>
      <c r="AA283" s="30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I283" s="45"/>
      <c r="CJ283" s="45"/>
      <c r="CK283" s="45"/>
    </row>
    <row r="284" spans="2:89" s="28" customFormat="1">
      <c r="B284" s="29"/>
      <c r="C284" s="29"/>
      <c r="D284" s="29"/>
      <c r="E284" s="29"/>
      <c r="F284" s="29"/>
      <c r="G284" s="32"/>
      <c r="H284" s="29"/>
      <c r="I284" s="33"/>
      <c r="J284" s="29"/>
      <c r="K284" s="29"/>
      <c r="L284" s="29"/>
      <c r="M284" s="29"/>
      <c r="N284" s="30"/>
      <c r="O284" s="30"/>
      <c r="P284" s="13"/>
      <c r="Q284" s="13"/>
      <c r="R284" s="13"/>
      <c r="S284" s="13"/>
      <c r="T284" s="13"/>
      <c r="U284" s="13"/>
      <c r="V284" s="30"/>
      <c r="W284" s="30"/>
      <c r="X284" s="30"/>
      <c r="Y284" s="30"/>
      <c r="Z284" s="30"/>
      <c r="AA284" s="30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I284" s="45"/>
      <c r="CJ284" s="45"/>
      <c r="CK284" s="45"/>
    </row>
    <row r="285" spans="2:89" s="28" customFormat="1">
      <c r="B285" s="29"/>
      <c r="C285" s="29"/>
      <c r="D285" s="29"/>
      <c r="E285" s="29"/>
      <c r="F285" s="29"/>
      <c r="G285" s="32"/>
      <c r="H285" s="29"/>
      <c r="I285" s="33"/>
      <c r="J285" s="29"/>
      <c r="K285" s="29"/>
      <c r="L285" s="29"/>
      <c r="M285" s="29"/>
      <c r="N285" s="30"/>
      <c r="O285" s="30"/>
      <c r="P285" s="13"/>
      <c r="Q285" s="13"/>
      <c r="R285" s="13"/>
      <c r="S285" s="13"/>
      <c r="T285" s="13"/>
      <c r="U285" s="13"/>
      <c r="V285" s="30"/>
      <c r="W285" s="30"/>
      <c r="X285" s="30"/>
      <c r="Y285" s="30"/>
      <c r="Z285" s="30"/>
      <c r="AA285" s="30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  <c r="CF285" s="45"/>
      <c r="CG285" s="45"/>
      <c r="CI285" s="45"/>
      <c r="CJ285" s="45"/>
      <c r="CK285" s="45"/>
    </row>
    <row r="286" spans="2:89" s="28" customFormat="1">
      <c r="B286" s="29"/>
      <c r="C286" s="29"/>
      <c r="D286" s="29"/>
      <c r="E286" s="29"/>
      <c r="F286" s="29"/>
      <c r="G286" s="32"/>
      <c r="H286" s="29"/>
      <c r="I286" s="33"/>
      <c r="J286" s="29"/>
      <c r="K286" s="29"/>
      <c r="L286" s="29"/>
      <c r="M286" s="29"/>
      <c r="N286" s="30"/>
      <c r="O286" s="30"/>
      <c r="P286" s="13"/>
      <c r="Q286" s="13"/>
      <c r="R286" s="13"/>
      <c r="S286" s="13"/>
      <c r="T286" s="13"/>
      <c r="U286" s="13"/>
      <c r="V286" s="30"/>
      <c r="W286" s="30"/>
      <c r="X286" s="30"/>
      <c r="Y286" s="30"/>
      <c r="Z286" s="30"/>
      <c r="AA286" s="30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I286" s="45"/>
      <c r="CJ286" s="45"/>
      <c r="CK286" s="45"/>
    </row>
    <row r="287" spans="2:89" s="28" customFormat="1">
      <c r="B287" s="29"/>
      <c r="C287" s="29"/>
      <c r="D287" s="29"/>
      <c r="E287" s="29"/>
      <c r="F287" s="29"/>
      <c r="G287" s="32"/>
      <c r="H287" s="29"/>
      <c r="I287" s="33"/>
      <c r="J287" s="29"/>
      <c r="K287" s="29"/>
      <c r="L287" s="29"/>
      <c r="M287" s="29"/>
      <c r="N287" s="30"/>
      <c r="O287" s="30"/>
      <c r="P287" s="13"/>
      <c r="Q287" s="13"/>
      <c r="R287" s="13"/>
      <c r="S287" s="13"/>
      <c r="T287" s="13"/>
      <c r="U287" s="13"/>
      <c r="V287" s="30"/>
      <c r="W287" s="30"/>
      <c r="X287" s="30"/>
      <c r="Y287" s="30"/>
      <c r="Z287" s="30"/>
      <c r="AA287" s="30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I287" s="45"/>
      <c r="CJ287" s="45"/>
      <c r="CK287" s="45"/>
    </row>
    <row r="288" spans="2:89" s="28" customFormat="1">
      <c r="B288" s="29"/>
      <c r="C288" s="29"/>
      <c r="D288" s="29"/>
      <c r="E288" s="29"/>
      <c r="F288" s="29"/>
      <c r="G288" s="32"/>
      <c r="H288" s="29"/>
      <c r="I288" s="33"/>
      <c r="J288" s="29"/>
      <c r="K288" s="29"/>
      <c r="L288" s="29"/>
      <c r="M288" s="29"/>
      <c r="N288" s="30"/>
      <c r="O288" s="30"/>
      <c r="P288" s="13"/>
      <c r="Q288" s="13"/>
      <c r="R288" s="13"/>
      <c r="S288" s="13"/>
      <c r="T288" s="13"/>
      <c r="U288" s="13"/>
      <c r="V288" s="30"/>
      <c r="W288" s="30"/>
      <c r="X288" s="30"/>
      <c r="Y288" s="30"/>
      <c r="Z288" s="30"/>
      <c r="AA288" s="30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  <c r="CF288" s="45"/>
      <c r="CG288" s="45"/>
      <c r="CI288" s="45"/>
      <c r="CJ288" s="45"/>
      <c r="CK288" s="45"/>
    </row>
    <row r="289" spans="2:89" s="28" customFormat="1">
      <c r="B289" s="29"/>
      <c r="C289" s="29"/>
      <c r="D289" s="29"/>
      <c r="E289" s="29"/>
      <c r="F289" s="29"/>
      <c r="G289" s="32"/>
      <c r="H289" s="29"/>
      <c r="I289" s="33"/>
      <c r="J289" s="29"/>
      <c r="K289" s="29"/>
      <c r="L289" s="29"/>
      <c r="M289" s="29"/>
      <c r="N289" s="30"/>
      <c r="O289" s="30"/>
      <c r="P289" s="13"/>
      <c r="Q289" s="13"/>
      <c r="R289" s="13"/>
      <c r="S289" s="13"/>
      <c r="T289" s="13"/>
      <c r="U289" s="13"/>
      <c r="V289" s="30"/>
      <c r="W289" s="30"/>
      <c r="X289" s="30"/>
      <c r="Y289" s="30"/>
      <c r="Z289" s="30"/>
      <c r="AA289" s="30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  <c r="CF289" s="45"/>
      <c r="CG289" s="45"/>
      <c r="CI289" s="45"/>
      <c r="CJ289" s="45"/>
      <c r="CK289" s="45"/>
    </row>
    <row r="290" spans="2:89" s="28" customFormat="1">
      <c r="B290" s="29"/>
      <c r="C290" s="29"/>
      <c r="D290" s="29"/>
      <c r="E290" s="29"/>
      <c r="F290" s="29"/>
      <c r="G290" s="32"/>
      <c r="H290" s="29"/>
      <c r="I290" s="33"/>
      <c r="J290" s="29"/>
      <c r="K290" s="29"/>
      <c r="L290" s="29"/>
      <c r="M290" s="29"/>
      <c r="N290" s="30"/>
      <c r="O290" s="30"/>
      <c r="P290" s="13"/>
      <c r="Q290" s="13"/>
      <c r="R290" s="13"/>
      <c r="S290" s="13"/>
      <c r="T290" s="13"/>
      <c r="U290" s="13"/>
      <c r="V290" s="30"/>
      <c r="W290" s="30"/>
      <c r="X290" s="30"/>
      <c r="Y290" s="30"/>
      <c r="Z290" s="30"/>
      <c r="AA290" s="30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I290" s="45"/>
      <c r="CJ290" s="45"/>
      <c r="CK290" s="45"/>
    </row>
    <row r="291" spans="2:89" s="28" customFormat="1">
      <c r="B291" s="29"/>
      <c r="C291" s="29"/>
      <c r="D291" s="29"/>
      <c r="E291" s="29"/>
      <c r="F291" s="29"/>
      <c r="G291" s="32"/>
      <c r="H291" s="29"/>
      <c r="I291" s="33"/>
      <c r="J291" s="29"/>
      <c r="K291" s="29"/>
      <c r="L291" s="29"/>
      <c r="M291" s="29"/>
      <c r="N291" s="30"/>
      <c r="O291" s="30"/>
      <c r="P291" s="13"/>
      <c r="Q291" s="13"/>
      <c r="R291" s="13"/>
      <c r="S291" s="13"/>
      <c r="T291" s="13"/>
      <c r="U291" s="13"/>
      <c r="V291" s="30"/>
      <c r="W291" s="30"/>
      <c r="X291" s="30"/>
      <c r="Y291" s="30"/>
      <c r="Z291" s="30"/>
      <c r="AA291" s="30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I291" s="45"/>
      <c r="CJ291" s="45"/>
      <c r="CK291" s="45"/>
    </row>
    <row r="292" spans="2:89" s="28" customFormat="1">
      <c r="B292" s="29"/>
      <c r="C292" s="29"/>
      <c r="D292" s="29"/>
      <c r="E292" s="29"/>
      <c r="F292" s="29"/>
      <c r="G292" s="32"/>
      <c r="H292" s="29"/>
      <c r="I292" s="33"/>
      <c r="J292" s="29"/>
      <c r="K292" s="29"/>
      <c r="L292" s="29"/>
      <c r="M292" s="29"/>
      <c r="N292" s="30"/>
      <c r="O292" s="30"/>
      <c r="P292" s="13"/>
      <c r="Q292" s="13"/>
      <c r="R292" s="13"/>
      <c r="S292" s="13"/>
      <c r="T292" s="13"/>
      <c r="U292" s="13"/>
      <c r="V292" s="30"/>
      <c r="W292" s="30"/>
      <c r="X292" s="30"/>
      <c r="Y292" s="30"/>
      <c r="Z292" s="30"/>
      <c r="AA292" s="30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I292" s="45"/>
      <c r="CJ292" s="45"/>
      <c r="CK292" s="45"/>
    </row>
    <row r="293" spans="2:89" s="28" customFormat="1">
      <c r="B293" s="29"/>
      <c r="C293" s="29"/>
      <c r="D293" s="29"/>
      <c r="E293" s="29"/>
      <c r="F293" s="29"/>
      <c r="G293" s="32"/>
      <c r="H293" s="29"/>
      <c r="I293" s="33"/>
      <c r="J293" s="29"/>
      <c r="K293" s="29"/>
      <c r="L293" s="29"/>
      <c r="M293" s="29"/>
      <c r="N293" s="30"/>
      <c r="O293" s="30"/>
      <c r="P293" s="13"/>
      <c r="Q293" s="13"/>
      <c r="R293" s="13"/>
      <c r="S293" s="13"/>
      <c r="T293" s="13"/>
      <c r="U293" s="13"/>
      <c r="V293" s="30"/>
      <c r="W293" s="30"/>
      <c r="X293" s="30"/>
      <c r="Y293" s="30"/>
      <c r="Z293" s="30"/>
      <c r="AA293" s="30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I293" s="45"/>
      <c r="CJ293" s="45"/>
      <c r="CK293" s="45"/>
    </row>
    <row r="294" spans="2:89" s="28" customFormat="1">
      <c r="B294" s="29"/>
      <c r="C294" s="29"/>
      <c r="D294" s="29"/>
      <c r="E294" s="29"/>
      <c r="F294" s="29"/>
      <c r="G294" s="32"/>
      <c r="H294" s="29"/>
      <c r="I294" s="33"/>
      <c r="J294" s="29"/>
      <c r="K294" s="29"/>
      <c r="L294" s="29"/>
      <c r="M294" s="29"/>
      <c r="N294" s="30"/>
      <c r="O294" s="30"/>
      <c r="P294" s="13"/>
      <c r="Q294" s="13"/>
      <c r="R294" s="13"/>
      <c r="S294" s="13"/>
      <c r="T294" s="13"/>
      <c r="U294" s="13"/>
      <c r="V294" s="30"/>
      <c r="W294" s="30"/>
      <c r="X294" s="30"/>
      <c r="Y294" s="30"/>
      <c r="Z294" s="30"/>
      <c r="AA294" s="30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I294" s="45"/>
      <c r="CJ294" s="45"/>
      <c r="CK294" s="45"/>
    </row>
    <row r="295" spans="2:89" s="28" customFormat="1">
      <c r="B295" s="29"/>
      <c r="C295" s="29"/>
      <c r="D295" s="29"/>
      <c r="E295" s="29"/>
      <c r="F295" s="29"/>
      <c r="G295" s="32"/>
      <c r="H295" s="29"/>
      <c r="I295" s="33"/>
      <c r="J295" s="29"/>
      <c r="K295" s="29"/>
      <c r="L295" s="29"/>
      <c r="M295" s="29"/>
      <c r="N295" s="30"/>
      <c r="O295" s="30"/>
      <c r="P295" s="13"/>
      <c r="Q295" s="13"/>
      <c r="R295" s="13"/>
      <c r="S295" s="13"/>
      <c r="T295" s="13"/>
      <c r="U295" s="13"/>
      <c r="V295" s="30"/>
      <c r="W295" s="30"/>
      <c r="X295" s="30"/>
      <c r="Y295" s="30"/>
      <c r="Z295" s="30"/>
      <c r="AA295" s="30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I295" s="45"/>
      <c r="CJ295" s="45"/>
      <c r="CK295" s="45"/>
    </row>
    <row r="296" spans="2:89" s="28" customFormat="1">
      <c r="B296" s="29"/>
      <c r="C296" s="29"/>
      <c r="D296" s="29"/>
      <c r="E296" s="29"/>
      <c r="F296" s="29"/>
      <c r="G296" s="32"/>
      <c r="H296" s="29"/>
      <c r="I296" s="33"/>
      <c r="J296" s="29"/>
      <c r="K296" s="29"/>
      <c r="L296" s="29"/>
      <c r="M296" s="29"/>
      <c r="N296" s="30"/>
      <c r="O296" s="30"/>
      <c r="P296" s="13"/>
      <c r="Q296" s="13"/>
      <c r="R296" s="13"/>
      <c r="S296" s="13"/>
      <c r="T296" s="13"/>
      <c r="U296" s="13"/>
      <c r="V296" s="30"/>
      <c r="W296" s="30"/>
      <c r="X296" s="30"/>
      <c r="Y296" s="30"/>
      <c r="Z296" s="30"/>
      <c r="AA296" s="30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I296" s="45"/>
      <c r="CJ296" s="45"/>
      <c r="CK296" s="45"/>
    </row>
    <row r="297" spans="2:89" s="28" customFormat="1">
      <c r="B297" s="29"/>
      <c r="C297" s="29"/>
      <c r="D297" s="29"/>
      <c r="E297" s="29"/>
      <c r="F297" s="29"/>
      <c r="G297" s="32"/>
      <c r="H297" s="29"/>
      <c r="I297" s="33"/>
      <c r="J297" s="29"/>
      <c r="K297" s="29"/>
      <c r="L297" s="29"/>
      <c r="M297" s="29"/>
      <c r="N297" s="30"/>
      <c r="O297" s="30"/>
      <c r="P297" s="13"/>
      <c r="Q297" s="13"/>
      <c r="R297" s="13"/>
      <c r="S297" s="13"/>
      <c r="T297" s="13"/>
      <c r="U297" s="13"/>
      <c r="V297" s="30"/>
      <c r="W297" s="30"/>
      <c r="X297" s="30"/>
      <c r="Y297" s="30"/>
      <c r="Z297" s="30"/>
      <c r="AA297" s="30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I297" s="45"/>
      <c r="CJ297" s="45"/>
      <c r="CK297" s="45"/>
    </row>
    <row r="298" spans="2:89" s="28" customFormat="1">
      <c r="B298" s="29"/>
      <c r="C298" s="29"/>
      <c r="D298" s="29"/>
      <c r="E298" s="29"/>
      <c r="F298" s="29"/>
      <c r="G298" s="32"/>
      <c r="H298" s="29"/>
      <c r="I298" s="33"/>
      <c r="J298" s="29"/>
      <c r="K298" s="29"/>
      <c r="L298" s="29"/>
      <c r="M298" s="29"/>
      <c r="N298" s="30"/>
      <c r="O298" s="30"/>
      <c r="P298" s="13"/>
      <c r="Q298" s="13"/>
      <c r="R298" s="13"/>
      <c r="S298" s="13"/>
      <c r="T298" s="13"/>
      <c r="U298" s="13"/>
      <c r="V298" s="30"/>
      <c r="W298" s="30"/>
      <c r="X298" s="30"/>
      <c r="Y298" s="30"/>
      <c r="Z298" s="30"/>
      <c r="AA298" s="30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I298" s="45"/>
      <c r="CJ298" s="45"/>
      <c r="CK298" s="45"/>
    </row>
    <row r="299" spans="2:89" s="28" customFormat="1">
      <c r="B299" s="29"/>
      <c r="C299" s="29"/>
      <c r="D299" s="29"/>
      <c r="E299" s="29"/>
      <c r="F299" s="29"/>
      <c r="G299" s="32"/>
      <c r="H299" s="29"/>
      <c r="I299" s="33"/>
      <c r="J299" s="29"/>
      <c r="K299" s="29"/>
      <c r="L299" s="29"/>
      <c r="M299" s="29"/>
      <c r="N299" s="30"/>
      <c r="O299" s="30"/>
      <c r="P299" s="13"/>
      <c r="Q299" s="13"/>
      <c r="R299" s="13"/>
      <c r="S299" s="13"/>
      <c r="T299" s="13"/>
      <c r="U299" s="13"/>
      <c r="V299" s="30"/>
      <c r="W299" s="30"/>
      <c r="X299" s="30"/>
      <c r="Y299" s="30"/>
      <c r="Z299" s="30"/>
      <c r="AA299" s="30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I299" s="45"/>
      <c r="CJ299" s="45"/>
      <c r="CK299" s="45"/>
    </row>
    <row r="300" spans="2:89" s="28" customFormat="1">
      <c r="B300" s="29"/>
      <c r="C300" s="29"/>
      <c r="D300" s="29"/>
      <c r="E300" s="29"/>
      <c r="F300" s="29"/>
      <c r="G300" s="32"/>
      <c r="H300" s="29"/>
      <c r="I300" s="33"/>
      <c r="J300" s="29"/>
      <c r="K300" s="29"/>
      <c r="L300" s="29"/>
      <c r="M300" s="29"/>
      <c r="N300" s="30"/>
      <c r="O300" s="30"/>
      <c r="P300" s="13"/>
      <c r="Q300" s="13"/>
      <c r="R300" s="13"/>
      <c r="S300" s="13"/>
      <c r="T300" s="13"/>
      <c r="U300" s="13"/>
      <c r="V300" s="30"/>
      <c r="W300" s="30"/>
      <c r="X300" s="30"/>
      <c r="Y300" s="30"/>
      <c r="Z300" s="30"/>
      <c r="AA300" s="30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I300" s="45"/>
      <c r="CJ300" s="45"/>
      <c r="CK300" s="45"/>
    </row>
    <row r="301" spans="2:89" s="28" customFormat="1">
      <c r="B301" s="29"/>
      <c r="C301" s="29"/>
      <c r="D301" s="29"/>
      <c r="E301" s="29"/>
      <c r="F301" s="29"/>
      <c r="G301" s="32"/>
      <c r="H301" s="29"/>
      <c r="I301" s="33"/>
      <c r="J301" s="29"/>
      <c r="K301" s="29"/>
      <c r="L301" s="29"/>
      <c r="M301" s="29"/>
      <c r="N301" s="30"/>
      <c r="O301" s="30"/>
      <c r="P301" s="13"/>
      <c r="Q301" s="13"/>
      <c r="R301" s="13"/>
      <c r="S301" s="13"/>
      <c r="T301" s="13"/>
      <c r="U301" s="13"/>
      <c r="V301" s="30"/>
      <c r="W301" s="30"/>
      <c r="X301" s="30"/>
      <c r="Y301" s="30"/>
      <c r="Z301" s="30"/>
      <c r="AA301" s="30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I301" s="45"/>
      <c r="CJ301" s="45"/>
      <c r="CK301" s="45"/>
    </row>
    <row r="302" spans="2:89" s="28" customFormat="1">
      <c r="B302" s="29"/>
      <c r="C302" s="29"/>
      <c r="D302" s="29"/>
      <c r="E302" s="29"/>
      <c r="F302" s="29"/>
      <c r="G302" s="32"/>
      <c r="H302" s="29"/>
      <c r="I302" s="33"/>
      <c r="J302" s="29"/>
      <c r="K302" s="29"/>
      <c r="L302" s="29"/>
      <c r="M302" s="29"/>
      <c r="N302" s="30"/>
      <c r="O302" s="30"/>
      <c r="P302" s="13"/>
      <c r="Q302" s="13"/>
      <c r="R302" s="13"/>
      <c r="S302" s="13"/>
      <c r="T302" s="13"/>
      <c r="U302" s="13"/>
      <c r="V302" s="30"/>
      <c r="W302" s="30"/>
      <c r="X302" s="30"/>
      <c r="Y302" s="30"/>
      <c r="Z302" s="30"/>
      <c r="AA302" s="30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I302" s="45"/>
      <c r="CJ302" s="45"/>
      <c r="CK302" s="45"/>
    </row>
    <row r="303" spans="2:89" s="28" customFormat="1">
      <c r="B303" s="29"/>
      <c r="C303" s="29"/>
      <c r="D303" s="29"/>
      <c r="E303" s="29"/>
      <c r="F303" s="29"/>
      <c r="G303" s="32"/>
      <c r="H303" s="29"/>
      <c r="I303" s="33"/>
      <c r="J303" s="29"/>
      <c r="K303" s="29"/>
      <c r="L303" s="29"/>
      <c r="M303" s="29"/>
      <c r="N303" s="30"/>
      <c r="O303" s="30"/>
      <c r="P303" s="13"/>
      <c r="Q303" s="13"/>
      <c r="R303" s="13"/>
      <c r="S303" s="13"/>
      <c r="T303" s="13"/>
      <c r="U303" s="13"/>
      <c r="V303" s="30"/>
      <c r="W303" s="30"/>
      <c r="X303" s="30"/>
      <c r="Y303" s="30"/>
      <c r="Z303" s="30"/>
      <c r="AA303" s="30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I303" s="45"/>
      <c r="CJ303" s="45"/>
      <c r="CK303" s="45"/>
    </row>
    <row r="304" spans="2:89" s="28" customFormat="1">
      <c r="B304" s="29"/>
      <c r="C304" s="29"/>
      <c r="D304" s="29"/>
      <c r="E304" s="29"/>
      <c r="F304" s="29"/>
      <c r="G304" s="32"/>
      <c r="H304" s="29"/>
      <c r="I304" s="33"/>
      <c r="J304" s="29"/>
      <c r="K304" s="29"/>
      <c r="L304" s="29"/>
      <c r="M304" s="29"/>
      <c r="N304" s="30"/>
      <c r="O304" s="30"/>
      <c r="P304" s="13"/>
      <c r="Q304" s="13"/>
      <c r="R304" s="13"/>
      <c r="S304" s="13"/>
      <c r="T304" s="13"/>
      <c r="U304" s="13"/>
      <c r="V304" s="30"/>
      <c r="W304" s="30"/>
      <c r="X304" s="30"/>
      <c r="Y304" s="30"/>
      <c r="Z304" s="30"/>
      <c r="AA304" s="30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I304" s="45"/>
      <c r="CJ304" s="45"/>
      <c r="CK304" s="45"/>
    </row>
    <row r="305" spans="2:89" s="28" customFormat="1">
      <c r="B305" s="29"/>
      <c r="C305" s="29"/>
      <c r="D305" s="29"/>
      <c r="E305" s="29"/>
      <c r="F305" s="29"/>
      <c r="G305" s="32"/>
      <c r="H305" s="29"/>
      <c r="I305" s="33"/>
      <c r="J305" s="29"/>
      <c r="K305" s="29"/>
      <c r="L305" s="29"/>
      <c r="M305" s="29"/>
      <c r="N305" s="30"/>
      <c r="O305" s="30"/>
      <c r="P305" s="13"/>
      <c r="Q305" s="13"/>
      <c r="R305" s="13"/>
      <c r="S305" s="13"/>
      <c r="T305" s="13"/>
      <c r="U305" s="13"/>
      <c r="V305" s="30"/>
      <c r="W305" s="30"/>
      <c r="X305" s="30"/>
      <c r="Y305" s="30"/>
      <c r="Z305" s="30"/>
      <c r="AA305" s="30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I305" s="45"/>
      <c r="CJ305" s="45"/>
      <c r="CK305" s="45"/>
    </row>
    <row r="306" spans="2:89" s="28" customFormat="1">
      <c r="B306" s="29"/>
      <c r="C306" s="29"/>
      <c r="D306" s="29"/>
      <c r="E306" s="29"/>
      <c r="F306" s="29"/>
      <c r="G306" s="32"/>
      <c r="H306" s="29"/>
      <c r="I306" s="33"/>
      <c r="J306" s="29"/>
      <c r="K306" s="29"/>
      <c r="L306" s="29"/>
      <c r="M306" s="29"/>
      <c r="N306" s="30"/>
      <c r="O306" s="30"/>
      <c r="P306" s="13"/>
      <c r="Q306" s="13"/>
      <c r="R306" s="13"/>
      <c r="S306" s="13"/>
      <c r="T306" s="13"/>
      <c r="U306" s="13"/>
      <c r="V306" s="30"/>
      <c r="W306" s="30"/>
      <c r="X306" s="30"/>
      <c r="Y306" s="30"/>
      <c r="Z306" s="30"/>
      <c r="AA306" s="30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I306" s="45"/>
      <c r="CJ306" s="45"/>
      <c r="CK306" s="45"/>
    </row>
    <row r="307" spans="2:89" s="28" customFormat="1">
      <c r="B307" s="29"/>
      <c r="C307" s="29"/>
      <c r="D307" s="29"/>
      <c r="E307" s="29"/>
      <c r="F307" s="29"/>
      <c r="G307" s="32"/>
      <c r="H307" s="29"/>
      <c r="I307" s="33"/>
      <c r="J307" s="29"/>
      <c r="K307" s="29"/>
      <c r="L307" s="29"/>
      <c r="M307" s="29"/>
      <c r="N307" s="30"/>
      <c r="O307" s="30"/>
      <c r="P307" s="13"/>
      <c r="Q307" s="13"/>
      <c r="R307" s="13"/>
      <c r="S307" s="13"/>
      <c r="T307" s="13"/>
      <c r="U307" s="13"/>
      <c r="V307" s="30"/>
      <c r="W307" s="30"/>
      <c r="X307" s="30"/>
      <c r="Y307" s="30"/>
      <c r="Z307" s="30"/>
      <c r="AA307" s="30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I307" s="45"/>
      <c r="CJ307" s="45"/>
      <c r="CK307" s="45"/>
    </row>
    <row r="308" spans="2:89" s="28" customFormat="1">
      <c r="B308" s="29"/>
      <c r="C308" s="29"/>
      <c r="D308" s="29"/>
      <c r="E308" s="29"/>
      <c r="F308" s="29"/>
      <c r="G308" s="32"/>
      <c r="H308" s="29"/>
      <c r="I308" s="33"/>
      <c r="J308" s="29"/>
      <c r="K308" s="29"/>
      <c r="L308" s="29"/>
      <c r="M308" s="29"/>
      <c r="N308" s="30"/>
      <c r="O308" s="30"/>
      <c r="P308" s="13"/>
      <c r="Q308" s="13"/>
      <c r="R308" s="13"/>
      <c r="S308" s="13"/>
      <c r="T308" s="13"/>
      <c r="U308" s="13"/>
      <c r="V308" s="30"/>
      <c r="W308" s="30"/>
      <c r="X308" s="30"/>
      <c r="Y308" s="30"/>
      <c r="Z308" s="30"/>
      <c r="AA308" s="30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I308" s="45"/>
      <c r="CJ308" s="45"/>
      <c r="CK308" s="45"/>
    </row>
    <row r="309" spans="2:89" s="28" customFormat="1">
      <c r="B309" s="29"/>
      <c r="C309" s="29"/>
      <c r="D309" s="29"/>
      <c r="E309" s="29"/>
      <c r="F309" s="29"/>
      <c r="G309" s="32"/>
      <c r="H309" s="29"/>
      <c r="I309" s="33"/>
      <c r="J309" s="29"/>
      <c r="K309" s="29"/>
      <c r="L309" s="29"/>
      <c r="M309" s="29"/>
      <c r="N309" s="30"/>
      <c r="O309" s="30"/>
      <c r="P309" s="13"/>
      <c r="Q309" s="13"/>
      <c r="R309" s="13"/>
      <c r="S309" s="13"/>
      <c r="T309" s="13"/>
      <c r="U309" s="13"/>
      <c r="V309" s="30"/>
      <c r="W309" s="30"/>
      <c r="X309" s="30"/>
      <c r="Y309" s="30"/>
      <c r="Z309" s="30"/>
      <c r="AA309" s="30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I309" s="45"/>
      <c r="CJ309" s="45"/>
      <c r="CK309" s="45"/>
    </row>
    <row r="310" spans="2:89" s="28" customFormat="1">
      <c r="B310" s="29"/>
      <c r="C310" s="29"/>
      <c r="D310" s="29"/>
      <c r="E310" s="29"/>
      <c r="F310" s="29"/>
      <c r="G310" s="32"/>
      <c r="H310" s="29"/>
      <c r="I310" s="33"/>
      <c r="J310" s="29"/>
      <c r="K310" s="29"/>
      <c r="L310" s="29"/>
      <c r="M310" s="29"/>
      <c r="N310" s="30"/>
      <c r="O310" s="30"/>
      <c r="P310" s="13"/>
      <c r="Q310" s="13"/>
      <c r="R310" s="13"/>
      <c r="S310" s="13"/>
      <c r="T310" s="13"/>
      <c r="U310" s="13"/>
      <c r="V310" s="30"/>
      <c r="W310" s="30"/>
      <c r="X310" s="30"/>
      <c r="Y310" s="30"/>
      <c r="Z310" s="30"/>
      <c r="AA310" s="30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I310" s="45"/>
      <c r="CJ310" s="45"/>
      <c r="CK310" s="45"/>
    </row>
    <row r="311" spans="2:89" s="28" customFormat="1">
      <c r="B311" s="29"/>
      <c r="C311" s="29"/>
      <c r="D311" s="29"/>
      <c r="E311" s="29"/>
      <c r="F311" s="29"/>
      <c r="G311" s="32"/>
      <c r="H311" s="29"/>
      <c r="I311" s="33"/>
      <c r="J311" s="29"/>
      <c r="K311" s="29"/>
      <c r="L311" s="29"/>
      <c r="M311" s="29"/>
      <c r="N311" s="30"/>
      <c r="O311" s="30"/>
      <c r="P311" s="13"/>
      <c r="Q311" s="13"/>
      <c r="R311" s="13"/>
      <c r="S311" s="13"/>
      <c r="T311" s="13"/>
      <c r="U311" s="13"/>
      <c r="V311" s="30"/>
      <c r="W311" s="30"/>
      <c r="X311" s="30"/>
      <c r="Y311" s="30"/>
      <c r="Z311" s="30"/>
      <c r="AA311" s="30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I311" s="45"/>
      <c r="CJ311" s="45"/>
      <c r="CK311" s="45"/>
    </row>
    <row r="312" spans="2:89" s="28" customFormat="1">
      <c r="B312" s="29"/>
      <c r="C312" s="29"/>
      <c r="D312" s="29"/>
      <c r="E312" s="29"/>
      <c r="F312" s="29"/>
      <c r="G312" s="32"/>
      <c r="H312" s="29"/>
      <c r="I312" s="33"/>
      <c r="J312" s="29"/>
      <c r="K312" s="29"/>
      <c r="L312" s="29"/>
      <c r="M312" s="29"/>
      <c r="N312" s="30"/>
      <c r="O312" s="30"/>
      <c r="P312" s="13"/>
      <c r="Q312" s="13"/>
      <c r="R312" s="13"/>
      <c r="S312" s="13"/>
      <c r="T312" s="13"/>
      <c r="U312" s="13"/>
      <c r="V312" s="30"/>
      <c r="W312" s="30"/>
      <c r="X312" s="30"/>
      <c r="Y312" s="30"/>
      <c r="Z312" s="30"/>
      <c r="AA312" s="30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  <c r="CF312" s="45"/>
      <c r="CG312" s="45"/>
      <c r="CI312" s="45"/>
      <c r="CJ312" s="45"/>
      <c r="CK312" s="45"/>
    </row>
    <row r="313" spans="2:89" s="28" customFormat="1">
      <c r="B313" s="29"/>
      <c r="C313" s="29"/>
      <c r="D313" s="29"/>
      <c r="E313" s="29"/>
      <c r="F313" s="29"/>
      <c r="G313" s="32"/>
      <c r="H313" s="29"/>
      <c r="I313" s="33"/>
      <c r="J313" s="29"/>
      <c r="K313" s="29"/>
      <c r="L313" s="29"/>
      <c r="M313" s="29"/>
      <c r="N313" s="30"/>
      <c r="O313" s="30"/>
      <c r="P313" s="13"/>
      <c r="Q313" s="13"/>
      <c r="R313" s="13"/>
      <c r="S313" s="13"/>
      <c r="T313" s="13"/>
      <c r="U313" s="13"/>
      <c r="V313" s="30"/>
      <c r="W313" s="30"/>
      <c r="X313" s="30"/>
      <c r="Y313" s="30"/>
      <c r="Z313" s="30"/>
      <c r="AA313" s="30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I313" s="45"/>
      <c r="CJ313" s="45"/>
      <c r="CK313" s="45"/>
    </row>
    <row r="314" spans="2:89" s="28" customFormat="1">
      <c r="B314" s="29"/>
      <c r="C314" s="29"/>
      <c r="D314" s="29"/>
      <c r="E314" s="29"/>
      <c r="F314" s="29"/>
      <c r="G314" s="32"/>
      <c r="H314" s="29"/>
      <c r="I314" s="33"/>
      <c r="J314" s="29"/>
      <c r="K314" s="29"/>
      <c r="L314" s="29"/>
      <c r="M314" s="29"/>
      <c r="N314" s="30"/>
      <c r="O314" s="30"/>
      <c r="P314" s="13"/>
      <c r="Q314" s="13"/>
      <c r="R314" s="13"/>
      <c r="S314" s="13"/>
      <c r="T314" s="13"/>
      <c r="U314" s="13"/>
      <c r="V314" s="30"/>
      <c r="W314" s="30"/>
      <c r="X314" s="30"/>
      <c r="Y314" s="30"/>
      <c r="Z314" s="30"/>
      <c r="AA314" s="30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I314" s="45"/>
      <c r="CJ314" s="45"/>
      <c r="CK314" s="45"/>
    </row>
    <row r="315" spans="2:89" s="28" customFormat="1">
      <c r="B315" s="29"/>
      <c r="C315" s="29"/>
      <c r="D315" s="29"/>
      <c r="E315" s="29"/>
      <c r="F315" s="29"/>
      <c r="G315" s="32"/>
      <c r="H315" s="29"/>
      <c r="I315" s="33"/>
      <c r="J315" s="29"/>
      <c r="K315" s="29"/>
      <c r="L315" s="29"/>
      <c r="M315" s="29"/>
      <c r="N315" s="30"/>
      <c r="O315" s="30"/>
      <c r="P315" s="13"/>
      <c r="Q315" s="13"/>
      <c r="R315" s="13"/>
      <c r="S315" s="13"/>
      <c r="T315" s="13"/>
      <c r="U315" s="13"/>
      <c r="V315" s="30"/>
      <c r="W315" s="30"/>
      <c r="X315" s="30"/>
      <c r="Y315" s="30"/>
      <c r="Z315" s="30"/>
      <c r="AA315" s="30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I315" s="45"/>
      <c r="CJ315" s="45"/>
      <c r="CK315" s="45"/>
    </row>
    <row r="316" spans="2:89" s="28" customFormat="1">
      <c r="B316" s="29"/>
      <c r="C316" s="29"/>
      <c r="D316" s="29"/>
      <c r="E316" s="29"/>
      <c r="F316" s="29"/>
      <c r="G316" s="32"/>
      <c r="H316" s="29"/>
      <c r="I316" s="33"/>
      <c r="J316" s="29"/>
      <c r="K316" s="29"/>
      <c r="L316" s="29"/>
      <c r="M316" s="29"/>
      <c r="N316" s="30"/>
      <c r="O316" s="30"/>
      <c r="P316" s="13"/>
      <c r="Q316" s="13"/>
      <c r="R316" s="13"/>
      <c r="S316" s="13"/>
      <c r="T316" s="13"/>
      <c r="U316" s="13"/>
      <c r="V316" s="30"/>
      <c r="W316" s="30"/>
      <c r="X316" s="30"/>
      <c r="Y316" s="30"/>
      <c r="Z316" s="30"/>
      <c r="AA316" s="30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  <c r="CF316" s="45"/>
      <c r="CG316" s="45"/>
      <c r="CI316" s="45"/>
      <c r="CJ316" s="45"/>
      <c r="CK316" s="45"/>
    </row>
    <row r="317" spans="2:89" s="28" customFormat="1">
      <c r="B317" s="29"/>
      <c r="C317" s="29"/>
      <c r="D317" s="29"/>
      <c r="E317" s="29"/>
      <c r="F317" s="29"/>
      <c r="G317" s="32"/>
      <c r="H317" s="29"/>
      <c r="I317" s="33"/>
      <c r="J317" s="29"/>
      <c r="K317" s="29"/>
      <c r="L317" s="29"/>
      <c r="M317" s="29"/>
      <c r="N317" s="30"/>
      <c r="O317" s="30"/>
      <c r="P317" s="13"/>
      <c r="Q317" s="13"/>
      <c r="R317" s="13"/>
      <c r="S317" s="13"/>
      <c r="T317" s="13"/>
      <c r="U317" s="13"/>
      <c r="V317" s="30"/>
      <c r="W317" s="30"/>
      <c r="X317" s="30"/>
      <c r="Y317" s="30"/>
      <c r="Z317" s="30"/>
      <c r="AA317" s="30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I317" s="45"/>
      <c r="CJ317" s="45"/>
      <c r="CK317" s="45"/>
    </row>
    <row r="318" spans="2:89" s="28" customFormat="1">
      <c r="B318" s="29"/>
      <c r="C318" s="29"/>
      <c r="D318" s="29"/>
      <c r="E318" s="29"/>
      <c r="F318" s="29"/>
      <c r="G318" s="32"/>
      <c r="H318" s="29"/>
      <c r="I318" s="33"/>
      <c r="J318" s="29"/>
      <c r="K318" s="29"/>
      <c r="L318" s="29"/>
      <c r="M318" s="29"/>
      <c r="N318" s="30"/>
      <c r="O318" s="30"/>
      <c r="P318" s="13"/>
      <c r="Q318" s="13"/>
      <c r="R318" s="13"/>
      <c r="S318" s="13"/>
      <c r="T318" s="13"/>
      <c r="U318" s="13"/>
      <c r="V318" s="30"/>
      <c r="W318" s="30"/>
      <c r="X318" s="30"/>
      <c r="Y318" s="30"/>
      <c r="Z318" s="30"/>
      <c r="AA318" s="30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I318" s="45"/>
      <c r="CJ318" s="45"/>
      <c r="CK318" s="45"/>
    </row>
    <row r="319" spans="2:89" s="28" customFormat="1">
      <c r="B319" s="29"/>
      <c r="C319" s="29"/>
      <c r="D319" s="29"/>
      <c r="E319" s="29"/>
      <c r="F319" s="29"/>
      <c r="G319" s="32"/>
      <c r="H319" s="29"/>
      <c r="I319" s="33"/>
      <c r="J319" s="29"/>
      <c r="K319" s="29"/>
      <c r="L319" s="29"/>
      <c r="M319" s="29"/>
      <c r="N319" s="30"/>
      <c r="O319" s="30"/>
      <c r="P319" s="13"/>
      <c r="Q319" s="13"/>
      <c r="R319" s="13"/>
      <c r="S319" s="13"/>
      <c r="T319" s="13"/>
      <c r="U319" s="13"/>
      <c r="V319" s="30"/>
      <c r="W319" s="30"/>
      <c r="X319" s="30"/>
      <c r="Y319" s="30"/>
      <c r="Z319" s="30"/>
      <c r="AA319" s="30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I319" s="45"/>
      <c r="CJ319" s="45"/>
      <c r="CK319" s="45"/>
    </row>
    <row r="320" spans="2:89" s="28" customFormat="1">
      <c r="B320" s="29"/>
      <c r="C320" s="29"/>
      <c r="D320" s="29"/>
      <c r="E320" s="29"/>
      <c r="F320" s="29"/>
      <c r="G320" s="32"/>
      <c r="H320" s="29"/>
      <c r="I320" s="33"/>
      <c r="J320" s="29"/>
      <c r="K320" s="29"/>
      <c r="L320" s="29"/>
      <c r="M320" s="29"/>
      <c r="N320" s="30"/>
      <c r="O320" s="30"/>
      <c r="P320" s="13"/>
      <c r="Q320" s="13"/>
      <c r="R320" s="13"/>
      <c r="S320" s="13"/>
      <c r="T320" s="13"/>
      <c r="U320" s="13"/>
      <c r="V320" s="30"/>
      <c r="W320" s="30"/>
      <c r="X320" s="30"/>
      <c r="Y320" s="30"/>
      <c r="Z320" s="30"/>
      <c r="AA320" s="30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I320" s="45"/>
      <c r="CJ320" s="45"/>
      <c r="CK320" s="45"/>
    </row>
    <row r="321" spans="2:89" s="28" customFormat="1">
      <c r="B321" s="29"/>
      <c r="C321" s="29"/>
      <c r="D321" s="29"/>
      <c r="E321" s="29"/>
      <c r="F321" s="29"/>
      <c r="G321" s="32"/>
      <c r="H321" s="29"/>
      <c r="I321" s="33"/>
      <c r="J321" s="29"/>
      <c r="K321" s="29"/>
      <c r="L321" s="29"/>
      <c r="M321" s="29"/>
      <c r="N321" s="30"/>
      <c r="O321" s="30"/>
      <c r="P321" s="13"/>
      <c r="Q321" s="13"/>
      <c r="R321" s="13"/>
      <c r="S321" s="13"/>
      <c r="T321" s="13"/>
      <c r="U321" s="13"/>
      <c r="V321" s="30"/>
      <c r="W321" s="30"/>
      <c r="X321" s="30"/>
      <c r="Y321" s="30"/>
      <c r="Z321" s="30"/>
      <c r="AA321" s="30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I321" s="45"/>
      <c r="CJ321" s="45"/>
      <c r="CK321" s="45"/>
    </row>
    <row r="322" spans="2:89" s="28" customFormat="1">
      <c r="B322" s="29"/>
      <c r="C322" s="29"/>
      <c r="D322" s="29"/>
      <c r="E322" s="29"/>
      <c r="F322" s="29"/>
      <c r="G322" s="32"/>
      <c r="H322" s="29"/>
      <c r="I322" s="33"/>
      <c r="J322" s="29"/>
      <c r="K322" s="29"/>
      <c r="L322" s="29"/>
      <c r="M322" s="29"/>
      <c r="N322" s="30"/>
      <c r="O322" s="30"/>
      <c r="P322" s="13"/>
      <c r="Q322" s="13"/>
      <c r="R322" s="13"/>
      <c r="S322" s="13"/>
      <c r="T322" s="13"/>
      <c r="U322" s="13"/>
      <c r="V322" s="30"/>
      <c r="W322" s="30"/>
      <c r="X322" s="30"/>
      <c r="Y322" s="30"/>
      <c r="Z322" s="30"/>
      <c r="AA322" s="30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I322" s="45"/>
      <c r="CJ322" s="45"/>
      <c r="CK322" s="45"/>
    </row>
    <row r="323" spans="2:89" s="28" customFormat="1">
      <c r="B323" s="29"/>
      <c r="C323" s="29"/>
      <c r="D323" s="29"/>
      <c r="E323" s="29"/>
      <c r="F323" s="29"/>
      <c r="G323" s="32"/>
      <c r="H323" s="29"/>
      <c r="I323" s="33"/>
      <c r="J323" s="29"/>
      <c r="K323" s="29"/>
      <c r="L323" s="29"/>
      <c r="M323" s="29"/>
      <c r="N323" s="30"/>
      <c r="O323" s="30"/>
      <c r="P323" s="13"/>
      <c r="Q323" s="13"/>
      <c r="R323" s="13"/>
      <c r="S323" s="13"/>
      <c r="T323" s="13"/>
      <c r="U323" s="13"/>
      <c r="V323" s="30"/>
      <c r="W323" s="30"/>
      <c r="X323" s="30"/>
      <c r="Y323" s="30"/>
      <c r="Z323" s="30"/>
      <c r="AA323" s="30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I323" s="45"/>
      <c r="CJ323" s="45"/>
      <c r="CK323" s="45"/>
    </row>
    <row r="324" spans="2:89" s="28" customFormat="1">
      <c r="B324" s="29"/>
      <c r="C324" s="29"/>
      <c r="D324" s="29"/>
      <c r="E324" s="29"/>
      <c r="F324" s="29"/>
      <c r="G324" s="32"/>
      <c r="H324" s="29"/>
      <c r="I324" s="33"/>
      <c r="J324" s="29"/>
      <c r="K324" s="29"/>
      <c r="L324" s="29"/>
      <c r="M324" s="29"/>
      <c r="N324" s="30"/>
      <c r="O324" s="30"/>
      <c r="P324" s="13"/>
      <c r="Q324" s="13"/>
      <c r="R324" s="13"/>
      <c r="S324" s="13"/>
      <c r="T324" s="13"/>
      <c r="U324" s="13"/>
      <c r="V324" s="30"/>
      <c r="W324" s="30"/>
      <c r="X324" s="30"/>
      <c r="Y324" s="30"/>
      <c r="Z324" s="30"/>
      <c r="AA324" s="30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I324" s="45"/>
      <c r="CJ324" s="45"/>
      <c r="CK324" s="45"/>
    </row>
    <row r="325" spans="2:89" s="28" customFormat="1">
      <c r="B325" s="29"/>
      <c r="C325" s="29"/>
      <c r="D325" s="29"/>
      <c r="E325" s="29"/>
      <c r="F325" s="29"/>
      <c r="G325" s="32"/>
      <c r="H325" s="29"/>
      <c r="I325" s="33"/>
      <c r="J325" s="29"/>
      <c r="K325" s="29"/>
      <c r="L325" s="29"/>
      <c r="M325" s="29"/>
      <c r="N325" s="30"/>
      <c r="O325" s="30"/>
      <c r="P325" s="13"/>
      <c r="Q325" s="13"/>
      <c r="R325" s="13"/>
      <c r="S325" s="13"/>
      <c r="T325" s="13"/>
      <c r="U325" s="13"/>
      <c r="V325" s="30"/>
      <c r="W325" s="30"/>
      <c r="X325" s="30"/>
      <c r="Y325" s="30"/>
      <c r="Z325" s="30"/>
      <c r="AA325" s="30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I325" s="45"/>
      <c r="CJ325" s="45"/>
      <c r="CK325" s="45"/>
    </row>
    <row r="326" spans="2:89" s="28" customFormat="1">
      <c r="B326" s="29"/>
      <c r="C326" s="29"/>
      <c r="D326" s="29"/>
      <c r="E326" s="29"/>
      <c r="F326" s="29"/>
      <c r="G326" s="32"/>
      <c r="H326" s="29"/>
      <c r="I326" s="33"/>
      <c r="J326" s="29"/>
      <c r="K326" s="29"/>
      <c r="L326" s="29"/>
      <c r="M326" s="29"/>
      <c r="N326" s="30"/>
      <c r="O326" s="30"/>
      <c r="P326" s="13"/>
      <c r="Q326" s="13"/>
      <c r="R326" s="13"/>
      <c r="S326" s="13"/>
      <c r="T326" s="13"/>
      <c r="U326" s="13"/>
      <c r="V326" s="30"/>
      <c r="W326" s="30"/>
      <c r="X326" s="30"/>
      <c r="Y326" s="30"/>
      <c r="Z326" s="30"/>
      <c r="AA326" s="30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I326" s="45"/>
      <c r="CJ326" s="45"/>
      <c r="CK326" s="45"/>
    </row>
    <row r="327" spans="2:89" s="28" customFormat="1">
      <c r="B327" s="29"/>
      <c r="C327" s="29"/>
      <c r="D327" s="29"/>
      <c r="E327" s="29"/>
      <c r="F327" s="29"/>
      <c r="G327" s="32"/>
      <c r="H327" s="29"/>
      <c r="I327" s="33"/>
      <c r="J327" s="29"/>
      <c r="K327" s="29"/>
      <c r="L327" s="29"/>
      <c r="M327" s="29"/>
      <c r="N327" s="30"/>
      <c r="O327" s="30"/>
      <c r="P327" s="13"/>
      <c r="Q327" s="13"/>
      <c r="R327" s="13"/>
      <c r="S327" s="13"/>
      <c r="T327" s="13"/>
      <c r="U327" s="13"/>
      <c r="V327" s="30"/>
      <c r="W327" s="30"/>
      <c r="X327" s="30"/>
      <c r="Y327" s="30"/>
      <c r="Z327" s="30"/>
      <c r="AA327" s="30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I327" s="45"/>
      <c r="CJ327" s="45"/>
      <c r="CK327" s="45"/>
    </row>
    <row r="328" spans="2:89" s="28" customFormat="1">
      <c r="B328" s="29"/>
      <c r="C328" s="29"/>
      <c r="D328" s="29"/>
      <c r="E328" s="29"/>
      <c r="F328" s="29"/>
      <c r="G328" s="32"/>
      <c r="H328" s="29"/>
      <c r="I328" s="33"/>
      <c r="J328" s="29"/>
      <c r="K328" s="29"/>
      <c r="L328" s="29"/>
      <c r="M328" s="29"/>
      <c r="N328" s="30"/>
      <c r="O328" s="30"/>
      <c r="P328" s="13"/>
      <c r="Q328" s="13"/>
      <c r="R328" s="13"/>
      <c r="S328" s="13"/>
      <c r="T328" s="13"/>
      <c r="U328" s="13"/>
      <c r="V328" s="30"/>
      <c r="W328" s="30"/>
      <c r="X328" s="30"/>
      <c r="Y328" s="30"/>
      <c r="Z328" s="30"/>
      <c r="AA328" s="30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I328" s="45"/>
      <c r="CJ328" s="45"/>
      <c r="CK328" s="45"/>
    </row>
    <row r="329" spans="2:89" s="28" customFormat="1">
      <c r="B329" s="29"/>
      <c r="C329" s="29"/>
      <c r="D329" s="29"/>
      <c r="E329" s="29"/>
      <c r="F329" s="29"/>
      <c r="G329" s="32"/>
      <c r="H329" s="29"/>
      <c r="I329" s="33"/>
      <c r="J329" s="29"/>
      <c r="K329" s="29"/>
      <c r="L329" s="29"/>
      <c r="M329" s="29"/>
      <c r="N329" s="30"/>
      <c r="O329" s="30"/>
      <c r="P329" s="13"/>
      <c r="Q329" s="13"/>
      <c r="R329" s="13"/>
      <c r="S329" s="13"/>
      <c r="T329" s="13"/>
      <c r="U329" s="13"/>
      <c r="V329" s="30"/>
      <c r="W329" s="30"/>
      <c r="X329" s="30"/>
      <c r="Y329" s="30"/>
      <c r="Z329" s="30"/>
      <c r="AA329" s="30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I329" s="45"/>
      <c r="CJ329" s="45"/>
      <c r="CK329" s="45"/>
    </row>
    <row r="330" spans="2:89" s="28" customFormat="1">
      <c r="B330" s="29"/>
      <c r="C330" s="29"/>
      <c r="D330" s="29"/>
      <c r="E330" s="29"/>
      <c r="F330" s="29"/>
      <c r="G330" s="32"/>
      <c r="H330" s="29"/>
      <c r="I330" s="33"/>
      <c r="J330" s="29"/>
      <c r="K330" s="29"/>
      <c r="L330" s="29"/>
      <c r="M330" s="29"/>
      <c r="N330" s="30"/>
      <c r="O330" s="30"/>
      <c r="P330" s="13"/>
      <c r="Q330" s="13"/>
      <c r="R330" s="13"/>
      <c r="S330" s="13"/>
      <c r="T330" s="13"/>
      <c r="U330" s="13"/>
      <c r="V330" s="30"/>
      <c r="W330" s="30"/>
      <c r="X330" s="30"/>
      <c r="Y330" s="30"/>
      <c r="Z330" s="30"/>
      <c r="AA330" s="30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I330" s="45"/>
      <c r="CJ330" s="45"/>
      <c r="CK330" s="45"/>
    </row>
    <row r="331" spans="2:89" s="28" customFormat="1">
      <c r="B331" s="29"/>
      <c r="C331" s="29"/>
      <c r="D331" s="29"/>
      <c r="E331" s="29"/>
      <c r="F331" s="29"/>
      <c r="G331" s="32"/>
      <c r="H331" s="29"/>
      <c r="I331" s="33"/>
      <c r="J331" s="29"/>
      <c r="K331" s="29"/>
      <c r="L331" s="29"/>
      <c r="M331" s="29"/>
      <c r="N331" s="30"/>
      <c r="O331" s="30"/>
      <c r="P331" s="13"/>
      <c r="Q331" s="13"/>
      <c r="R331" s="13"/>
      <c r="S331" s="13"/>
      <c r="T331" s="13"/>
      <c r="U331" s="13"/>
      <c r="V331" s="30"/>
      <c r="W331" s="30"/>
      <c r="X331" s="30"/>
      <c r="Y331" s="30"/>
      <c r="Z331" s="30"/>
      <c r="AA331" s="30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I331" s="45"/>
      <c r="CJ331" s="45"/>
      <c r="CK331" s="45"/>
    </row>
    <row r="332" spans="2:89" s="28" customFormat="1">
      <c r="B332" s="29"/>
      <c r="C332" s="29"/>
      <c r="D332" s="29"/>
      <c r="E332" s="29"/>
      <c r="F332" s="29"/>
      <c r="G332" s="32"/>
      <c r="H332" s="29"/>
      <c r="I332" s="33"/>
      <c r="J332" s="29"/>
      <c r="K332" s="29"/>
      <c r="L332" s="29"/>
      <c r="M332" s="29"/>
      <c r="N332" s="30"/>
      <c r="O332" s="30"/>
      <c r="P332" s="13"/>
      <c r="Q332" s="13"/>
      <c r="R332" s="13"/>
      <c r="S332" s="13"/>
      <c r="T332" s="13"/>
      <c r="U332" s="13"/>
      <c r="V332" s="30"/>
      <c r="W332" s="30"/>
      <c r="X332" s="30"/>
      <c r="Y332" s="30"/>
      <c r="Z332" s="30"/>
      <c r="AA332" s="30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I332" s="45"/>
      <c r="CJ332" s="45"/>
      <c r="CK332" s="45"/>
    </row>
    <row r="333" spans="2:89" s="28" customFormat="1">
      <c r="B333" s="29"/>
      <c r="C333" s="29"/>
      <c r="D333" s="29"/>
      <c r="E333" s="29"/>
      <c r="F333" s="29"/>
      <c r="G333" s="32"/>
      <c r="H333" s="29"/>
      <c r="I333" s="33"/>
      <c r="J333" s="29"/>
      <c r="K333" s="29"/>
      <c r="L333" s="29"/>
      <c r="M333" s="29"/>
      <c r="N333" s="30"/>
      <c r="O333" s="30"/>
      <c r="P333" s="13"/>
      <c r="Q333" s="13"/>
      <c r="R333" s="13"/>
      <c r="S333" s="13"/>
      <c r="T333" s="13"/>
      <c r="U333" s="13"/>
      <c r="V333" s="30"/>
      <c r="W333" s="30"/>
      <c r="X333" s="30"/>
      <c r="Y333" s="30"/>
      <c r="Z333" s="30"/>
      <c r="AA333" s="30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I333" s="45"/>
      <c r="CJ333" s="45"/>
      <c r="CK333" s="45"/>
    </row>
    <row r="334" spans="2:89" s="28" customFormat="1">
      <c r="B334" s="29"/>
      <c r="C334" s="29"/>
      <c r="D334" s="29"/>
      <c r="E334" s="29"/>
      <c r="F334" s="29"/>
      <c r="G334" s="32"/>
      <c r="H334" s="29"/>
      <c r="I334" s="33"/>
      <c r="J334" s="29"/>
      <c r="K334" s="29"/>
      <c r="L334" s="29"/>
      <c r="M334" s="29"/>
      <c r="N334" s="30"/>
      <c r="O334" s="30"/>
      <c r="P334" s="13"/>
      <c r="Q334" s="13"/>
      <c r="R334" s="13"/>
      <c r="S334" s="13"/>
      <c r="T334" s="13"/>
      <c r="U334" s="13"/>
      <c r="V334" s="30"/>
      <c r="W334" s="30"/>
      <c r="X334" s="30"/>
      <c r="Y334" s="30"/>
      <c r="Z334" s="30"/>
      <c r="AA334" s="30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I334" s="45"/>
      <c r="CJ334" s="45"/>
      <c r="CK334" s="45"/>
    </row>
    <row r="335" spans="2:89" s="28" customFormat="1">
      <c r="B335" s="29"/>
      <c r="C335" s="29"/>
      <c r="D335" s="29"/>
      <c r="E335" s="29"/>
      <c r="F335" s="29"/>
      <c r="G335" s="32"/>
      <c r="H335" s="29"/>
      <c r="I335" s="33"/>
      <c r="J335" s="29"/>
      <c r="K335" s="29"/>
      <c r="L335" s="29"/>
      <c r="M335" s="29"/>
      <c r="N335" s="30"/>
      <c r="O335" s="30"/>
      <c r="P335" s="13"/>
      <c r="Q335" s="13"/>
      <c r="R335" s="13"/>
      <c r="S335" s="13"/>
      <c r="T335" s="13"/>
      <c r="U335" s="13"/>
      <c r="V335" s="30"/>
      <c r="W335" s="30"/>
      <c r="X335" s="30"/>
      <c r="Y335" s="30"/>
      <c r="Z335" s="30"/>
      <c r="AA335" s="30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I335" s="45"/>
      <c r="CJ335" s="45"/>
      <c r="CK335" s="45"/>
    </row>
    <row r="336" spans="2:89" s="28" customFormat="1">
      <c r="B336" s="29"/>
      <c r="C336" s="29"/>
      <c r="D336" s="29"/>
      <c r="E336" s="29"/>
      <c r="F336" s="29"/>
      <c r="G336" s="32"/>
      <c r="H336" s="29"/>
      <c r="I336" s="33"/>
      <c r="J336" s="29"/>
      <c r="K336" s="29"/>
      <c r="L336" s="29"/>
      <c r="M336" s="29"/>
      <c r="N336" s="30"/>
      <c r="O336" s="30"/>
      <c r="P336" s="13"/>
      <c r="Q336" s="13"/>
      <c r="R336" s="13"/>
      <c r="S336" s="13"/>
      <c r="T336" s="13"/>
      <c r="U336" s="13"/>
      <c r="V336" s="30"/>
      <c r="W336" s="30"/>
      <c r="X336" s="30"/>
      <c r="Y336" s="30"/>
      <c r="Z336" s="30"/>
      <c r="AA336" s="30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I336" s="45"/>
      <c r="CJ336" s="45"/>
      <c r="CK336" s="45"/>
    </row>
    <row r="337" spans="2:89" s="28" customFormat="1">
      <c r="B337" s="29"/>
      <c r="C337" s="29"/>
      <c r="D337" s="29"/>
      <c r="E337" s="29"/>
      <c r="F337" s="29"/>
      <c r="G337" s="32"/>
      <c r="H337" s="29"/>
      <c r="I337" s="33"/>
      <c r="J337" s="29"/>
      <c r="K337" s="29"/>
      <c r="L337" s="29"/>
      <c r="M337" s="29"/>
      <c r="N337" s="30"/>
      <c r="O337" s="30"/>
      <c r="P337" s="13"/>
      <c r="Q337" s="13"/>
      <c r="R337" s="13"/>
      <c r="S337" s="13"/>
      <c r="T337" s="13"/>
      <c r="U337" s="13"/>
      <c r="V337" s="30"/>
      <c r="W337" s="30"/>
      <c r="X337" s="30"/>
      <c r="Y337" s="30"/>
      <c r="Z337" s="30"/>
      <c r="AA337" s="30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I337" s="45"/>
      <c r="CJ337" s="45"/>
      <c r="CK337" s="45"/>
    </row>
    <row r="338" spans="2:89" s="28" customFormat="1">
      <c r="B338" s="29"/>
      <c r="C338" s="29"/>
      <c r="D338" s="29"/>
      <c r="E338" s="29"/>
      <c r="F338" s="29"/>
      <c r="G338" s="32"/>
      <c r="H338" s="29"/>
      <c r="I338" s="33"/>
      <c r="J338" s="29"/>
      <c r="K338" s="29"/>
      <c r="L338" s="29"/>
      <c r="M338" s="29"/>
      <c r="N338" s="30"/>
      <c r="O338" s="30"/>
      <c r="P338" s="13"/>
      <c r="Q338" s="13"/>
      <c r="R338" s="13"/>
      <c r="S338" s="13"/>
      <c r="T338" s="13"/>
      <c r="U338" s="13"/>
      <c r="V338" s="30"/>
      <c r="W338" s="30"/>
      <c r="X338" s="30"/>
      <c r="Y338" s="30"/>
      <c r="Z338" s="30"/>
      <c r="AA338" s="30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I338" s="45"/>
      <c r="CJ338" s="45"/>
      <c r="CK338" s="45"/>
    </row>
    <row r="339" spans="2:89" s="28" customFormat="1">
      <c r="B339" s="29"/>
      <c r="C339" s="29"/>
      <c r="D339" s="29"/>
      <c r="E339" s="29"/>
      <c r="F339" s="29"/>
      <c r="G339" s="32"/>
      <c r="H339" s="29"/>
      <c r="I339" s="33"/>
      <c r="J339" s="29"/>
      <c r="K339" s="29"/>
      <c r="L339" s="29"/>
      <c r="M339" s="29"/>
      <c r="N339" s="30"/>
      <c r="O339" s="30"/>
      <c r="P339" s="13"/>
      <c r="Q339" s="13"/>
      <c r="R339" s="13"/>
      <c r="S339" s="13"/>
      <c r="T339" s="13"/>
      <c r="U339" s="13"/>
      <c r="V339" s="30"/>
      <c r="W339" s="30"/>
      <c r="X339" s="30"/>
      <c r="Y339" s="30"/>
      <c r="Z339" s="30"/>
      <c r="AA339" s="30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I339" s="45"/>
      <c r="CJ339" s="45"/>
      <c r="CK339" s="45"/>
    </row>
    <row r="340" spans="2:89" s="28" customFormat="1">
      <c r="B340" s="29"/>
      <c r="C340" s="29"/>
      <c r="D340" s="29"/>
      <c r="E340" s="29"/>
      <c r="F340" s="29"/>
      <c r="G340" s="32"/>
      <c r="H340" s="29"/>
      <c r="I340" s="33"/>
      <c r="J340" s="29"/>
      <c r="K340" s="29"/>
      <c r="L340" s="29"/>
      <c r="M340" s="29"/>
      <c r="N340" s="30"/>
      <c r="O340" s="30"/>
      <c r="P340" s="13"/>
      <c r="Q340" s="13"/>
      <c r="R340" s="13"/>
      <c r="S340" s="13"/>
      <c r="T340" s="13"/>
      <c r="U340" s="13"/>
      <c r="V340" s="30"/>
      <c r="W340" s="30"/>
      <c r="X340" s="30"/>
      <c r="Y340" s="30"/>
      <c r="Z340" s="30"/>
      <c r="AA340" s="30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I340" s="45"/>
      <c r="CJ340" s="45"/>
      <c r="CK340" s="45"/>
    </row>
    <row r="341" spans="2:89" s="28" customFormat="1">
      <c r="B341" s="29"/>
      <c r="C341" s="29"/>
      <c r="D341" s="29"/>
      <c r="E341" s="29"/>
      <c r="F341" s="29"/>
      <c r="G341" s="32"/>
      <c r="H341" s="29"/>
      <c r="I341" s="33"/>
      <c r="J341" s="29"/>
      <c r="K341" s="29"/>
      <c r="L341" s="29"/>
      <c r="M341" s="29"/>
      <c r="N341" s="30"/>
      <c r="O341" s="30"/>
      <c r="P341" s="13"/>
      <c r="Q341" s="13"/>
      <c r="R341" s="13"/>
      <c r="S341" s="13"/>
      <c r="T341" s="13"/>
      <c r="U341" s="13"/>
      <c r="V341" s="30"/>
      <c r="W341" s="30"/>
      <c r="X341" s="30"/>
      <c r="Y341" s="30"/>
      <c r="Z341" s="30"/>
      <c r="AA341" s="30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I341" s="45"/>
      <c r="CJ341" s="45"/>
      <c r="CK341" s="45"/>
    </row>
    <row r="342" spans="2:89" s="28" customFormat="1">
      <c r="B342" s="29"/>
      <c r="C342" s="29"/>
      <c r="D342" s="29"/>
      <c r="E342" s="29"/>
      <c r="F342" s="29"/>
      <c r="G342" s="32"/>
      <c r="H342" s="29"/>
      <c r="I342" s="33"/>
      <c r="J342" s="29"/>
      <c r="K342" s="29"/>
      <c r="L342" s="29"/>
      <c r="M342" s="29"/>
      <c r="N342" s="30"/>
      <c r="O342" s="30"/>
      <c r="P342" s="13"/>
      <c r="Q342" s="13"/>
      <c r="R342" s="13"/>
      <c r="S342" s="13"/>
      <c r="T342" s="13"/>
      <c r="U342" s="13"/>
      <c r="V342" s="30"/>
      <c r="W342" s="30"/>
      <c r="X342" s="30"/>
      <c r="Y342" s="30"/>
      <c r="Z342" s="30"/>
      <c r="AA342" s="30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I342" s="45"/>
      <c r="CJ342" s="45"/>
      <c r="CK342" s="45"/>
    </row>
    <row r="343" spans="2:89" s="28" customFormat="1">
      <c r="B343" s="29"/>
      <c r="C343" s="29"/>
      <c r="D343" s="29"/>
      <c r="E343" s="29"/>
      <c r="F343" s="29"/>
      <c r="G343" s="32"/>
      <c r="H343" s="29"/>
      <c r="I343" s="33"/>
      <c r="J343" s="29"/>
      <c r="K343" s="29"/>
      <c r="L343" s="29"/>
      <c r="M343" s="29"/>
      <c r="N343" s="30"/>
      <c r="O343" s="30"/>
      <c r="P343" s="13"/>
      <c r="Q343" s="13"/>
      <c r="R343" s="13"/>
      <c r="S343" s="13"/>
      <c r="T343" s="13"/>
      <c r="U343" s="13"/>
      <c r="V343" s="30"/>
      <c r="W343" s="30"/>
      <c r="X343" s="30"/>
      <c r="Y343" s="30"/>
      <c r="Z343" s="30"/>
      <c r="AA343" s="30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I343" s="45"/>
      <c r="CJ343" s="45"/>
      <c r="CK343" s="45"/>
    </row>
    <row r="344" spans="2:89" s="28" customFormat="1">
      <c r="B344" s="29"/>
      <c r="C344" s="29"/>
      <c r="D344" s="29"/>
      <c r="E344" s="29"/>
      <c r="F344" s="29"/>
      <c r="G344" s="32"/>
      <c r="H344" s="29"/>
      <c r="I344" s="33"/>
      <c r="J344" s="29"/>
      <c r="K344" s="29"/>
      <c r="L344" s="29"/>
      <c r="M344" s="29"/>
      <c r="N344" s="30"/>
      <c r="O344" s="30"/>
      <c r="P344" s="13"/>
      <c r="Q344" s="13"/>
      <c r="R344" s="13"/>
      <c r="S344" s="13"/>
      <c r="T344" s="13"/>
      <c r="U344" s="13"/>
      <c r="V344" s="30"/>
      <c r="W344" s="30"/>
      <c r="X344" s="30"/>
      <c r="Y344" s="30"/>
      <c r="Z344" s="30"/>
      <c r="AA344" s="30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I344" s="45"/>
      <c r="CJ344" s="45"/>
      <c r="CK344" s="45"/>
    </row>
    <row r="345" spans="2:89" s="28" customFormat="1">
      <c r="B345" s="29"/>
      <c r="C345" s="29"/>
      <c r="D345" s="29"/>
      <c r="E345" s="29"/>
      <c r="F345" s="29"/>
      <c r="G345" s="32"/>
      <c r="H345" s="29"/>
      <c r="I345" s="33"/>
      <c r="J345" s="29"/>
      <c r="K345" s="29"/>
      <c r="L345" s="29"/>
      <c r="M345" s="29"/>
      <c r="N345" s="30"/>
      <c r="O345" s="30"/>
      <c r="P345" s="13"/>
      <c r="Q345" s="13"/>
      <c r="R345" s="13"/>
      <c r="S345" s="13"/>
      <c r="T345" s="13"/>
      <c r="U345" s="13"/>
      <c r="V345" s="30"/>
      <c r="W345" s="30"/>
      <c r="X345" s="30"/>
      <c r="Y345" s="30"/>
      <c r="Z345" s="30"/>
      <c r="AA345" s="30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I345" s="45"/>
      <c r="CJ345" s="45"/>
      <c r="CK345" s="45"/>
    </row>
    <row r="346" spans="2:89" s="28" customFormat="1">
      <c r="B346" s="29"/>
      <c r="C346" s="29"/>
      <c r="D346" s="29"/>
      <c r="E346" s="29"/>
      <c r="F346" s="29"/>
      <c r="G346" s="32"/>
      <c r="H346" s="29"/>
      <c r="I346" s="33"/>
      <c r="J346" s="29"/>
      <c r="K346" s="29"/>
      <c r="L346" s="29"/>
      <c r="M346" s="29"/>
      <c r="N346" s="30"/>
      <c r="O346" s="30"/>
      <c r="P346" s="13"/>
      <c r="Q346" s="13"/>
      <c r="R346" s="13"/>
      <c r="S346" s="13"/>
      <c r="T346" s="13"/>
      <c r="U346" s="13"/>
      <c r="V346" s="30"/>
      <c r="W346" s="30"/>
      <c r="X346" s="30"/>
      <c r="Y346" s="30"/>
      <c r="Z346" s="30"/>
      <c r="AA346" s="30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I346" s="45"/>
      <c r="CJ346" s="45"/>
      <c r="CK346" s="45"/>
    </row>
    <row r="347" spans="2:89" s="28" customFormat="1">
      <c r="B347" s="29"/>
      <c r="C347" s="29"/>
      <c r="D347" s="29"/>
      <c r="E347" s="29"/>
      <c r="F347" s="29"/>
      <c r="G347" s="32"/>
      <c r="H347" s="29"/>
      <c r="I347" s="33"/>
      <c r="J347" s="29"/>
      <c r="K347" s="29"/>
      <c r="L347" s="29"/>
      <c r="M347" s="29"/>
      <c r="N347" s="30"/>
      <c r="O347" s="30"/>
      <c r="P347" s="13"/>
      <c r="Q347" s="13"/>
      <c r="R347" s="13"/>
      <c r="S347" s="13"/>
      <c r="T347" s="13"/>
      <c r="U347" s="13"/>
      <c r="V347" s="30"/>
      <c r="W347" s="30"/>
      <c r="X347" s="30"/>
      <c r="Y347" s="30"/>
      <c r="Z347" s="30"/>
      <c r="AA347" s="30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I347" s="45"/>
      <c r="CJ347" s="45"/>
      <c r="CK347" s="45"/>
    </row>
    <row r="348" spans="2:89" s="28" customFormat="1">
      <c r="B348" s="29"/>
      <c r="C348" s="29"/>
      <c r="D348" s="29"/>
      <c r="E348" s="29"/>
      <c r="F348" s="29"/>
      <c r="G348" s="32"/>
      <c r="H348" s="29"/>
      <c r="I348" s="33"/>
      <c r="J348" s="29"/>
      <c r="K348" s="29"/>
      <c r="L348" s="29"/>
      <c r="M348" s="29"/>
      <c r="N348" s="30"/>
      <c r="O348" s="30"/>
      <c r="P348" s="13"/>
      <c r="Q348" s="13"/>
      <c r="R348" s="13"/>
      <c r="S348" s="13"/>
      <c r="T348" s="13"/>
      <c r="U348" s="13"/>
      <c r="V348" s="30"/>
      <c r="W348" s="30"/>
      <c r="X348" s="30"/>
      <c r="Y348" s="30"/>
      <c r="Z348" s="30"/>
      <c r="AA348" s="30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I348" s="45"/>
      <c r="CJ348" s="45"/>
      <c r="CK348" s="45"/>
    </row>
    <row r="349" spans="2:89" s="28" customFormat="1">
      <c r="B349" s="29"/>
      <c r="C349" s="29"/>
      <c r="D349" s="29"/>
      <c r="E349" s="29"/>
      <c r="F349" s="29"/>
      <c r="G349" s="32"/>
      <c r="H349" s="29"/>
      <c r="I349" s="33"/>
      <c r="J349" s="29"/>
      <c r="K349" s="29"/>
      <c r="L349" s="29"/>
      <c r="M349" s="29"/>
      <c r="N349" s="30"/>
      <c r="O349" s="30"/>
      <c r="P349" s="13"/>
      <c r="Q349" s="13"/>
      <c r="R349" s="13"/>
      <c r="S349" s="13"/>
      <c r="T349" s="13"/>
      <c r="U349" s="13"/>
      <c r="V349" s="30"/>
      <c r="W349" s="30"/>
      <c r="X349" s="30"/>
      <c r="Y349" s="30"/>
      <c r="Z349" s="30"/>
      <c r="AA349" s="30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I349" s="45"/>
      <c r="CJ349" s="45"/>
      <c r="CK349" s="45"/>
    </row>
    <row r="350" spans="2:89" s="28" customFormat="1">
      <c r="B350" s="29"/>
      <c r="C350" s="29"/>
      <c r="D350" s="29"/>
      <c r="E350" s="29"/>
      <c r="F350" s="29"/>
      <c r="G350" s="32"/>
      <c r="H350" s="29"/>
      <c r="I350" s="33"/>
      <c r="J350" s="29"/>
      <c r="K350" s="29"/>
      <c r="L350" s="29"/>
      <c r="M350" s="29"/>
      <c r="N350" s="30"/>
      <c r="O350" s="30"/>
      <c r="P350" s="13"/>
      <c r="Q350" s="13"/>
      <c r="R350" s="13"/>
      <c r="S350" s="13"/>
      <c r="T350" s="13"/>
      <c r="U350" s="13"/>
      <c r="V350" s="30"/>
      <c r="W350" s="30"/>
      <c r="X350" s="30"/>
      <c r="Y350" s="30"/>
      <c r="Z350" s="30"/>
      <c r="AA350" s="30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I350" s="45"/>
      <c r="CJ350" s="45"/>
      <c r="CK350" s="45"/>
    </row>
    <row r="351" spans="2:89" s="28" customFormat="1">
      <c r="B351" s="29"/>
      <c r="C351" s="29"/>
      <c r="D351" s="29"/>
      <c r="E351" s="29"/>
      <c r="F351" s="29"/>
      <c r="G351" s="32"/>
      <c r="H351" s="29"/>
      <c r="I351" s="33"/>
      <c r="J351" s="29"/>
      <c r="K351" s="29"/>
      <c r="L351" s="29"/>
      <c r="M351" s="29"/>
      <c r="N351" s="30"/>
      <c r="O351" s="30"/>
      <c r="P351" s="13"/>
      <c r="Q351" s="13"/>
      <c r="R351" s="13"/>
      <c r="S351" s="13"/>
      <c r="T351" s="13"/>
      <c r="U351" s="13"/>
      <c r="V351" s="30"/>
      <c r="W351" s="30"/>
      <c r="X351" s="30"/>
      <c r="Y351" s="30"/>
      <c r="Z351" s="30"/>
      <c r="AA351" s="30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I351" s="45"/>
      <c r="CJ351" s="45"/>
      <c r="CK351" s="45"/>
    </row>
    <row r="352" spans="2:89" s="28" customFormat="1">
      <c r="B352" s="29"/>
      <c r="C352" s="29"/>
      <c r="D352" s="29"/>
      <c r="E352" s="29"/>
      <c r="F352" s="29"/>
      <c r="G352" s="32"/>
      <c r="H352" s="29"/>
      <c r="I352" s="33"/>
      <c r="J352" s="29"/>
      <c r="K352" s="29"/>
      <c r="L352" s="29"/>
      <c r="M352" s="29"/>
      <c r="N352" s="30"/>
      <c r="O352" s="30"/>
      <c r="P352" s="13"/>
      <c r="Q352" s="13"/>
      <c r="R352" s="13"/>
      <c r="S352" s="13"/>
      <c r="T352" s="13"/>
      <c r="U352" s="13"/>
      <c r="V352" s="30"/>
      <c r="W352" s="30"/>
      <c r="X352" s="30"/>
      <c r="Y352" s="30"/>
      <c r="Z352" s="30"/>
      <c r="AA352" s="30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I352" s="45"/>
      <c r="CJ352" s="45"/>
      <c r="CK352" s="45"/>
    </row>
    <row r="353" spans="2:89" s="28" customFormat="1">
      <c r="B353" s="29"/>
      <c r="C353" s="29"/>
      <c r="D353" s="29"/>
      <c r="E353" s="29"/>
      <c r="F353" s="29"/>
      <c r="G353" s="32"/>
      <c r="H353" s="29"/>
      <c r="I353" s="33"/>
      <c r="J353" s="29"/>
      <c r="K353" s="29"/>
      <c r="L353" s="29"/>
      <c r="M353" s="29"/>
      <c r="N353" s="30"/>
      <c r="O353" s="30"/>
      <c r="P353" s="13"/>
      <c r="Q353" s="13"/>
      <c r="R353" s="13"/>
      <c r="S353" s="13"/>
      <c r="T353" s="13"/>
      <c r="U353" s="13"/>
      <c r="V353" s="30"/>
      <c r="W353" s="30"/>
      <c r="X353" s="30"/>
      <c r="Y353" s="30"/>
      <c r="Z353" s="30"/>
      <c r="AA353" s="30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I353" s="45"/>
      <c r="CJ353" s="45"/>
      <c r="CK353" s="45"/>
    </row>
    <row r="354" spans="2:89" s="28" customFormat="1">
      <c r="B354" s="29"/>
      <c r="C354" s="29"/>
      <c r="D354" s="29"/>
      <c r="E354" s="29"/>
      <c r="F354" s="29"/>
      <c r="G354" s="32"/>
      <c r="H354" s="29"/>
      <c r="I354" s="33"/>
      <c r="J354" s="29"/>
      <c r="K354" s="29"/>
      <c r="L354" s="29"/>
      <c r="M354" s="29"/>
      <c r="N354" s="30"/>
      <c r="O354" s="30"/>
      <c r="P354" s="13"/>
      <c r="Q354" s="13"/>
      <c r="R354" s="13"/>
      <c r="S354" s="13"/>
      <c r="T354" s="13"/>
      <c r="U354" s="13"/>
      <c r="V354" s="30"/>
      <c r="W354" s="30"/>
      <c r="X354" s="30"/>
      <c r="Y354" s="30"/>
      <c r="Z354" s="30"/>
      <c r="AA354" s="30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I354" s="45"/>
      <c r="CJ354" s="45"/>
      <c r="CK354" s="45"/>
    </row>
    <row r="355" spans="2:89" s="28" customFormat="1">
      <c r="B355" s="29"/>
      <c r="C355" s="29"/>
      <c r="D355" s="29"/>
      <c r="E355" s="29"/>
      <c r="F355" s="29"/>
      <c r="G355" s="32"/>
      <c r="H355" s="29"/>
      <c r="I355" s="33"/>
      <c r="J355" s="29"/>
      <c r="K355" s="29"/>
      <c r="L355" s="29"/>
      <c r="M355" s="29"/>
      <c r="N355" s="30"/>
      <c r="O355" s="30"/>
      <c r="P355" s="13"/>
      <c r="Q355" s="13"/>
      <c r="R355" s="13"/>
      <c r="S355" s="13"/>
      <c r="T355" s="13"/>
      <c r="U355" s="13"/>
      <c r="V355" s="30"/>
      <c r="W355" s="30"/>
      <c r="X355" s="30"/>
      <c r="Y355" s="30"/>
      <c r="Z355" s="30"/>
      <c r="AA355" s="30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I355" s="45"/>
      <c r="CJ355" s="45"/>
      <c r="CK355" s="45"/>
    </row>
    <row r="356" spans="2:89" s="28" customFormat="1">
      <c r="B356" s="29"/>
      <c r="C356" s="29"/>
      <c r="D356" s="29"/>
      <c r="E356" s="29"/>
      <c r="F356" s="29"/>
      <c r="G356" s="32"/>
      <c r="H356" s="29"/>
      <c r="I356" s="33"/>
      <c r="J356" s="29"/>
      <c r="K356" s="29"/>
      <c r="L356" s="29"/>
      <c r="M356" s="29"/>
      <c r="N356" s="30"/>
      <c r="O356" s="30"/>
      <c r="P356" s="13"/>
      <c r="Q356" s="13"/>
      <c r="R356" s="13"/>
      <c r="S356" s="13"/>
      <c r="T356" s="13"/>
      <c r="U356" s="13"/>
      <c r="V356" s="30"/>
      <c r="W356" s="30"/>
      <c r="X356" s="30"/>
      <c r="Y356" s="30"/>
      <c r="Z356" s="30"/>
      <c r="AA356" s="30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I356" s="45"/>
      <c r="CJ356" s="45"/>
      <c r="CK356" s="45"/>
    </row>
    <row r="357" spans="2:89" s="28" customFormat="1">
      <c r="B357" s="29"/>
      <c r="C357" s="29"/>
      <c r="D357" s="29"/>
      <c r="E357" s="29"/>
      <c r="F357" s="29"/>
      <c r="G357" s="32"/>
      <c r="H357" s="29"/>
      <c r="I357" s="33"/>
      <c r="J357" s="29"/>
      <c r="K357" s="29"/>
      <c r="L357" s="29"/>
      <c r="M357" s="29"/>
      <c r="N357" s="30"/>
      <c r="O357" s="30"/>
      <c r="P357" s="13"/>
      <c r="Q357" s="13"/>
      <c r="R357" s="13"/>
      <c r="S357" s="13"/>
      <c r="T357" s="13"/>
      <c r="U357" s="13"/>
      <c r="V357" s="30"/>
      <c r="W357" s="30"/>
      <c r="X357" s="30"/>
      <c r="Y357" s="30"/>
      <c r="Z357" s="30"/>
      <c r="AA357" s="30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I357" s="45"/>
      <c r="CJ357" s="45"/>
      <c r="CK357" s="45"/>
    </row>
    <row r="358" spans="2:89" s="28" customFormat="1">
      <c r="B358" s="29"/>
      <c r="C358" s="29"/>
      <c r="D358" s="29"/>
      <c r="E358" s="29"/>
      <c r="F358" s="29"/>
      <c r="G358" s="32"/>
      <c r="H358" s="29"/>
      <c r="I358" s="33"/>
      <c r="J358" s="29"/>
      <c r="K358" s="29"/>
      <c r="L358" s="29"/>
      <c r="M358" s="29"/>
      <c r="N358" s="30"/>
      <c r="O358" s="30"/>
      <c r="P358" s="13"/>
      <c r="Q358" s="13"/>
      <c r="R358" s="13"/>
      <c r="S358" s="13"/>
      <c r="T358" s="13"/>
      <c r="U358" s="13"/>
      <c r="V358" s="30"/>
      <c r="W358" s="30"/>
      <c r="X358" s="30"/>
      <c r="Y358" s="30"/>
      <c r="Z358" s="30"/>
      <c r="AA358" s="30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I358" s="45"/>
      <c r="CJ358" s="45"/>
      <c r="CK358" s="45"/>
    </row>
    <row r="359" spans="2:89" s="28" customFormat="1">
      <c r="B359" s="29"/>
      <c r="C359" s="29"/>
      <c r="D359" s="29"/>
      <c r="E359" s="29"/>
      <c r="F359" s="29"/>
      <c r="G359" s="32"/>
      <c r="H359" s="29"/>
      <c r="I359" s="33"/>
      <c r="J359" s="29"/>
      <c r="K359" s="29"/>
      <c r="L359" s="29"/>
      <c r="M359" s="29"/>
      <c r="N359" s="30"/>
      <c r="O359" s="30"/>
      <c r="P359" s="13"/>
      <c r="Q359" s="13"/>
      <c r="R359" s="13"/>
      <c r="S359" s="13"/>
      <c r="T359" s="13"/>
      <c r="U359" s="13"/>
      <c r="V359" s="30"/>
      <c r="W359" s="30"/>
      <c r="X359" s="30"/>
      <c r="Y359" s="30"/>
      <c r="Z359" s="30"/>
      <c r="AA359" s="30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I359" s="45"/>
      <c r="CJ359" s="45"/>
      <c r="CK359" s="45"/>
    </row>
    <row r="360" spans="2:89" s="28" customFormat="1">
      <c r="B360" s="29"/>
      <c r="C360" s="29"/>
      <c r="D360" s="29"/>
      <c r="E360" s="29"/>
      <c r="F360" s="29"/>
      <c r="G360" s="32"/>
      <c r="H360" s="29"/>
      <c r="I360" s="33"/>
      <c r="J360" s="29"/>
      <c r="K360" s="29"/>
      <c r="L360" s="29"/>
      <c r="M360" s="29"/>
      <c r="N360" s="30"/>
      <c r="O360" s="30"/>
      <c r="P360" s="13"/>
      <c r="Q360" s="13"/>
      <c r="R360" s="13"/>
      <c r="S360" s="13"/>
      <c r="T360" s="13"/>
      <c r="U360" s="13"/>
      <c r="V360" s="30"/>
      <c r="W360" s="30"/>
      <c r="X360" s="30"/>
      <c r="Y360" s="30"/>
      <c r="Z360" s="30"/>
      <c r="AA360" s="30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I360" s="45"/>
      <c r="CJ360" s="45"/>
      <c r="CK360" s="45"/>
    </row>
    <row r="361" spans="2:89" s="28" customFormat="1">
      <c r="B361" s="29"/>
      <c r="C361" s="29"/>
      <c r="D361" s="29"/>
      <c r="E361" s="29"/>
      <c r="F361" s="29"/>
      <c r="G361" s="32"/>
      <c r="H361" s="29"/>
      <c r="I361" s="33"/>
      <c r="J361" s="29"/>
      <c r="K361" s="29"/>
      <c r="L361" s="29"/>
      <c r="M361" s="29"/>
      <c r="N361" s="30"/>
      <c r="O361" s="30"/>
      <c r="P361" s="13"/>
      <c r="Q361" s="13"/>
      <c r="R361" s="13"/>
      <c r="S361" s="13"/>
      <c r="T361" s="13"/>
      <c r="U361" s="13"/>
      <c r="V361" s="30"/>
      <c r="W361" s="30"/>
      <c r="X361" s="30"/>
      <c r="Y361" s="30"/>
      <c r="Z361" s="30"/>
      <c r="AA361" s="30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  <c r="CE361" s="45"/>
      <c r="CF361" s="45"/>
      <c r="CG361" s="45"/>
      <c r="CI361" s="45"/>
      <c r="CJ361" s="45"/>
      <c r="CK361" s="45"/>
    </row>
    <row r="362" spans="2:89" s="28" customFormat="1">
      <c r="B362" s="29"/>
      <c r="C362" s="29"/>
      <c r="D362" s="29"/>
      <c r="E362" s="29"/>
      <c r="F362" s="29"/>
      <c r="G362" s="32"/>
      <c r="H362" s="29"/>
      <c r="I362" s="33"/>
      <c r="J362" s="29"/>
      <c r="K362" s="29"/>
      <c r="L362" s="29"/>
      <c r="M362" s="29"/>
      <c r="N362" s="30"/>
      <c r="O362" s="30"/>
      <c r="P362" s="13"/>
      <c r="Q362" s="13"/>
      <c r="R362" s="13"/>
      <c r="S362" s="13"/>
      <c r="T362" s="13"/>
      <c r="U362" s="13"/>
      <c r="V362" s="30"/>
      <c r="W362" s="30"/>
      <c r="X362" s="30"/>
      <c r="Y362" s="30"/>
      <c r="Z362" s="30"/>
      <c r="AA362" s="30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  <c r="CE362" s="45"/>
      <c r="CF362" s="45"/>
      <c r="CG362" s="45"/>
      <c r="CI362" s="45"/>
      <c r="CJ362" s="45"/>
      <c r="CK362" s="45"/>
    </row>
    <row r="363" spans="2:89" s="28" customFormat="1">
      <c r="B363" s="29"/>
      <c r="C363" s="29"/>
      <c r="D363" s="29"/>
      <c r="E363" s="29"/>
      <c r="F363" s="29"/>
      <c r="G363" s="32"/>
      <c r="H363" s="29"/>
      <c r="I363" s="33"/>
      <c r="J363" s="29"/>
      <c r="K363" s="29"/>
      <c r="L363" s="29"/>
      <c r="M363" s="29"/>
      <c r="N363" s="30"/>
      <c r="O363" s="30"/>
      <c r="P363" s="13"/>
      <c r="Q363" s="13"/>
      <c r="R363" s="13"/>
      <c r="S363" s="13"/>
      <c r="T363" s="13"/>
      <c r="U363" s="13"/>
      <c r="V363" s="30"/>
      <c r="W363" s="30"/>
      <c r="X363" s="30"/>
      <c r="Y363" s="30"/>
      <c r="Z363" s="30"/>
      <c r="AA363" s="30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I363" s="45"/>
      <c r="CJ363" s="45"/>
      <c r="CK363" s="45"/>
    </row>
    <row r="364" spans="2:89" s="28" customFormat="1">
      <c r="B364" s="29"/>
      <c r="C364" s="29"/>
      <c r="D364" s="29"/>
      <c r="E364" s="29"/>
      <c r="F364" s="29"/>
      <c r="G364" s="32"/>
      <c r="H364" s="29"/>
      <c r="I364" s="33"/>
      <c r="J364" s="29"/>
      <c r="K364" s="29"/>
      <c r="L364" s="29"/>
      <c r="M364" s="29"/>
      <c r="N364" s="30"/>
      <c r="O364" s="30"/>
      <c r="P364" s="13"/>
      <c r="Q364" s="13"/>
      <c r="R364" s="13"/>
      <c r="S364" s="13"/>
      <c r="T364" s="13"/>
      <c r="U364" s="13"/>
      <c r="V364" s="30"/>
      <c r="W364" s="30"/>
      <c r="X364" s="30"/>
      <c r="Y364" s="30"/>
      <c r="Z364" s="30"/>
      <c r="AA364" s="30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  <c r="CE364" s="45"/>
      <c r="CF364" s="45"/>
      <c r="CG364" s="45"/>
      <c r="CI364" s="45"/>
      <c r="CJ364" s="45"/>
      <c r="CK364" s="45"/>
    </row>
    <row r="365" spans="2:89" s="28" customFormat="1">
      <c r="B365" s="29"/>
      <c r="C365" s="29"/>
      <c r="D365" s="29"/>
      <c r="E365" s="29"/>
      <c r="F365" s="29"/>
      <c r="G365" s="32"/>
      <c r="H365" s="29"/>
      <c r="I365" s="33"/>
      <c r="J365" s="29"/>
      <c r="K365" s="29"/>
      <c r="L365" s="29"/>
      <c r="M365" s="29"/>
      <c r="N365" s="30"/>
      <c r="O365" s="30"/>
      <c r="P365" s="13"/>
      <c r="Q365" s="13"/>
      <c r="R365" s="13"/>
      <c r="S365" s="13"/>
      <c r="T365" s="13"/>
      <c r="U365" s="13"/>
      <c r="V365" s="30"/>
      <c r="W365" s="30"/>
      <c r="X365" s="30"/>
      <c r="Y365" s="30"/>
      <c r="Z365" s="30"/>
      <c r="AA365" s="30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I365" s="45"/>
      <c r="CJ365" s="45"/>
      <c r="CK365" s="45"/>
    </row>
    <row r="366" spans="2:89" s="28" customFormat="1">
      <c r="B366" s="29"/>
      <c r="C366" s="29"/>
      <c r="D366" s="29"/>
      <c r="E366" s="29"/>
      <c r="F366" s="29"/>
      <c r="G366" s="32"/>
      <c r="H366" s="29"/>
      <c r="I366" s="33"/>
      <c r="J366" s="29"/>
      <c r="K366" s="29"/>
      <c r="L366" s="29"/>
      <c r="M366" s="29"/>
      <c r="N366" s="30"/>
      <c r="O366" s="30"/>
      <c r="P366" s="13"/>
      <c r="Q366" s="13"/>
      <c r="R366" s="13"/>
      <c r="S366" s="13"/>
      <c r="T366" s="13"/>
      <c r="U366" s="13"/>
      <c r="V366" s="30"/>
      <c r="W366" s="30"/>
      <c r="X366" s="30"/>
      <c r="Y366" s="30"/>
      <c r="Z366" s="30"/>
      <c r="AA366" s="30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  <c r="CE366" s="45"/>
      <c r="CF366" s="45"/>
      <c r="CG366" s="45"/>
      <c r="CI366" s="45"/>
      <c r="CJ366" s="45"/>
      <c r="CK366" s="45"/>
    </row>
    <row r="367" spans="2:89" s="28" customFormat="1">
      <c r="B367" s="29"/>
      <c r="C367" s="29"/>
      <c r="D367" s="29"/>
      <c r="E367" s="29"/>
      <c r="F367" s="29"/>
      <c r="G367" s="32"/>
      <c r="H367" s="29"/>
      <c r="I367" s="33"/>
      <c r="J367" s="29"/>
      <c r="K367" s="29"/>
      <c r="L367" s="29"/>
      <c r="M367" s="29"/>
      <c r="N367" s="30"/>
      <c r="O367" s="30"/>
      <c r="P367" s="13"/>
      <c r="Q367" s="13"/>
      <c r="R367" s="13"/>
      <c r="S367" s="13"/>
      <c r="T367" s="13"/>
      <c r="U367" s="13"/>
      <c r="V367" s="30"/>
      <c r="W367" s="30"/>
      <c r="X367" s="30"/>
      <c r="Y367" s="30"/>
      <c r="Z367" s="30"/>
      <c r="AA367" s="30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I367" s="45"/>
      <c r="CJ367" s="45"/>
      <c r="CK367" s="45"/>
    </row>
    <row r="368" spans="2:89" s="28" customFormat="1">
      <c r="B368" s="29"/>
      <c r="C368" s="29"/>
      <c r="D368" s="29"/>
      <c r="E368" s="29"/>
      <c r="F368" s="29"/>
      <c r="G368" s="32"/>
      <c r="H368" s="29"/>
      <c r="I368" s="33"/>
      <c r="J368" s="29"/>
      <c r="K368" s="29"/>
      <c r="L368" s="29"/>
      <c r="M368" s="29"/>
      <c r="N368" s="30"/>
      <c r="O368" s="30"/>
      <c r="P368" s="13"/>
      <c r="Q368" s="13"/>
      <c r="R368" s="13"/>
      <c r="S368" s="13"/>
      <c r="T368" s="13"/>
      <c r="U368" s="13"/>
      <c r="V368" s="30"/>
      <c r="W368" s="30"/>
      <c r="X368" s="30"/>
      <c r="Y368" s="30"/>
      <c r="Z368" s="30"/>
      <c r="AA368" s="30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I368" s="45"/>
      <c r="CJ368" s="45"/>
      <c r="CK368" s="45"/>
    </row>
    <row r="369" spans="2:89" s="28" customFormat="1">
      <c r="B369" s="29"/>
      <c r="C369" s="29"/>
      <c r="D369" s="29"/>
      <c r="E369" s="29"/>
      <c r="F369" s="29"/>
      <c r="G369" s="32"/>
      <c r="H369" s="29"/>
      <c r="I369" s="33"/>
      <c r="J369" s="29"/>
      <c r="K369" s="29"/>
      <c r="L369" s="29"/>
      <c r="M369" s="29"/>
      <c r="N369" s="30"/>
      <c r="O369" s="30"/>
      <c r="P369" s="13"/>
      <c r="Q369" s="13"/>
      <c r="R369" s="13"/>
      <c r="S369" s="13"/>
      <c r="T369" s="13"/>
      <c r="U369" s="13"/>
      <c r="V369" s="30"/>
      <c r="W369" s="30"/>
      <c r="X369" s="30"/>
      <c r="Y369" s="30"/>
      <c r="Z369" s="30"/>
      <c r="AA369" s="30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I369" s="45"/>
      <c r="CJ369" s="45"/>
      <c r="CK369" s="45"/>
    </row>
    <row r="370" spans="2:89" s="28" customFormat="1">
      <c r="B370" s="29"/>
      <c r="C370" s="29"/>
      <c r="D370" s="29"/>
      <c r="E370" s="29"/>
      <c r="F370" s="29"/>
      <c r="G370" s="32"/>
      <c r="H370" s="29"/>
      <c r="I370" s="33"/>
      <c r="J370" s="29"/>
      <c r="K370" s="29"/>
      <c r="L370" s="29"/>
      <c r="M370" s="29"/>
      <c r="N370" s="30"/>
      <c r="O370" s="30"/>
      <c r="P370" s="13"/>
      <c r="Q370" s="13"/>
      <c r="R370" s="13"/>
      <c r="S370" s="13"/>
      <c r="T370" s="13"/>
      <c r="U370" s="13"/>
      <c r="V370" s="30"/>
      <c r="W370" s="30"/>
      <c r="X370" s="30"/>
      <c r="Y370" s="30"/>
      <c r="Z370" s="30"/>
      <c r="AA370" s="30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  <c r="CE370" s="45"/>
      <c r="CF370" s="45"/>
      <c r="CG370" s="45"/>
      <c r="CI370" s="45"/>
      <c r="CJ370" s="45"/>
      <c r="CK370" s="45"/>
    </row>
    <row r="371" spans="2:89" s="28" customFormat="1">
      <c r="B371" s="29"/>
      <c r="C371" s="29"/>
      <c r="D371" s="29"/>
      <c r="E371" s="29"/>
      <c r="F371" s="29"/>
      <c r="G371" s="32"/>
      <c r="H371" s="29"/>
      <c r="I371" s="33"/>
      <c r="J371" s="29"/>
      <c r="K371" s="29"/>
      <c r="L371" s="29"/>
      <c r="M371" s="29"/>
      <c r="N371" s="30"/>
      <c r="O371" s="30"/>
      <c r="P371" s="13"/>
      <c r="Q371" s="13"/>
      <c r="R371" s="13"/>
      <c r="S371" s="13"/>
      <c r="T371" s="13"/>
      <c r="U371" s="13"/>
      <c r="V371" s="30"/>
      <c r="W371" s="30"/>
      <c r="X371" s="30"/>
      <c r="Y371" s="30"/>
      <c r="Z371" s="30"/>
      <c r="AA371" s="30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I371" s="45"/>
      <c r="CJ371" s="45"/>
      <c r="CK371" s="45"/>
    </row>
    <row r="372" spans="2:89" s="28" customFormat="1">
      <c r="B372" s="29"/>
      <c r="C372" s="29"/>
      <c r="D372" s="29"/>
      <c r="E372" s="29"/>
      <c r="F372" s="29"/>
      <c r="G372" s="32"/>
      <c r="H372" s="29"/>
      <c r="I372" s="33"/>
      <c r="J372" s="29"/>
      <c r="K372" s="29"/>
      <c r="L372" s="29"/>
      <c r="M372" s="29"/>
      <c r="N372" s="30"/>
      <c r="O372" s="30"/>
      <c r="P372" s="13"/>
      <c r="Q372" s="13"/>
      <c r="R372" s="13"/>
      <c r="S372" s="13"/>
      <c r="T372" s="13"/>
      <c r="U372" s="13"/>
      <c r="V372" s="30"/>
      <c r="W372" s="30"/>
      <c r="X372" s="30"/>
      <c r="Y372" s="30"/>
      <c r="Z372" s="30"/>
      <c r="AA372" s="30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I372" s="45"/>
      <c r="CJ372" s="45"/>
      <c r="CK372" s="45"/>
    </row>
    <row r="373" spans="2:89" s="28" customFormat="1">
      <c r="B373" s="29"/>
      <c r="C373" s="29"/>
      <c r="D373" s="29"/>
      <c r="E373" s="29"/>
      <c r="F373" s="29"/>
      <c r="G373" s="32"/>
      <c r="H373" s="29"/>
      <c r="I373" s="33"/>
      <c r="J373" s="29"/>
      <c r="K373" s="29"/>
      <c r="L373" s="29"/>
      <c r="M373" s="29"/>
      <c r="N373" s="30"/>
      <c r="O373" s="30"/>
      <c r="P373" s="13"/>
      <c r="Q373" s="13"/>
      <c r="R373" s="13"/>
      <c r="S373" s="13"/>
      <c r="T373" s="13"/>
      <c r="U373" s="13"/>
      <c r="V373" s="30"/>
      <c r="W373" s="30"/>
      <c r="X373" s="30"/>
      <c r="Y373" s="30"/>
      <c r="Z373" s="30"/>
      <c r="AA373" s="30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I373" s="45"/>
      <c r="CJ373" s="45"/>
      <c r="CK373" s="45"/>
    </row>
    <row r="374" spans="2:89" s="28" customFormat="1">
      <c r="B374" s="29"/>
      <c r="C374" s="29"/>
      <c r="D374" s="29"/>
      <c r="E374" s="29"/>
      <c r="F374" s="29"/>
      <c r="G374" s="32"/>
      <c r="H374" s="29"/>
      <c r="I374" s="33"/>
      <c r="J374" s="29"/>
      <c r="K374" s="29"/>
      <c r="L374" s="29"/>
      <c r="M374" s="29"/>
      <c r="N374" s="30"/>
      <c r="O374" s="30"/>
      <c r="P374" s="13"/>
      <c r="Q374" s="13"/>
      <c r="R374" s="13"/>
      <c r="S374" s="13"/>
      <c r="T374" s="13"/>
      <c r="U374" s="13"/>
      <c r="V374" s="30"/>
      <c r="W374" s="30"/>
      <c r="X374" s="30"/>
      <c r="Y374" s="30"/>
      <c r="Z374" s="30"/>
      <c r="AA374" s="30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I374" s="45"/>
      <c r="CJ374" s="45"/>
      <c r="CK374" s="45"/>
    </row>
    <row r="375" spans="2:89" s="28" customFormat="1">
      <c r="B375" s="29"/>
      <c r="C375" s="29"/>
      <c r="D375" s="29"/>
      <c r="E375" s="29"/>
      <c r="F375" s="29"/>
      <c r="G375" s="32"/>
      <c r="H375" s="29"/>
      <c r="I375" s="33"/>
      <c r="J375" s="29"/>
      <c r="K375" s="29"/>
      <c r="L375" s="29"/>
      <c r="M375" s="29"/>
      <c r="N375" s="30"/>
      <c r="O375" s="30"/>
      <c r="P375" s="13"/>
      <c r="Q375" s="13"/>
      <c r="R375" s="13"/>
      <c r="S375" s="13"/>
      <c r="T375" s="13"/>
      <c r="U375" s="13"/>
      <c r="V375" s="30"/>
      <c r="W375" s="30"/>
      <c r="X375" s="30"/>
      <c r="Y375" s="30"/>
      <c r="Z375" s="30"/>
      <c r="AA375" s="30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I375" s="45"/>
      <c r="CJ375" s="45"/>
      <c r="CK375" s="45"/>
    </row>
    <row r="376" spans="2:89" s="28" customFormat="1">
      <c r="B376" s="29"/>
      <c r="C376" s="29"/>
      <c r="D376" s="29"/>
      <c r="E376" s="29"/>
      <c r="F376" s="29"/>
      <c r="G376" s="32"/>
      <c r="H376" s="29"/>
      <c r="I376" s="33"/>
      <c r="J376" s="29"/>
      <c r="K376" s="29"/>
      <c r="L376" s="29"/>
      <c r="M376" s="29"/>
      <c r="N376" s="30"/>
      <c r="O376" s="30"/>
      <c r="P376" s="13"/>
      <c r="Q376" s="13"/>
      <c r="R376" s="13"/>
      <c r="S376" s="13"/>
      <c r="T376" s="13"/>
      <c r="U376" s="13"/>
      <c r="V376" s="30"/>
      <c r="W376" s="30"/>
      <c r="X376" s="30"/>
      <c r="Y376" s="30"/>
      <c r="Z376" s="30"/>
      <c r="AA376" s="30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I376" s="45"/>
      <c r="CJ376" s="45"/>
      <c r="CK376" s="45"/>
    </row>
    <row r="377" spans="2:89" s="28" customFormat="1">
      <c r="B377" s="29"/>
      <c r="C377" s="29"/>
      <c r="D377" s="29"/>
      <c r="E377" s="29"/>
      <c r="F377" s="29"/>
      <c r="G377" s="32"/>
      <c r="H377" s="29"/>
      <c r="I377" s="33"/>
      <c r="J377" s="29"/>
      <c r="K377" s="29"/>
      <c r="L377" s="29"/>
      <c r="M377" s="29"/>
      <c r="N377" s="30"/>
      <c r="O377" s="30"/>
      <c r="P377" s="13"/>
      <c r="Q377" s="13"/>
      <c r="R377" s="13"/>
      <c r="S377" s="13"/>
      <c r="T377" s="13"/>
      <c r="U377" s="13"/>
      <c r="V377" s="30"/>
      <c r="W377" s="30"/>
      <c r="X377" s="30"/>
      <c r="Y377" s="30"/>
      <c r="Z377" s="30"/>
      <c r="AA377" s="30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  <c r="CE377" s="45"/>
      <c r="CF377" s="45"/>
      <c r="CG377" s="45"/>
      <c r="CI377" s="45"/>
      <c r="CJ377" s="45"/>
      <c r="CK377" s="45"/>
    </row>
    <row r="378" spans="2:89" s="28" customFormat="1">
      <c r="B378" s="29"/>
      <c r="C378" s="29"/>
      <c r="D378" s="29"/>
      <c r="E378" s="29"/>
      <c r="F378" s="29"/>
      <c r="G378" s="32"/>
      <c r="H378" s="29"/>
      <c r="I378" s="33"/>
      <c r="J378" s="29"/>
      <c r="K378" s="29"/>
      <c r="L378" s="29"/>
      <c r="M378" s="29"/>
      <c r="N378" s="30"/>
      <c r="O378" s="30"/>
      <c r="P378" s="13"/>
      <c r="Q378" s="13"/>
      <c r="R378" s="13"/>
      <c r="S378" s="13"/>
      <c r="T378" s="13"/>
      <c r="U378" s="13"/>
      <c r="V378" s="30"/>
      <c r="W378" s="30"/>
      <c r="X378" s="30"/>
      <c r="Y378" s="30"/>
      <c r="Z378" s="30"/>
      <c r="AA378" s="30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  <c r="CE378" s="45"/>
      <c r="CF378" s="45"/>
      <c r="CG378" s="45"/>
      <c r="CI378" s="45"/>
      <c r="CJ378" s="45"/>
      <c r="CK378" s="45"/>
    </row>
    <row r="379" spans="2:89" s="28" customFormat="1">
      <c r="B379" s="29"/>
      <c r="C379" s="29"/>
      <c r="D379" s="29"/>
      <c r="E379" s="29"/>
      <c r="F379" s="29"/>
      <c r="G379" s="32"/>
      <c r="H379" s="29"/>
      <c r="I379" s="33"/>
      <c r="J379" s="29"/>
      <c r="K379" s="29"/>
      <c r="L379" s="29"/>
      <c r="M379" s="29"/>
      <c r="N379" s="30"/>
      <c r="O379" s="30"/>
      <c r="P379" s="13"/>
      <c r="Q379" s="13"/>
      <c r="R379" s="13"/>
      <c r="S379" s="13"/>
      <c r="T379" s="13"/>
      <c r="U379" s="13"/>
      <c r="V379" s="30"/>
      <c r="W379" s="30"/>
      <c r="X379" s="30"/>
      <c r="Y379" s="30"/>
      <c r="Z379" s="30"/>
      <c r="AA379" s="30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I379" s="45"/>
      <c r="CJ379" s="45"/>
      <c r="CK379" s="45"/>
    </row>
    <row r="380" spans="2:89" s="28" customFormat="1">
      <c r="B380" s="29"/>
      <c r="C380" s="29"/>
      <c r="D380" s="29"/>
      <c r="E380" s="29"/>
      <c r="F380" s="29"/>
      <c r="G380" s="32"/>
      <c r="H380" s="29"/>
      <c r="I380" s="33"/>
      <c r="J380" s="29"/>
      <c r="K380" s="29"/>
      <c r="L380" s="29"/>
      <c r="M380" s="29"/>
      <c r="N380" s="30"/>
      <c r="O380" s="30"/>
      <c r="P380" s="13"/>
      <c r="Q380" s="13"/>
      <c r="R380" s="13"/>
      <c r="S380" s="13"/>
      <c r="T380" s="13"/>
      <c r="U380" s="13"/>
      <c r="V380" s="30"/>
      <c r="W380" s="30"/>
      <c r="X380" s="30"/>
      <c r="Y380" s="30"/>
      <c r="Z380" s="30"/>
      <c r="AA380" s="30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I380" s="45"/>
      <c r="CJ380" s="45"/>
      <c r="CK380" s="45"/>
    </row>
    <row r="381" spans="2:89" s="28" customFormat="1">
      <c r="B381" s="29"/>
      <c r="C381" s="29"/>
      <c r="D381" s="29"/>
      <c r="E381" s="29"/>
      <c r="F381" s="29"/>
      <c r="G381" s="32"/>
      <c r="H381" s="29"/>
      <c r="I381" s="33"/>
      <c r="J381" s="29"/>
      <c r="K381" s="29"/>
      <c r="L381" s="29"/>
      <c r="M381" s="29"/>
      <c r="N381" s="30"/>
      <c r="O381" s="30"/>
      <c r="P381" s="13"/>
      <c r="Q381" s="13"/>
      <c r="R381" s="13"/>
      <c r="S381" s="13"/>
      <c r="T381" s="13"/>
      <c r="U381" s="13"/>
      <c r="V381" s="30"/>
      <c r="W381" s="30"/>
      <c r="X381" s="30"/>
      <c r="Y381" s="30"/>
      <c r="Z381" s="30"/>
      <c r="AA381" s="30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I381" s="45"/>
      <c r="CJ381" s="45"/>
      <c r="CK381" s="45"/>
    </row>
    <row r="382" spans="2:89" s="28" customFormat="1">
      <c r="B382" s="29"/>
      <c r="C382" s="29"/>
      <c r="D382" s="29"/>
      <c r="E382" s="29"/>
      <c r="F382" s="29"/>
      <c r="G382" s="32"/>
      <c r="H382" s="29"/>
      <c r="I382" s="33"/>
      <c r="J382" s="29"/>
      <c r="K382" s="29"/>
      <c r="L382" s="29"/>
      <c r="M382" s="29"/>
      <c r="N382" s="30"/>
      <c r="O382" s="30"/>
      <c r="P382" s="13"/>
      <c r="Q382" s="13"/>
      <c r="R382" s="13"/>
      <c r="S382" s="13"/>
      <c r="T382" s="13"/>
      <c r="U382" s="13"/>
      <c r="V382" s="30"/>
      <c r="W382" s="30"/>
      <c r="X382" s="30"/>
      <c r="Y382" s="30"/>
      <c r="Z382" s="30"/>
      <c r="AA382" s="30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I382" s="45"/>
      <c r="CJ382" s="45"/>
      <c r="CK382" s="45"/>
    </row>
    <row r="383" spans="2:89" s="28" customFormat="1">
      <c r="B383" s="29"/>
      <c r="C383" s="29"/>
      <c r="D383" s="29"/>
      <c r="E383" s="29"/>
      <c r="F383" s="29"/>
      <c r="G383" s="32"/>
      <c r="H383" s="29"/>
      <c r="I383" s="33"/>
      <c r="J383" s="29"/>
      <c r="K383" s="29"/>
      <c r="L383" s="29"/>
      <c r="M383" s="29"/>
      <c r="N383" s="30"/>
      <c r="O383" s="30"/>
      <c r="P383" s="13"/>
      <c r="Q383" s="13"/>
      <c r="R383" s="13"/>
      <c r="S383" s="13"/>
      <c r="T383" s="13"/>
      <c r="U383" s="13"/>
      <c r="V383" s="30"/>
      <c r="W383" s="30"/>
      <c r="X383" s="30"/>
      <c r="Y383" s="30"/>
      <c r="Z383" s="30"/>
      <c r="AA383" s="30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I383" s="45"/>
      <c r="CJ383" s="45"/>
      <c r="CK383" s="45"/>
    </row>
    <row r="384" spans="2:89" s="28" customFormat="1">
      <c r="B384" s="29"/>
      <c r="C384" s="29"/>
      <c r="D384" s="29"/>
      <c r="E384" s="29"/>
      <c r="F384" s="29"/>
      <c r="G384" s="32"/>
      <c r="H384" s="29"/>
      <c r="I384" s="33"/>
      <c r="J384" s="29"/>
      <c r="K384" s="29"/>
      <c r="L384" s="29"/>
      <c r="M384" s="29"/>
      <c r="N384" s="30"/>
      <c r="O384" s="30"/>
      <c r="P384" s="13"/>
      <c r="Q384" s="13"/>
      <c r="R384" s="13"/>
      <c r="S384" s="13"/>
      <c r="T384" s="13"/>
      <c r="U384" s="13"/>
      <c r="V384" s="30"/>
      <c r="W384" s="30"/>
      <c r="X384" s="30"/>
      <c r="Y384" s="30"/>
      <c r="Z384" s="30"/>
      <c r="AA384" s="30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I384" s="45"/>
      <c r="CJ384" s="45"/>
      <c r="CK384" s="45"/>
    </row>
    <row r="385" spans="2:89" s="28" customFormat="1">
      <c r="B385" s="29"/>
      <c r="C385" s="29"/>
      <c r="D385" s="29"/>
      <c r="E385" s="29"/>
      <c r="F385" s="29"/>
      <c r="G385" s="32"/>
      <c r="H385" s="29"/>
      <c r="I385" s="33"/>
      <c r="J385" s="29"/>
      <c r="K385" s="29"/>
      <c r="L385" s="29"/>
      <c r="M385" s="29"/>
      <c r="N385" s="30"/>
      <c r="O385" s="30"/>
      <c r="P385" s="13"/>
      <c r="Q385" s="13"/>
      <c r="R385" s="13"/>
      <c r="S385" s="13"/>
      <c r="T385" s="13"/>
      <c r="U385" s="13"/>
      <c r="V385" s="30"/>
      <c r="W385" s="30"/>
      <c r="X385" s="30"/>
      <c r="Y385" s="30"/>
      <c r="Z385" s="30"/>
      <c r="AA385" s="30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  <c r="CE385" s="45"/>
      <c r="CF385" s="45"/>
      <c r="CG385" s="45"/>
      <c r="CI385" s="45"/>
      <c r="CJ385" s="45"/>
      <c r="CK385" s="45"/>
    </row>
    <row r="386" spans="2:89" s="28" customFormat="1">
      <c r="B386" s="29"/>
      <c r="C386" s="29"/>
      <c r="D386" s="29"/>
      <c r="E386" s="29"/>
      <c r="F386" s="29"/>
      <c r="G386" s="32"/>
      <c r="H386" s="29"/>
      <c r="I386" s="33"/>
      <c r="J386" s="29"/>
      <c r="K386" s="29"/>
      <c r="L386" s="29"/>
      <c r="M386" s="29"/>
      <c r="N386" s="30"/>
      <c r="O386" s="30"/>
      <c r="P386" s="13"/>
      <c r="Q386" s="13"/>
      <c r="R386" s="13"/>
      <c r="S386" s="13"/>
      <c r="T386" s="13"/>
      <c r="U386" s="13"/>
      <c r="V386" s="30"/>
      <c r="W386" s="30"/>
      <c r="X386" s="30"/>
      <c r="Y386" s="30"/>
      <c r="Z386" s="30"/>
      <c r="AA386" s="30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  <c r="CE386" s="45"/>
      <c r="CF386" s="45"/>
      <c r="CG386" s="45"/>
      <c r="CI386" s="45"/>
      <c r="CJ386" s="45"/>
      <c r="CK386" s="45"/>
    </row>
    <row r="387" spans="2:89" s="28" customFormat="1">
      <c r="B387" s="29"/>
      <c r="C387" s="29"/>
      <c r="D387" s="29"/>
      <c r="E387" s="29"/>
      <c r="F387" s="29"/>
      <c r="G387" s="32"/>
      <c r="H387" s="29"/>
      <c r="I387" s="33"/>
      <c r="J387" s="29"/>
      <c r="K387" s="29"/>
      <c r="L387" s="29"/>
      <c r="M387" s="29"/>
      <c r="N387" s="30"/>
      <c r="O387" s="30"/>
      <c r="P387" s="13"/>
      <c r="Q387" s="13"/>
      <c r="R387" s="13"/>
      <c r="S387" s="13"/>
      <c r="T387" s="13"/>
      <c r="U387" s="13"/>
      <c r="V387" s="30"/>
      <c r="W387" s="30"/>
      <c r="X387" s="30"/>
      <c r="Y387" s="30"/>
      <c r="Z387" s="30"/>
      <c r="AA387" s="30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I387" s="45"/>
      <c r="CJ387" s="45"/>
      <c r="CK387" s="45"/>
    </row>
    <row r="388" spans="2:89" s="28" customFormat="1">
      <c r="B388" s="29"/>
      <c r="C388" s="29"/>
      <c r="D388" s="29"/>
      <c r="E388" s="29"/>
      <c r="F388" s="29"/>
      <c r="G388" s="32"/>
      <c r="H388" s="29"/>
      <c r="I388" s="33"/>
      <c r="J388" s="29"/>
      <c r="K388" s="29"/>
      <c r="L388" s="29"/>
      <c r="M388" s="29"/>
      <c r="N388" s="30"/>
      <c r="O388" s="30"/>
      <c r="P388" s="13"/>
      <c r="Q388" s="13"/>
      <c r="R388" s="13"/>
      <c r="S388" s="13"/>
      <c r="T388" s="13"/>
      <c r="U388" s="13"/>
      <c r="V388" s="30"/>
      <c r="W388" s="30"/>
      <c r="X388" s="30"/>
      <c r="Y388" s="30"/>
      <c r="Z388" s="30"/>
      <c r="AA388" s="30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  <c r="CE388" s="45"/>
      <c r="CF388" s="45"/>
      <c r="CG388" s="45"/>
      <c r="CI388" s="45"/>
      <c r="CJ388" s="45"/>
      <c r="CK388" s="45"/>
    </row>
    <row r="389" spans="2:89" s="28" customFormat="1">
      <c r="B389" s="29"/>
      <c r="C389" s="29"/>
      <c r="D389" s="29"/>
      <c r="E389" s="29"/>
      <c r="F389" s="29"/>
      <c r="G389" s="32"/>
      <c r="H389" s="29"/>
      <c r="I389" s="33"/>
      <c r="J389" s="29"/>
      <c r="K389" s="29"/>
      <c r="L389" s="29"/>
      <c r="M389" s="29"/>
      <c r="N389" s="30"/>
      <c r="O389" s="30"/>
      <c r="P389" s="13"/>
      <c r="Q389" s="13"/>
      <c r="R389" s="13"/>
      <c r="S389" s="13"/>
      <c r="T389" s="13"/>
      <c r="U389" s="13"/>
      <c r="V389" s="30"/>
      <c r="W389" s="30"/>
      <c r="X389" s="30"/>
      <c r="Y389" s="30"/>
      <c r="Z389" s="30"/>
      <c r="AA389" s="30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I389" s="45"/>
      <c r="CJ389" s="45"/>
      <c r="CK389" s="45"/>
    </row>
    <row r="390" spans="2:89" s="28" customFormat="1">
      <c r="B390" s="29"/>
      <c r="C390" s="29"/>
      <c r="D390" s="29"/>
      <c r="E390" s="29"/>
      <c r="F390" s="29"/>
      <c r="G390" s="32"/>
      <c r="H390" s="29"/>
      <c r="I390" s="33"/>
      <c r="J390" s="29"/>
      <c r="K390" s="29"/>
      <c r="L390" s="29"/>
      <c r="M390" s="29"/>
      <c r="N390" s="30"/>
      <c r="O390" s="30"/>
      <c r="P390" s="13"/>
      <c r="Q390" s="13"/>
      <c r="R390" s="13"/>
      <c r="S390" s="13"/>
      <c r="T390" s="13"/>
      <c r="U390" s="13"/>
      <c r="V390" s="30"/>
      <c r="W390" s="30"/>
      <c r="X390" s="30"/>
      <c r="Y390" s="30"/>
      <c r="Z390" s="30"/>
      <c r="AA390" s="30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  <c r="CE390" s="45"/>
      <c r="CF390" s="45"/>
      <c r="CG390" s="45"/>
      <c r="CI390" s="45"/>
      <c r="CJ390" s="45"/>
      <c r="CK390" s="45"/>
    </row>
    <row r="391" spans="2:89" s="28" customFormat="1">
      <c r="B391" s="29"/>
      <c r="C391" s="29"/>
      <c r="D391" s="29"/>
      <c r="E391" s="29"/>
      <c r="F391" s="29"/>
      <c r="G391" s="32"/>
      <c r="H391" s="29"/>
      <c r="I391" s="33"/>
      <c r="J391" s="29"/>
      <c r="K391" s="29"/>
      <c r="L391" s="29"/>
      <c r="M391" s="29"/>
      <c r="N391" s="30"/>
      <c r="O391" s="30"/>
      <c r="P391" s="13"/>
      <c r="Q391" s="13"/>
      <c r="R391" s="13"/>
      <c r="S391" s="13"/>
      <c r="T391" s="13"/>
      <c r="U391" s="13"/>
      <c r="V391" s="30"/>
      <c r="W391" s="30"/>
      <c r="X391" s="30"/>
      <c r="Y391" s="30"/>
      <c r="Z391" s="30"/>
      <c r="AA391" s="30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I391" s="45"/>
      <c r="CJ391" s="45"/>
      <c r="CK391" s="45"/>
    </row>
    <row r="392" spans="2:89" s="28" customFormat="1">
      <c r="B392" s="29"/>
      <c r="C392" s="29"/>
      <c r="D392" s="29"/>
      <c r="E392" s="29"/>
      <c r="F392" s="29"/>
      <c r="G392" s="32"/>
      <c r="H392" s="29"/>
      <c r="I392" s="33"/>
      <c r="J392" s="29"/>
      <c r="K392" s="29"/>
      <c r="L392" s="29"/>
      <c r="M392" s="29"/>
      <c r="N392" s="30"/>
      <c r="O392" s="30"/>
      <c r="P392" s="13"/>
      <c r="Q392" s="13"/>
      <c r="R392" s="13"/>
      <c r="S392" s="13"/>
      <c r="T392" s="13"/>
      <c r="U392" s="13"/>
      <c r="V392" s="30"/>
      <c r="W392" s="30"/>
      <c r="X392" s="30"/>
      <c r="Y392" s="30"/>
      <c r="Z392" s="30"/>
      <c r="AA392" s="30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  <c r="CE392" s="45"/>
      <c r="CF392" s="45"/>
      <c r="CG392" s="45"/>
      <c r="CI392" s="45"/>
      <c r="CJ392" s="45"/>
      <c r="CK392" s="45"/>
    </row>
    <row r="393" spans="2:89" s="28" customFormat="1">
      <c r="B393" s="29"/>
      <c r="C393" s="29"/>
      <c r="D393" s="29"/>
      <c r="E393" s="29"/>
      <c r="F393" s="29"/>
      <c r="G393" s="32"/>
      <c r="H393" s="29"/>
      <c r="I393" s="33"/>
      <c r="J393" s="29"/>
      <c r="K393" s="29"/>
      <c r="L393" s="29"/>
      <c r="M393" s="29"/>
      <c r="N393" s="30"/>
      <c r="O393" s="30"/>
      <c r="P393" s="13"/>
      <c r="Q393" s="13"/>
      <c r="R393" s="13"/>
      <c r="S393" s="13"/>
      <c r="T393" s="13"/>
      <c r="U393" s="13"/>
      <c r="V393" s="30"/>
      <c r="W393" s="30"/>
      <c r="X393" s="30"/>
      <c r="Y393" s="30"/>
      <c r="Z393" s="30"/>
      <c r="AA393" s="30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I393" s="45"/>
      <c r="CJ393" s="45"/>
      <c r="CK393" s="45"/>
    </row>
    <row r="394" spans="2:89" s="28" customFormat="1">
      <c r="B394" s="29"/>
      <c r="C394" s="29"/>
      <c r="D394" s="29"/>
      <c r="E394" s="29"/>
      <c r="F394" s="29"/>
      <c r="G394" s="32"/>
      <c r="H394" s="29"/>
      <c r="I394" s="33"/>
      <c r="J394" s="29"/>
      <c r="K394" s="29"/>
      <c r="L394" s="29"/>
      <c r="M394" s="29"/>
      <c r="N394" s="30"/>
      <c r="O394" s="30"/>
      <c r="P394" s="13"/>
      <c r="Q394" s="13"/>
      <c r="R394" s="13"/>
      <c r="S394" s="13"/>
      <c r="T394" s="13"/>
      <c r="U394" s="13"/>
      <c r="V394" s="30"/>
      <c r="W394" s="30"/>
      <c r="X394" s="30"/>
      <c r="Y394" s="30"/>
      <c r="Z394" s="30"/>
      <c r="AA394" s="30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  <c r="CE394" s="45"/>
      <c r="CF394" s="45"/>
      <c r="CG394" s="45"/>
      <c r="CI394" s="45"/>
      <c r="CJ394" s="45"/>
      <c r="CK394" s="45"/>
    </row>
    <row r="395" spans="2:89" s="28" customFormat="1">
      <c r="B395" s="29"/>
      <c r="C395" s="29"/>
      <c r="D395" s="29"/>
      <c r="E395" s="29"/>
      <c r="F395" s="29"/>
      <c r="G395" s="32"/>
      <c r="H395" s="29"/>
      <c r="I395" s="33"/>
      <c r="J395" s="29"/>
      <c r="K395" s="29"/>
      <c r="L395" s="29"/>
      <c r="M395" s="29"/>
      <c r="N395" s="30"/>
      <c r="O395" s="30"/>
      <c r="P395" s="13"/>
      <c r="Q395" s="13"/>
      <c r="R395" s="13"/>
      <c r="S395" s="13"/>
      <c r="T395" s="13"/>
      <c r="U395" s="13"/>
      <c r="V395" s="30"/>
      <c r="W395" s="30"/>
      <c r="X395" s="30"/>
      <c r="Y395" s="30"/>
      <c r="Z395" s="30"/>
      <c r="AA395" s="30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I395" s="45"/>
      <c r="CJ395" s="45"/>
      <c r="CK395" s="45"/>
    </row>
    <row r="396" spans="2:89" s="28" customFormat="1">
      <c r="B396" s="29"/>
      <c r="C396" s="29"/>
      <c r="D396" s="29"/>
      <c r="E396" s="29"/>
      <c r="F396" s="29"/>
      <c r="G396" s="32"/>
      <c r="H396" s="29"/>
      <c r="I396" s="33"/>
      <c r="J396" s="29"/>
      <c r="K396" s="29"/>
      <c r="L396" s="29"/>
      <c r="M396" s="29"/>
      <c r="N396" s="30"/>
      <c r="O396" s="30"/>
      <c r="P396" s="13"/>
      <c r="Q396" s="13"/>
      <c r="R396" s="13"/>
      <c r="S396" s="13"/>
      <c r="T396" s="13"/>
      <c r="U396" s="13"/>
      <c r="V396" s="30"/>
      <c r="W396" s="30"/>
      <c r="X396" s="30"/>
      <c r="Y396" s="30"/>
      <c r="Z396" s="30"/>
      <c r="AA396" s="30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  <c r="CE396" s="45"/>
      <c r="CF396" s="45"/>
      <c r="CG396" s="45"/>
      <c r="CI396" s="45"/>
      <c r="CJ396" s="45"/>
      <c r="CK396" s="45"/>
    </row>
    <row r="397" spans="2:89" s="28" customFormat="1">
      <c r="B397" s="29"/>
      <c r="C397" s="29"/>
      <c r="D397" s="29"/>
      <c r="E397" s="29"/>
      <c r="F397" s="29"/>
      <c r="G397" s="32"/>
      <c r="H397" s="29"/>
      <c r="I397" s="33"/>
      <c r="J397" s="29"/>
      <c r="K397" s="29"/>
      <c r="L397" s="29"/>
      <c r="M397" s="29"/>
      <c r="N397" s="30"/>
      <c r="O397" s="30"/>
      <c r="P397" s="13"/>
      <c r="Q397" s="13"/>
      <c r="R397" s="13"/>
      <c r="S397" s="13"/>
      <c r="T397" s="13"/>
      <c r="U397" s="13"/>
      <c r="V397" s="30"/>
      <c r="W397" s="30"/>
      <c r="X397" s="30"/>
      <c r="Y397" s="30"/>
      <c r="Z397" s="30"/>
      <c r="AA397" s="30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I397" s="45"/>
      <c r="CJ397" s="45"/>
      <c r="CK397" s="45"/>
    </row>
    <row r="398" spans="2:89" s="28" customFormat="1">
      <c r="B398" s="29"/>
      <c r="C398" s="29"/>
      <c r="D398" s="29"/>
      <c r="E398" s="29"/>
      <c r="F398" s="29"/>
      <c r="G398" s="32"/>
      <c r="H398" s="29"/>
      <c r="I398" s="33"/>
      <c r="J398" s="29"/>
      <c r="K398" s="29"/>
      <c r="L398" s="29"/>
      <c r="M398" s="29"/>
      <c r="N398" s="30"/>
      <c r="O398" s="30"/>
      <c r="P398" s="13"/>
      <c r="Q398" s="13"/>
      <c r="R398" s="13"/>
      <c r="S398" s="13"/>
      <c r="T398" s="13"/>
      <c r="U398" s="13"/>
      <c r="V398" s="30"/>
      <c r="W398" s="30"/>
      <c r="X398" s="30"/>
      <c r="Y398" s="30"/>
      <c r="Z398" s="30"/>
      <c r="AA398" s="30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  <c r="CE398" s="45"/>
      <c r="CF398" s="45"/>
      <c r="CG398" s="45"/>
      <c r="CI398" s="45"/>
      <c r="CJ398" s="45"/>
      <c r="CK398" s="45"/>
    </row>
    <row r="399" spans="2:89" s="28" customFormat="1">
      <c r="B399" s="29"/>
      <c r="C399" s="29"/>
      <c r="D399" s="29"/>
      <c r="E399" s="29"/>
      <c r="F399" s="29"/>
      <c r="G399" s="32"/>
      <c r="H399" s="29"/>
      <c r="I399" s="33"/>
      <c r="J399" s="29"/>
      <c r="K399" s="29"/>
      <c r="L399" s="29"/>
      <c r="M399" s="29"/>
      <c r="N399" s="30"/>
      <c r="O399" s="30"/>
      <c r="P399" s="13"/>
      <c r="Q399" s="13"/>
      <c r="R399" s="13"/>
      <c r="S399" s="13"/>
      <c r="T399" s="13"/>
      <c r="U399" s="13"/>
      <c r="V399" s="30"/>
      <c r="W399" s="30"/>
      <c r="X399" s="30"/>
      <c r="Y399" s="30"/>
      <c r="Z399" s="30"/>
      <c r="AA399" s="30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  <c r="CE399" s="45"/>
      <c r="CF399" s="45"/>
      <c r="CG399" s="45"/>
      <c r="CI399" s="45"/>
      <c r="CJ399" s="45"/>
      <c r="CK399" s="45"/>
    </row>
    <row r="400" spans="2:89" s="28" customFormat="1">
      <c r="B400" s="29"/>
      <c r="C400" s="29"/>
      <c r="D400" s="29"/>
      <c r="E400" s="29"/>
      <c r="F400" s="29"/>
      <c r="G400" s="32"/>
      <c r="H400" s="29"/>
      <c r="I400" s="33"/>
      <c r="J400" s="29"/>
      <c r="K400" s="29"/>
      <c r="L400" s="29"/>
      <c r="M400" s="29"/>
      <c r="N400" s="30"/>
      <c r="O400" s="30"/>
      <c r="P400" s="13"/>
      <c r="Q400" s="13"/>
      <c r="R400" s="13"/>
      <c r="S400" s="13"/>
      <c r="T400" s="13"/>
      <c r="U400" s="13"/>
      <c r="V400" s="30"/>
      <c r="W400" s="30"/>
      <c r="X400" s="30"/>
      <c r="Y400" s="30"/>
      <c r="Z400" s="30"/>
      <c r="AA400" s="30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  <c r="CE400" s="45"/>
      <c r="CF400" s="45"/>
      <c r="CG400" s="45"/>
      <c r="CI400" s="45"/>
      <c r="CJ400" s="45"/>
      <c r="CK400" s="45"/>
    </row>
    <row r="401" spans="2:89" s="28" customFormat="1">
      <c r="B401" s="29"/>
      <c r="C401" s="29"/>
      <c r="D401" s="29"/>
      <c r="E401" s="29"/>
      <c r="F401" s="29"/>
      <c r="G401" s="32"/>
      <c r="H401" s="29"/>
      <c r="I401" s="33"/>
      <c r="J401" s="29"/>
      <c r="K401" s="29"/>
      <c r="L401" s="29"/>
      <c r="M401" s="29"/>
      <c r="N401" s="30"/>
      <c r="O401" s="30"/>
      <c r="P401" s="13"/>
      <c r="Q401" s="13"/>
      <c r="R401" s="13"/>
      <c r="S401" s="13"/>
      <c r="T401" s="13"/>
      <c r="U401" s="13"/>
      <c r="V401" s="30"/>
      <c r="W401" s="30"/>
      <c r="X401" s="30"/>
      <c r="Y401" s="30"/>
      <c r="Z401" s="30"/>
      <c r="AA401" s="30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I401" s="45"/>
      <c r="CJ401" s="45"/>
      <c r="CK401" s="45"/>
    </row>
    <row r="402" spans="2:89" s="28" customFormat="1">
      <c r="B402" s="29"/>
      <c r="C402" s="29"/>
      <c r="D402" s="29"/>
      <c r="E402" s="29"/>
      <c r="F402" s="29"/>
      <c r="G402" s="32"/>
      <c r="H402" s="29"/>
      <c r="I402" s="33"/>
      <c r="J402" s="29"/>
      <c r="K402" s="29"/>
      <c r="L402" s="29"/>
      <c r="M402" s="29"/>
      <c r="N402" s="30"/>
      <c r="O402" s="30"/>
      <c r="P402" s="13"/>
      <c r="Q402" s="13"/>
      <c r="R402" s="13"/>
      <c r="S402" s="13"/>
      <c r="T402" s="13"/>
      <c r="U402" s="13"/>
      <c r="V402" s="30"/>
      <c r="W402" s="30"/>
      <c r="X402" s="30"/>
      <c r="Y402" s="30"/>
      <c r="Z402" s="30"/>
      <c r="AA402" s="30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  <c r="CE402" s="45"/>
      <c r="CF402" s="45"/>
      <c r="CG402" s="45"/>
      <c r="CI402" s="45"/>
      <c r="CJ402" s="45"/>
      <c r="CK402" s="45"/>
    </row>
    <row r="403" spans="2:89" s="28" customFormat="1">
      <c r="B403" s="29"/>
      <c r="C403" s="29"/>
      <c r="D403" s="29"/>
      <c r="E403" s="29"/>
      <c r="F403" s="29"/>
      <c r="G403" s="32"/>
      <c r="H403" s="29"/>
      <c r="I403" s="33"/>
      <c r="J403" s="29"/>
      <c r="K403" s="29"/>
      <c r="L403" s="29"/>
      <c r="M403" s="29"/>
      <c r="N403" s="30"/>
      <c r="O403" s="30"/>
      <c r="P403" s="13"/>
      <c r="Q403" s="13"/>
      <c r="R403" s="13"/>
      <c r="S403" s="13"/>
      <c r="T403" s="13"/>
      <c r="U403" s="13"/>
      <c r="V403" s="30"/>
      <c r="W403" s="30"/>
      <c r="X403" s="30"/>
      <c r="Y403" s="30"/>
      <c r="Z403" s="30"/>
      <c r="AA403" s="30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  <c r="CE403" s="45"/>
      <c r="CF403" s="45"/>
      <c r="CG403" s="45"/>
      <c r="CI403" s="45"/>
      <c r="CJ403" s="45"/>
      <c r="CK403" s="45"/>
    </row>
    <row r="404" spans="2:89" s="28" customFormat="1">
      <c r="B404" s="29"/>
      <c r="C404" s="29"/>
      <c r="D404" s="29"/>
      <c r="E404" s="29"/>
      <c r="F404" s="29"/>
      <c r="G404" s="32"/>
      <c r="H404" s="29"/>
      <c r="I404" s="33"/>
      <c r="J404" s="29"/>
      <c r="K404" s="29"/>
      <c r="L404" s="29"/>
      <c r="M404" s="29"/>
      <c r="N404" s="30"/>
      <c r="O404" s="30"/>
      <c r="P404" s="13"/>
      <c r="Q404" s="13"/>
      <c r="R404" s="13"/>
      <c r="S404" s="13"/>
      <c r="T404" s="13"/>
      <c r="U404" s="13"/>
      <c r="V404" s="30"/>
      <c r="W404" s="30"/>
      <c r="X404" s="30"/>
      <c r="Y404" s="30"/>
      <c r="Z404" s="30"/>
      <c r="AA404" s="30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  <c r="CE404" s="45"/>
      <c r="CF404" s="45"/>
      <c r="CG404" s="45"/>
      <c r="CI404" s="45"/>
      <c r="CJ404" s="45"/>
      <c r="CK404" s="45"/>
    </row>
    <row r="405" spans="2:89" s="28" customFormat="1">
      <c r="B405" s="29"/>
      <c r="C405" s="29"/>
      <c r="D405" s="29"/>
      <c r="E405" s="29"/>
      <c r="F405" s="29"/>
      <c r="G405" s="32"/>
      <c r="H405" s="29"/>
      <c r="I405" s="33"/>
      <c r="J405" s="29"/>
      <c r="K405" s="29"/>
      <c r="L405" s="29"/>
      <c r="M405" s="29"/>
      <c r="N405" s="30"/>
      <c r="O405" s="30"/>
      <c r="P405" s="13"/>
      <c r="Q405" s="13"/>
      <c r="R405" s="13"/>
      <c r="S405" s="13"/>
      <c r="T405" s="13"/>
      <c r="U405" s="13"/>
      <c r="V405" s="30"/>
      <c r="W405" s="30"/>
      <c r="X405" s="30"/>
      <c r="Y405" s="30"/>
      <c r="Z405" s="30"/>
      <c r="AA405" s="30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  <c r="CE405" s="45"/>
      <c r="CF405" s="45"/>
      <c r="CG405" s="45"/>
      <c r="CI405" s="45"/>
      <c r="CJ405" s="45"/>
      <c r="CK405" s="45"/>
    </row>
    <row r="406" spans="2:89" s="28" customFormat="1">
      <c r="B406" s="29"/>
      <c r="C406" s="29"/>
      <c r="D406" s="29"/>
      <c r="E406" s="29"/>
      <c r="F406" s="29"/>
      <c r="G406" s="32"/>
      <c r="H406" s="29"/>
      <c r="I406" s="33"/>
      <c r="J406" s="29"/>
      <c r="K406" s="29"/>
      <c r="L406" s="29"/>
      <c r="M406" s="29"/>
      <c r="N406" s="30"/>
      <c r="O406" s="30"/>
      <c r="P406" s="13"/>
      <c r="Q406" s="13"/>
      <c r="R406" s="13"/>
      <c r="S406" s="13"/>
      <c r="T406" s="13"/>
      <c r="U406" s="13"/>
      <c r="V406" s="30"/>
      <c r="W406" s="30"/>
      <c r="X406" s="30"/>
      <c r="Y406" s="30"/>
      <c r="Z406" s="30"/>
      <c r="AA406" s="30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  <c r="CE406" s="45"/>
      <c r="CF406" s="45"/>
      <c r="CG406" s="45"/>
      <c r="CI406" s="45"/>
      <c r="CJ406" s="45"/>
      <c r="CK406" s="45"/>
    </row>
    <row r="407" spans="2:89" s="28" customFormat="1">
      <c r="B407" s="29"/>
      <c r="C407" s="29"/>
      <c r="D407" s="29"/>
      <c r="E407" s="29"/>
      <c r="F407" s="29"/>
      <c r="G407" s="32"/>
      <c r="H407" s="29"/>
      <c r="I407" s="33"/>
      <c r="J407" s="29"/>
      <c r="K407" s="29"/>
      <c r="L407" s="29"/>
      <c r="M407" s="29"/>
      <c r="N407" s="30"/>
      <c r="O407" s="30"/>
      <c r="P407" s="13"/>
      <c r="Q407" s="13"/>
      <c r="R407" s="13"/>
      <c r="S407" s="13"/>
      <c r="T407" s="13"/>
      <c r="U407" s="13"/>
      <c r="V407" s="30"/>
      <c r="W407" s="30"/>
      <c r="X407" s="30"/>
      <c r="Y407" s="30"/>
      <c r="Z407" s="30"/>
      <c r="AA407" s="30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  <c r="CE407" s="45"/>
      <c r="CF407" s="45"/>
      <c r="CG407" s="45"/>
      <c r="CI407" s="45"/>
      <c r="CJ407" s="45"/>
      <c r="CK407" s="45"/>
    </row>
    <row r="408" spans="2:89" s="28" customFormat="1">
      <c r="B408" s="29"/>
      <c r="C408" s="29"/>
      <c r="D408" s="29"/>
      <c r="E408" s="29"/>
      <c r="F408" s="29"/>
      <c r="G408" s="32"/>
      <c r="H408" s="29"/>
      <c r="I408" s="33"/>
      <c r="J408" s="29"/>
      <c r="K408" s="29"/>
      <c r="L408" s="29"/>
      <c r="M408" s="29"/>
      <c r="N408" s="30"/>
      <c r="O408" s="30"/>
      <c r="P408" s="13"/>
      <c r="Q408" s="13"/>
      <c r="R408" s="13"/>
      <c r="S408" s="13"/>
      <c r="T408" s="13"/>
      <c r="U408" s="13"/>
      <c r="V408" s="30"/>
      <c r="W408" s="30"/>
      <c r="X408" s="30"/>
      <c r="Y408" s="30"/>
      <c r="Z408" s="30"/>
      <c r="AA408" s="30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  <c r="CE408" s="45"/>
      <c r="CF408" s="45"/>
      <c r="CG408" s="45"/>
      <c r="CI408" s="45"/>
      <c r="CJ408" s="45"/>
      <c r="CK408" s="45"/>
    </row>
    <row r="409" spans="2:89" s="28" customFormat="1">
      <c r="B409" s="29"/>
      <c r="C409" s="29"/>
      <c r="D409" s="29"/>
      <c r="E409" s="29"/>
      <c r="F409" s="29"/>
      <c r="G409" s="32"/>
      <c r="H409" s="29"/>
      <c r="I409" s="33"/>
      <c r="J409" s="29"/>
      <c r="K409" s="29"/>
      <c r="L409" s="29"/>
      <c r="M409" s="29"/>
      <c r="N409" s="30"/>
      <c r="O409" s="30"/>
      <c r="P409" s="13"/>
      <c r="Q409" s="13"/>
      <c r="R409" s="13"/>
      <c r="S409" s="13"/>
      <c r="T409" s="13"/>
      <c r="U409" s="13"/>
      <c r="V409" s="30"/>
      <c r="W409" s="30"/>
      <c r="X409" s="30"/>
      <c r="Y409" s="30"/>
      <c r="Z409" s="30"/>
      <c r="AA409" s="30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I409" s="45"/>
      <c r="CJ409" s="45"/>
      <c r="CK409" s="45"/>
    </row>
    <row r="410" spans="2:89" s="28" customFormat="1">
      <c r="B410" s="29"/>
      <c r="C410" s="29"/>
      <c r="D410" s="29"/>
      <c r="E410" s="29"/>
      <c r="F410" s="29"/>
      <c r="G410" s="32"/>
      <c r="H410" s="29"/>
      <c r="I410" s="33"/>
      <c r="J410" s="29"/>
      <c r="K410" s="29"/>
      <c r="L410" s="29"/>
      <c r="M410" s="29"/>
      <c r="N410" s="30"/>
      <c r="O410" s="30"/>
      <c r="P410" s="13"/>
      <c r="Q410" s="13"/>
      <c r="R410" s="13"/>
      <c r="S410" s="13"/>
      <c r="T410" s="13"/>
      <c r="U410" s="13"/>
      <c r="V410" s="30"/>
      <c r="W410" s="30"/>
      <c r="X410" s="30"/>
      <c r="Y410" s="30"/>
      <c r="Z410" s="30"/>
      <c r="AA410" s="30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  <c r="CE410" s="45"/>
      <c r="CF410" s="45"/>
      <c r="CG410" s="45"/>
      <c r="CI410" s="45"/>
      <c r="CJ410" s="45"/>
      <c r="CK410" s="45"/>
    </row>
    <row r="411" spans="2:89" s="28" customFormat="1">
      <c r="B411" s="29"/>
      <c r="C411" s="29"/>
      <c r="D411" s="29"/>
      <c r="E411" s="29"/>
      <c r="F411" s="29"/>
      <c r="G411" s="32"/>
      <c r="H411" s="29"/>
      <c r="I411" s="33"/>
      <c r="J411" s="29"/>
      <c r="K411" s="29"/>
      <c r="L411" s="29"/>
      <c r="M411" s="29"/>
      <c r="N411" s="30"/>
      <c r="O411" s="30"/>
      <c r="P411" s="13"/>
      <c r="Q411" s="13"/>
      <c r="R411" s="13"/>
      <c r="S411" s="13"/>
      <c r="T411" s="13"/>
      <c r="U411" s="13"/>
      <c r="V411" s="30"/>
      <c r="W411" s="30"/>
      <c r="X411" s="30"/>
      <c r="Y411" s="30"/>
      <c r="Z411" s="30"/>
      <c r="AA411" s="30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I411" s="45"/>
      <c r="CJ411" s="45"/>
      <c r="CK411" s="45"/>
    </row>
    <row r="412" spans="2:89" s="28" customFormat="1">
      <c r="B412" s="29"/>
      <c r="C412" s="29"/>
      <c r="D412" s="29"/>
      <c r="E412" s="29"/>
      <c r="F412" s="29"/>
      <c r="G412" s="32"/>
      <c r="H412" s="29"/>
      <c r="I412" s="33"/>
      <c r="J412" s="29"/>
      <c r="K412" s="29"/>
      <c r="L412" s="29"/>
      <c r="M412" s="29"/>
      <c r="N412" s="30"/>
      <c r="O412" s="30"/>
      <c r="P412" s="13"/>
      <c r="Q412" s="13"/>
      <c r="R412" s="13"/>
      <c r="S412" s="13"/>
      <c r="T412" s="13"/>
      <c r="U412" s="13"/>
      <c r="V412" s="30"/>
      <c r="W412" s="30"/>
      <c r="X412" s="30"/>
      <c r="Y412" s="30"/>
      <c r="Z412" s="30"/>
      <c r="AA412" s="30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I412" s="45"/>
      <c r="CJ412" s="45"/>
      <c r="CK412" s="45"/>
    </row>
    <row r="413" spans="2:89" s="28" customFormat="1">
      <c r="B413" s="29"/>
      <c r="C413" s="29"/>
      <c r="D413" s="29"/>
      <c r="E413" s="29"/>
      <c r="F413" s="29"/>
      <c r="G413" s="32"/>
      <c r="H413" s="29"/>
      <c r="I413" s="33"/>
      <c r="J413" s="29"/>
      <c r="K413" s="29"/>
      <c r="L413" s="29"/>
      <c r="M413" s="29"/>
      <c r="N413" s="30"/>
      <c r="O413" s="30"/>
      <c r="P413" s="13"/>
      <c r="Q413" s="13"/>
      <c r="R413" s="13"/>
      <c r="S413" s="13"/>
      <c r="T413" s="13"/>
      <c r="U413" s="13"/>
      <c r="V413" s="30"/>
      <c r="W413" s="30"/>
      <c r="X413" s="30"/>
      <c r="Y413" s="30"/>
      <c r="Z413" s="30"/>
      <c r="AA413" s="30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I413" s="45"/>
      <c r="CJ413" s="45"/>
      <c r="CK413" s="45"/>
    </row>
    <row r="414" spans="2:89" s="28" customFormat="1">
      <c r="B414" s="29"/>
      <c r="C414" s="29"/>
      <c r="D414" s="29"/>
      <c r="E414" s="29"/>
      <c r="F414" s="29"/>
      <c r="G414" s="32"/>
      <c r="H414" s="29"/>
      <c r="I414" s="33"/>
      <c r="J414" s="29"/>
      <c r="K414" s="29"/>
      <c r="L414" s="29"/>
      <c r="M414" s="29"/>
      <c r="N414" s="30"/>
      <c r="O414" s="30"/>
      <c r="P414" s="13"/>
      <c r="Q414" s="13"/>
      <c r="R414" s="13"/>
      <c r="S414" s="13"/>
      <c r="T414" s="13"/>
      <c r="U414" s="13"/>
      <c r="V414" s="30"/>
      <c r="W414" s="30"/>
      <c r="X414" s="30"/>
      <c r="Y414" s="30"/>
      <c r="Z414" s="30"/>
      <c r="AA414" s="30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I414" s="45"/>
      <c r="CJ414" s="45"/>
      <c r="CK414" s="45"/>
    </row>
    <row r="415" spans="2:89" s="28" customFormat="1">
      <c r="B415" s="29"/>
      <c r="C415" s="29"/>
      <c r="D415" s="29"/>
      <c r="E415" s="29"/>
      <c r="F415" s="29"/>
      <c r="G415" s="32"/>
      <c r="H415" s="29"/>
      <c r="I415" s="33"/>
      <c r="J415" s="29"/>
      <c r="K415" s="29"/>
      <c r="L415" s="29"/>
      <c r="M415" s="29"/>
      <c r="N415" s="30"/>
      <c r="O415" s="30"/>
      <c r="P415" s="13"/>
      <c r="Q415" s="13"/>
      <c r="R415" s="13"/>
      <c r="S415" s="13"/>
      <c r="T415" s="13"/>
      <c r="U415" s="13"/>
      <c r="V415" s="30"/>
      <c r="W415" s="30"/>
      <c r="X415" s="30"/>
      <c r="Y415" s="30"/>
      <c r="Z415" s="30"/>
      <c r="AA415" s="30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I415" s="45"/>
      <c r="CJ415" s="45"/>
      <c r="CK415" s="45"/>
    </row>
    <row r="416" spans="2:89" s="28" customFormat="1">
      <c r="B416" s="29"/>
      <c r="C416" s="29"/>
      <c r="D416" s="29"/>
      <c r="E416" s="29"/>
      <c r="F416" s="29"/>
      <c r="G416" s="32"/>
      <c r="H416" s="29"/>
      <c r="I416" s="33"/>
      <c r="J416" s="29"/>
      <c r="K416" s="29"/>
      <c r="L416" s="29"/>
      <c r="M416" s="29"/>
      <c r="N416" s="30"/>
      <c r="O416" s="30"/>
      <c r="P416" s="13"/>
      <c r="Q416" s="13"/>
      <c r="R416" s="13"/>
      <c r="S416" s="13"/>
      <c r="T416" s="13"/>
      <c r="U416" s="13"/>
      <c r="V416" s="30"/>
      <c r="W416" s="30"/>
      <c r="X416" s="30"/>
      <c r="Y416" s="30"/>
      <c r="Z416" s="30"/>
      <c r="AA416" s="30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  <c r="CE416" s="45"/>
      <c r="CF416" s="45"/>
      <c r="CG416" s="45"/>
      <c r="CI416" s="45"/>
      <c r="CJ416" s="45"/>
      <c r="CK416" s="45"/>
    </row>
    <row r="417" spans="2:89" s="28" customFormat="1">
      <c r="B417" s="29"/>
      <c r="C417" s="29"/>
      <c r="D417" s="29"/>
      <c r="E417" s="29"/>
      <c r="F417" s="29"/>
      <c r="G417" s="32"/>
      <c r="H417" s="29"/>
      <c r="I417" s="33"/>
      <c r="J417" s="29"/>
      <c r="K417" s="29"/>
      <c r="L417" s="29"/>
      <c r="M417" s="29"/>
      <c r="N417" s="30"/>
      <c r="O417" s="30"/>
      <c r="P417" s="13"/>
      <c r="Q417" s="13"/>
      <c r="R417" s="13"/>
      <c r="S417" s="13"/>
      <c r="T417" s="13"/>
      <c r="U417" s="13"/>
      <c r="V417" s="30"/>
      <c r="W417" s="30"/>
      <c r="X417" s="30"/>
      <c r="Y417" s="30"/>
      <c r="Z417" s="30"/>
      <c r="AA417" s="30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I417" s="45"/>
      <c r="CJ417" s="45"/>
      <c r="CK417" s="45"/>
    </row>
    <row r="418" spans="2:89" s="28" customFormat="1">
      <c r="B418" s="29"/>
      <c r="C418" s="29"/>
      <c r="D418" s="29"/>
      <c r="E418" s="29"/>
      <c r="F418" s="29"/>
      <c r="G418" s="32"/>
      <c r="H418" s="29"/>
      <c r="I418" s="33"/>
      <c r="J418" s="29"/>
      <c r="K418" s="29"/>
      <c r="L418" s="29"/>
      <c r="M418" s="29"/>
      <c r="N418" s="30"/>
      <c r="O418" s="30"/>
      <c r="P418" s="13"/>
      <c r="Q418" s="13"/>
      <c r="R418" s="13"/>
      <c r="S418" s="13"/>
      <c r="T418" s="13"/>
      <c r="U418" s="13"/>
      <c r="V418" s="30"/>
      <c r="W418" s="30"/>
      <c r="X418" s="30"/>
      <c r="Y418" s="30"/>
      <c r="Z418" s="30"/>
      <c r="AA418" s="30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  <c r="CE418" s="45"/>
      <c r="CF418" s="45"/>
      <c r="CG418" s="45"/>
      <c r="CI418" s="45"/>
      <c r="CJ418" s="45"/>
      <c r="CK418" s="45"/>
    </row>
    <row r="419" spans="2:89" s="28" customFormat="1">
      <c r="B419" s="29"/>
      <c r="C419" s="29"/>
      <c r="D419" s="29"/>
      <c r="E419" s="29"/>
      <c r="F419" s="29"/>
      <c r="G419" s="32"/>
      <c r="H419" s="29"/>
      <c r="I419" s="33"/>
      <c r="J419" s="29"/>
      <c r="K419" s="29"/>
      <c r="L419" s="29"/>
      <c r="M419" s="29"/>
      <c r="N419" s="30"/>
      <c r="O419" s="30"/>
      <c r="P419" s="13"/>
      <c r="Q419" s="13"/>
      <c r="R419" s="13"/>
      <c r="S419" s="13"/>
      <c r="T419" s="13"/>
      <c r="U419" s="13"/>
      <c r="V419" s="30"/>
      <c r="W419" s="30"/>
      <c r="X419" s="30"/>
      <c r="Y419" s="30"/>
      <c r="Z419" s="30"/>
      <c r="AA419" s="30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I419" s="45"/>
      <c r="CJ419" s="45"/>
      <c r="CK419" s="45"/>
    </row>
    <row r="420" spans="2:89" s="28" customFormat="1">
      <c r="B420" s="29"/>
      <c r="C420" s="29"/>
      <c r="D420" s="29"/>
      <c r="E420" s="29"/>
      <c r="F420" s="29"/>
      <c r="G420" s="32"/>
      <c r="H420" s="29"/>
      <c r="I420" s="33"/>
      <c r="J420" s="29"/>
      <c r="K420" s="29"/>
      <c r="L420" s="29"/>
      <c r="M420" s="29"/>
      <c r="N420" s="30"/>
      <c r="O420" s="30"/>
      <c r="P420" s="13"/>
      <c r="Q420" s="13"/>
      <c r="R420" s="13"/>
      <c r="S420" s="13"/>
      <c r="T420" s="13"/>
      <c r="U420" s="13"/>
      <c r="V420" s="30"/>
      <c r="W420" s="30"/>
      <c r="X420" s="30"/>
      <c r="Y420" s="30"/>
      <c r="Z420" s="30"/>
      <c r="AA420" s="30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I420" s="45"/>
      <c r="CJ420" s="45"/>
      <c r="CK420" s="45"/>
    </row>
    <row r="421" spans="2:89" s="28" customFormat="1">
      <c r="B421" s="29"/>
      <c r="C421" s="29"/>
      <c r="D421" s="29"/>
      <c r="E421" s="29"/>
      <c r="F421" s="29"/>
      <c r="G421" s="32"/>
      <c r="H421" s="29"/>
      <c r="I421" s="33"/>
      <c r="J421" s="29"/>
      <c r="K421" s="29"/>
      <c r="L421" s="29"/>
      <c r="M421" s="29"/>
      <c r="N421" s="30"/>
      <c r="O421" s="30"/>
      <c r="P421" s="13"/>
      <c r="Q421" s="13"/>
      <c r="R421" s="13"/>
      <c r="S421" s="13"/>
      <c r="T421" s="13"/>
      <c r="U421" s="13"/>
      <c r="V421" s="30"/>
      <c r="W421" s="30"/>
      <c r="X421" s="30"/>
      <c r="Y421" s="30"/>
      <c r="Z421" s="30"/>
      <c r="AA421" s="30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I421" s="45"/>
      <c r="CJ421" s="45"/>
      <c r="CK421" s="45"/>
    </row>
    <row r="422" spans="2:89" s="28" customFormat="1">
      <c r="B422" s="29"/>
      <c r="C422" s="29"/>
      <c r="D422" s="29"/>
      <c r="E422" s="29"/>
      <c r="F422" s="29"/>
      <c r="G422" s="32"/>
      <c r="H422" s="29"/>
      <c r="I422" s="33"/>
      <c r="J422" s="29"/>
      <c r="K422" s="29"/>
      <c r="L422" s="29"/>
      <c r="M422" s="29"/>
      <c r="N422" s="30"/>
      <c r="O422" s="30"/>
      <c r="P422" s="13"/>
      <c r="Q422" s="13"/>
      <c r="R422" s="13"/>
      <c r="S422" s="13"/>
      <c r="T422" s="13"/>
      <c r="U422" s="13"/>
      <c r="V422" s="30"/>
      <c r="W422" s="30"/>
      <c r="X422" s="30"/>
      <c r="Y422" s="30"/>
      <c r="Z422" s="30"/>
      <c r="AA422" s="30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I422" s="45"/>
      <c r="CJ422" s="45"/>
      <c r="CK422" s="45"/>
    </row>
    <row r="423" spans="2:89" s="28" customFormat="1">
      <c r="B423" s="29"/>
      <c r="C423" s="29"/>
      <c r="D423" s="29"/>
      <c r="E423" s="29"/>
      <c r="F423" s="29"/>
      <c r="G423" s="32"/>
      <c r="H423" s="29"/>
      <c r="I423" s="33"/>
      <c r="J423" s="29"/>
      <c r="K423" s="29"/>
      <c r="L423" s="29"/>
      <c r="M423" s="29"/>
      <c r="N423" s="30"/>
      <c r="O423" s="30"/>
      <c r="P423" s="13"/>
      <c r="Q423" s="13"/>
      <c r="R423" s="13"/>
      <c r="S423" s="13"/>
      <c r="T423" s="13"/>
      <c r="U423" s="13"/>
      <c r="V423" s="30"/>
      <c r="W423" s="30"/>
      <c r="X423" s="30"/>
      <c r="Y423" s="30"/>
      <c r="Z423" s="30"/>
      <c r="AA423" s="30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I423" s="45"/>
      <c r="CJ423" s="45"/>
      <c r="CK423" s="45"/>
    </row>
    <row r="424" spans="2:89" s="28" customFormat="1">
      <c r="B424" s="29"/>
      <c r="C424" s="29"/>
      <c r="D424" s="29"/>
      <c r="E424" s="29"/>
      <c r="F424" s="29"/>
      <c r="G424" s="32"/>
      <c r="H424" s="29"/>
      <c r="I424" s="33"/>
      <c r="J424" s="29"/>
      <c r="K424" s="29"/>
      <c r="L424" s="29"/>
      <c r="M424" s="29"/>
      <c r="N424" s="30"/>
      <c r="O424" s="30"/>
      <c r="P424" s="13"/>
      <c r="Q424" s="13"/>
      <c r="R424" s="13"/>
      <c r="S424" s="13"/>
      <c r="T424" s="13"/>
      <c r="U424" s="13"/>
      <c r="V424" s="30"/>
      <c r="W424" s="30"/>
      <c r="X424" s="30"/>
      <c r="Y424" s="30"/>
      <c r="Z424" s="30"/>
      <c r="AA424" s="30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  <c r="CE424" s="45"/>
      <c r="CF424" s="45"/>
      <c r="CG424" s="45"/>
      <c r="CI424" s="45"/>
      <c r="CJ424" s="45"/>
      <c r="CK424" s="45"/>
    </row>
    <row r="425" spans="2:89" s="28" customFormat="1">
      <c r="B425" s="29"/>
      <c r="C425" s="29"/>
      <c r="D425" s="29"/>
      <c r="E425" s="29"/>
      <c r="F425" s="29"/>
      <c r="G425" s="32"/>
      <c r="H425" s="29"/>
      <c r="I425" s="33"/>
      <c r="J425" s="29"/>
      <c r="K425" s="29"/>
      <c r="L425" s="29"/>
      <c r="M425" s="29"/>
      <c r="N425" s="30"/>
      <c r="O425" s="30"/>
      <c r="P425" s="13"/>
      <c r="Q425" s="13"/>
      <c r="R425" s="13"/>
      <c r="S425" s="13"/>
      <c r="T425" s="13"/>
      <c r="U425" s="13"/>
      <c r="V425" s="30"/>
      <c r="W425" s="30"/>
      <c r="X425" s="30"/>
      <c r="Y425" s="30"/>
      <c r="Z425" s="30"/>
      <c r="AA425" s="30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  <c r="CE425" s="45"/>
      <c r="CF425" s="45"/>
      <c r="CG425" s="45"/>
      <c r="CI425" s="45"/>
      <c r="CJ425" s="45"/>
      <c r="CK425" s="45"/>
    </row>
    <row r="426" spans="2:89" s="28" customFormat="1">
      <c r="B426" s="29"/>
      <c r="C426" s="29"/>
      <c r="D426" s="29"/>
      <c r="E426" s="29"/>
      <c r="F426" s="29"/>
      <c r="G426" s="32"/>
      <c r="H426" s="29"/>
      <c r="I426" s="33"/>
      <c r="J426" s="29"/>
      <c r="K426" s="29"/>
      <c r="L426" s="29"/>
      <c r="M426" s="29"/>
      <c r="N426" s="30"/>
      <c r="O426" s="30"/>
      <c r="P426" s="13"/>
      <c r="Q426" s="13"/>
      <c r="R426" s="13"/>
      <c r="S426" s="13"/>
      <c r="T426" s="13"/>
      <c r="U426" s="13"/>
      <c r="V426" s="30"/>
      <c r="W426" s="30"/>
      <c r="X426" s="30"/>
      <c r="Y426" s="30"/>
      <c r="Z426" s="30"/>
      <c r="AA426" s="30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  <c r="CE426" s="45"/>
      <c r="CF426" s="45"/>
      <c r="CG426" s="45"/>
      <c r="CI426" s="45"/>
      <c r="CJ426" s="45"/>
      <c r="CK426" s="45"/>
    </row>
    <row r="427" spans="2:89" s="28" customFormat="1">
      <c r="B427" s="29"/>
      <c r="C427" s="29"/>
      <c r="D427" s="29"/>
      <c r="E427" s="29"/>
      <c r="F427" s="29"/>
      <c r="G427" s="32"/>
      <c r="H427" s="29"/>
      <c r="I427" s="33"/>
      <c r="J427" s="29"/>
      <c r="K427" s="29"/>
      <c r="L427" s="29"/>
      <c r="M427" s="29"/>
      <c r="N427" s="30"/>
      <c r="O427" s="30"/>
      <c r="P427" s="13"/>
      <c r="Q427" s="13"/>
      <c r="R427" s="13"/>
      <c r="S427" s="13"/>
      <c r="T427" s="13"/>
      <c r="U427" s="13"/>
      <c r="V427" s="30"/>
      <c r="W427" s="30"/>
      <c r="X427" s="30"/>
      <c r="Y427" s="30"/>
      <c r="Z427" s="30"/>
      <c r="AA427" s="30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  <c r="CE427" s="45"/>
      <c r="CF427" s="45"/>
      <c r="CG427" s="45"/>
      <c r="CI427" s="45"/>
      <c r="CJ427" s="45"/>
      <c r="CK427" s="45"/>
    </row>
    <row r="428" spans="2:89" s="28" customFormat="1">
      <c r="B428" s="29"/>
      <c r="C428" s="29"/>
      <c r="D428" s="29"/>
      <c r="E428" s="29"/>
      <c r="F428" s="29"/>
      <c r="G428" s="32"/>
      <c r="H428" s="29"/>
      <c r="I428" s="33"/>
      <c r="J428" s="29"/>
      <c r="K428" s="29"/>
      <c r="L428" s="29"/>
      <c r="M428" s="29"/>
      <c r="N428" s="30"/>
      <c r="O428" s="30"/>
      <c r="P428" s="13"/>
      <c r="Q428" s="13"/>
      <c r="R428" s="13"/>
      <c r="S428" s="13"/>
      <c r="T428" s="13"/>
      <c r="U428" s="13"/>
      <c r="V428" s="30"/>
      <c r="W428" s="30"/>
      <c r="X428" s="30"/>
      <c r="Y428" s="30"/>
      <c r="Z428" s="30"/>
      <c r="AA428" s="30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  <c r="CE428" s="45"/>
      <c r="CF428" s="45"/>
      <c r="CG428" s="45"/>
      <c r="CI428" s="45"/>
      <c r="CJ428" s="45"/>
      <c r="CK428" s="45"/>
    </row>
    <row r="429" spans="2:89" s="28" customFormat="1">
      <c r="B429" s="29"/>
      <c r="C429" s="29"/>
      <c r="D429" s="29"/>
      <c r="E429" s="29"/>
      <c r="F429" s="29"/>
      <c r="G429" s="32"/>
      <c r="H429" s="29"/>
      <c r="I429" s="33"/>
      <c r="J429" s="29"/>
      <c r="K429" s="29"/>
      <c r="L429" s="29"/>
      <c r="M429" s="29"/>
      <c r="N429" s="30"/>
      <c r="O429" s="30"/>
      <c r="P429" s="13"/>
      <c r="Q429" s="13"/>
      <c r="R429" s="13"/>
      <c r="S429" s="13"/>
      <c r="T429" s="13"/>
      <c r="U429" s="13"/>
      <c r="V429" s="30"/>
      <c r="W429" s="30"/>
      <c r="X429" s="30"/>
      <c r="Y429" s="30"/>
      <c r="Z429" s="30"/>
      <c r="AA429" s="30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  <c r="CE429" s="45"/>
      <c r="CF429" s="45"/>
      <c r="CG429" s="45"/>
      <c r="CI429" s="45"/>
      <c r="CJ429" s="45"/>
      <c r="CK429" s="45"/>
    </row>
    <row r="430" spans="2:89" s="28" customFormat="1">
      <c r="B430" s="29"/>
      <c r="C430" s="29"/>
      <c r="D430" s="29"/>
      <c r="E430" s="29"/>
      <c r="F430" s="29"/>
      <c r="G430" s="32"/>
      <c r="H430" s="29"/>
      <c r="I430" s="33"/>
      <c r="J430" s="29"/>
      <c r="K430" s="29"/>
      <c r="L430" s="29"/>
      <c r="M430" s="29"/>
      <c r="N430" s="30"/>
      <c r="O430" s="30"/>
      <c r="P430" s="13"/>
      <c r="Q430" s="13"/>
      <c r="R430" s="13"/>
      <c r="S430" s="13"/>
      <c r="T430" s="13"/>
      <c r="U430" s="13"/>
      <c r="V430" s="30"/>
      <c r="W430" s="30"/>
      <c r="X430" s="30"/>
      <c r="Y430" s="30"/>
      <c r="Z430" s="30"/>
      <c r="AA430" s="30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  <c r="CE430" s="45"/>
      <c r="CF430" s="45"/>
      <c r="CG430" s="45"/>
      <c r="CI430" s="45"/>
      <c r="CJ430" s="45"/>
      <c r="CK430" s="45"/>
    </row>
    <row r="431" spans="2:89" s="28" customFormat="1">
      <c r="B431" s="29"/>
      <c r="C431" s="29"/>
      <c r="D431" s="29"/>
      <c r="E431" s="29"/>
      <c r="F431" s="29"/>
      <c r="G431" s="32"/>
      <c r="H431" s="29"/>
      <c r="I431" s="33"/>
      <c r="J431" s="29"/>
      <c r="K431" s="29"/>
      <c r="L431" s="29"/>
      <c r="M431" s="29"/>
      <c r="N431" s="30"/>
      <c r="O431" s="30"/>
      <c r="P431" s="13"/>
      <c r="Q431" s="13"/>
      <c r="R431" s="13"/>
      <c r="S431" s="13"/>
      <c r="T431" s="13"/>
      <c r="U431" s="13"/>
      <c r="V431" s="30"/>
      <c r="W431" s="30"/>
      <c r="X431" s="30"/>
      <c r="Y431" s="30"/>
      <c r="Z431" s="30"/>
      <c r="AA431" s="30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  <c r="CE431" s="45"/>
      <c r="CF431" s="45"/>
      <c r="CG431" s="45"/>
      <c r="CI431" s="45"/>
      <c r="CJ431" s="45"/>
      <c r="CK431" s="45"/>
    </row>
    <row r="432" spans="2:89" s="28" customFormat="1">
      <c r="B432" s="29"/>
      <c r="C432" s="29"/>
      <c r="D432" s="29"/>
      <c r="E432" s="29"/>
      <c r="F432" s="29"/>
      <c r="G432" s="32"/>
      <c r="H432" s="29"/>
      <c r="I432" s="33"/>
      <c r="J432" s="29"/>
      <c r="K432" s="29"/>
      <c r="L432" s="29"/>
      <c r="M432" s="29"/>
      <c r="N432" s="30"/>
      <c r="O432" s="30"/>
      <c r="P432" s="13"/>
      <c r="Q432" s="13"/>
      <c r="R432" s="13"/>
      <c r="S432" s="13"/>
      <c r="T432" s="13"/>
      <c r="U432" s="13"/>
      <c r="V432" s="30"/>
      <c r="W432" s="30"/>
      <c r="X432" s="30"/>
      <c r="Y432" s="30"/>
      <c r="Z432" s="30"/>
      <c r="AA432" s="30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  <c r="CE432" s="45"/>
      <c r="CF432" s="45"/>
      <c r="CG432" s="45"/>
      <c r="CI432" s="45"/>
      <c r="CJ432" s="45"/>
      <c r="CK432" s="45"/>
    </row>
    <row r="433" spans="2:89" s="28" customFormat="1">
      <c r="B433" s="29"/>
      <c r="C433" s="29"/>
      <c r="D433" s="29"/>
      <c r="E433" s="29"/>
      <c r="F433" s="29"/>
      <c r="G433" s="32"/>
      <c r="H433" s="29"/>
      <c r="I433" s="33"/>
      <c r="J433" s="29"/>
      <c r="K433" s="29"/>
      <c r="L433" s="29"/>
      <c r="M433" s="29"/>
      <c r="N433" s="30"/>
      <c r="O433" s="30"/>
      <c r="P433" s="13"/>
      <c r="Q433" s="13"/>
      <c r="R433" s="13"/>
      <c r="S433" s="13"/>
      <c r="T433" s="13"/>
      <c r="U433" s="13"/>
      <c r="V433" s="30"/>
      <c r="W433" s="30"/>
      <c r="X433" s="30"/>
      <c r="Y433" s="30"/>
      <c r="Z433" s="30"/>
      <c r="AA433" s="30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  <c r="CE433" s="45"/>
      <c r="CF433" s="45"/>
      <c r="CG433" s="45"/>
      <c r="CI433" s="45"/>
      <c r="CJ433" s="45"/>
      <c r="CK433" s="45"/>
    </row>
    <row r="434" spans="2:89" s="28" customFormat="1">
      <c r="B434" s="29"/>
      <c r="C434" s="29"/>
      <c r="D434" s="29"/>
      <c r="E434" s="29"/>
      <c r="F434" s="29"/>
      <c r="G434" s="32"/>
      <c r="H434" s="29"/>
      <c r="I434" s="33"/>
      <c r="J434" s="29"/>
      <c r="K434" s="29"/>
      <c r="L434" s="29"/>
      <c r="M434" s="29"/>
      <c r="N434" s="30"/>
      <c r="O434" s="30"/>
      <c r="P434" s="13"/>
      <c r="Q434" s="13"/>
      <c r="R434" s="13"/>
      <c r="S434" s="13"/>
      <c r="T434" s="13"/>
      <c r="U434" s="13"/>
      <c r="V434" s="30"/>
      <c r="W434" s="30"/>
      <c r="X434" s="30"/>
      <c r="Y434" s="30"/>
      <c r="Z434" s="30"/>
      <c r="AA434" s="30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I434" s="45"/>
      <c r="CJ434" s="45"/>
      <c r="CK434" s="45"/>
    </row>
    <row r="435" spans="2:89" s="28" customFormat="1">
      <c r="B435" s="29"/>
      <c r="C435" s="29"/>
      <c r="D435" s="29"/>
      <c r="E435" s="29"/>
      <c r="F435" s="29"/>
      <c r="G435" s="32"/>
      <c r="H435" s="29"/>
      <c r="I435" s="33"/>
      <c r="J435" s="29"/>
      <c r="K435" s="29"/>
      <c r="L435" s="29"/>
      <c r="M435" s="29"/>
      <c r="N435" s="30"/>
      <c r="O435" s="30"/>
      <c r="P435" s="13"/>
      <c r="Q435" s="13"/>
      <c r="R435" s="13"/>
      <c r="S435" s="13"/>
      <c r="T435" s="13"/>
      <c r="U435" s="13"/>
      <c r="V435" s="30"/>
      <c r="W435" s="30"/>
      <c r="X435" s="30"/>
      <c r="Y435" s="30"/>
      <c r="Z435" s="30"/>
      <c r="AA435" s="30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  <c r="CE435" s="45"/>
      <c r="CF435" s="45"/>
      <c r="CG435" s="45"/>
      <c r="CI435" s="45"/>
      <c r="CJ435" s="45"/>
      <c r="CK435" s="45"/>
    </row>
    <row r="436" spans="2:89" s="28" customFormat="1">
      <c r="B436" s="29"/>
      <c r="C436" s="29"/>
      <c r="D436" s="29"/>
      <c r="E436" s="29"/>
      <c r="F436" s="29"/>
      <c r="G436" s="32"/>
      <c r="H436" s="29"/>
      <c r="I436" s="33"/>
      <c r="J436" s="29"/>
      <c r="K436" s="29"/>
      <c r="L436" s="29"/>
      <c r="M436" s="29"/>
      <c r="N436" s="30"/>
      <c r="O436" s="30"/>
      <c r="P436" s="13"/>
      <c r="Q436" s="13"/>
      <c r="R436" s="13"/>
      <c r="S436" s="13"/>
      <c r="T436" s="13"/>
      <c r="U436" s="13"/>
      <c r="V436" s="30"/>
      <c r="W436" s="30"/>
      <c r="X436" s="30"/>
      <c r="Y436" s="30"/>
      <c r="Z436" s="30"/>
      <c r="AA436" s="30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  <c r="CE436" s="45"/>
      <c r="CF436" s="45"/>
      <c r="CG436" s="45"/>
      <c r="CI436" s="45"/>
      <c r="CJ436" s="45"/>
      <c r="CK436" s="45"/>
    </row>
    <row r="437" spans="2:89" s="28" customFormat="1">
      <c r="B437" s="29"/>
      <c r="C437" s="29"/>
      <c r="D437" s="29"/>
      <c r="E437" s="29"/>
      <c r="F437" s="29"/>
      <c r="G437" s="32"/>
      <c r="H437" s="29"/>
      <c r="I437" s="33"/>
      <c r="J437" s="29"/>
      <c r="K437" s="29"/>
      <c r="L437" s="29"/>
      <c r="M437" s="29"/>
      <c r="N437" s="30"/>
      <c r="O437" s="30"/>
      <c r="P437" s="13"/>
      <c r="Q437" s="13"/>
      <c r="R437" s="13"/>
      <c r="S437" s="13"/>
      <c r="T437" s="13"/>
      <c r="U437" s="13"/>
      <c r="V437" s="30"/>
      <c r="W437" s="30"/>
      <c r="X437" s="30"/>
      <c r="Y437" s="30"/>
      <c r="Z437" s="30"/>
      <c r="AA437" s="30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  <c r="CE437" s="45"/>
      <c r="CF437" s="45"/>
      <c r="CG437" s="45"/>
      <c r="CI437" s="45"/>
      <c r="CJ437" s="45"/>
      <c r="CK437" s="45"/>
    </row>
    <row r="438" spans="2:89" s="28" customFormat="1">
      <c r="B438" s="29"/>
      <c r="C438" s="29"/>
      <c r="D438" s="29"/>
      <c r="E438" s="29"/>
      <c r="F438" s="29"/>
      <c r="G438" s="32"/>
      <c r="H438" s="29"/>
      <c r="I438" s="33"/>
      <c r="J438" s="29"/>
      <c r="K438" s="29"/>
      <c r="L438" s="29"/>
      <c r="M438" s="29"/>
      <c r="N438" s="30"/>
      <c r="O438" s="30"/>
      <c r="P438" s="13"/>
      <c r="Q438" s="13"/>
      <c r="R438" s="13"/>
      <c r="S438" s="13"/>
      <c r="T438" s="13"/>
      <c r="U438" s="13"/>
      <c r="V438" s="30"/>
      <c r="W438" s="30"/>
      <c r="X438" s="30"/>
      <c r="Y438" s="30"/>
      <c r="Z438" s="30"/>
      <c r="AA438" s="30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  <c r="CE438" s="45"/>
      <c r="CF438" s="45"/>
      <c r="CG438" s="45"/>
      <c r="CI438" s="45"/>
      <c r="CJ438" s="45"/>
      <c r="CK438" s="45"/>
    </row>
    <row r="439" spans="2:89" s="28" customFormat="1">
      <c r="B439" s="29"/>
      <c r="C439" s="29"/>
      <c r="D439" s="29"/>
      <c r="E439" s="29"/>
      <c r="F439" s="29"/>
      <c r="G439" s="32"/>
      <c r="H439" s="29"/>
      <c r="I439" s="33"/>
      <c r="J439" s="29"/>
      <c r="K439" s="29"/>
      <c r="L439" s="29"/>
      <c r="M439" s="29"/>
      <c r="N439" s="30"/>
      <c r="O439" s="30"/>
      <c r="P439" s="13"/>
      <c r="Q439" s="13"/>
      <c r="R439" s="13"/>
      <c r="S439" s="13"/>
      <c r="T439" s="13"/>
      <c r="U439" s="13"/>
      <c r="V439" s="30"/>
      <c r="W439" s="30"/>
      <c r="X439" s="30"/>
      <c r="Y439" s="30"/>
      <c r="Z439" s="30"/>
      <c r="AA439" s="30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  <c r="CE439" s="45"/>
      <c r="CF439" s="45"/>
      <c r="CG439" s="45"/>
      <c r="CI439" s="45"/>
      <c r="CJ439" s="45"/>
      <c r="CK439" s="45"/>
    </row>
    <row r="440" spans="2:89" s="28" customFormat="1">
      <c r="B440" s="29"/>
      <c r="C440" s="29"/>
      <c r="D440" s="29"/>
      <c r="E440" s="29"/>
      <c r="F440" s="29"/>
      <c r="G440" s="32"/>
      <c r="H440" s="29"/>
      <c r="I440" s="33"/>
      <c r="J440" s="29"/>
      <c r="K440" s="29"/>
      <c r="L440" s="29"/>
      <c r="M440" s="29"/>
      <c r="N440" s="30"/>
      <c r="O440" s="30"/>
      <c r="P440" s="13"/>
      <c r="Q440" s="13"/>
      <c r="R440" s="13"/>
      <c r="S440" s="13"/>
      <c r="T440" s="13"/>
      <c r="U440" s="13"/>
      <c r="V440" s="30"/>
      <c r="W440" s="30"/>
      <c r="X440" s="30"/>
      <c r="Y440" s="30"/>
      <c r="Z440" s="30"/>
      <c r="AA440" s="30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  <c r="CE440" s="45"/>
      <c r="CF440" s="45"/>
      <c r="CG440" s="45"/>
      <c r="CI440" s="45"/>
      <c r="CJ440" s="45"/>
      <c r="CK440" s="45"/>
    </row>
    <row r="441" spans="2:89" s="28" customFormat="1">
      <c r="B441" s="29"/>
      <c r="C441" s="29"/>
      <c r="D441" s="29"/>
      <c r="E441" s="29"/>
      <c r="F441" s="29"/>
      <c r="G441" s="32"/>
      <c r="H441" s="29"/>
      <c r="I441" s="33"/>
      <c r="J441" s="29"/>
      <c r="K441" s="29"/>
      <c r="L441" s="29"/>
      <c r="M441" s="29"/>
      <c r="N441" s="30"/>
      <c r="O441" s="30"/>
      <c r="P441" s="13"/>
      <c r="Q441" s="13"/>
      <c r="R441" s="13"/>
      <c r="S441" s="13"/>
      <c r="T441" s="13"/>
      <c r="U441" s="13"/>
      <c r="V441" s="30"/>
      <c r="W441" s="30"/>
      <c r="X441" s="30"/>
      <c r="Y441" s="30"/>
      <c r="Z441" s="30"/>
      <c r="AA441" s="30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  <c r="CE441" s="45"/>
      <c r="CF441" s="45"/>
      <c r="CG441" s="45"/>
      <c r="CI441" s="45"/>
      <c r="CJ441" s="45"/>
      <c r="CK441" s="45"/>
    </row>
    <row r="442" spans="2:89" s="28" customFormat="1">
      <c r="B442" s="29"/>
      <c r="C442" s="29"/>
      <c r="D442" s="29"/>
      <c r="E442" s="29"/>
      <c r="F442" s="29"/>
      <c r="G442" s="32"/>
      <c r="H442" s="29"/>
      <c r="I442" s="33"/>
      <c r="J442" s="29"/>
      <c r="K442" s="29"/>
      <c r="L442" s="29"/>
      <c r="M442" s="29"/>
      <c r="N442" s="30"/>
      <c r="O442" s="30"/>
      <c r="P442" s="13"/>
      <c r="Q442" s="13"/>
      <c r="R442" s="13"/>
      <c r="S442" s="13"/>
      <c r="T442" s="13"/>
      <c r="U442" s="13"/>
      <c r="V442" s="30"/>
      <c r="W442" s="30"/>
      <c r="X442" s="30"/>
      <c r="Y442" s="30"/>
      <c r="Z442" s="30"/>
      <c r="AA442" s="30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I442" s="45"/>
      <c r="CJ442" s="45"/>
      <c r="CK442" s="45"/>
    </row>
    <row r="443" spans="2:89" s="28" customFormat="1">
      <c r="B443" s="29"/>
      <c r="C443" s="29"/>
      <c r="D443" s="29"/>
      <c r="E443" s="29"/>
      <c r="F443" s="29"/>
      <c r="G443" s="32"/>
      <c r="H443" s="29"/>
      <c r="I443" s="33"/>
      <c r="J443" s="29"/>
      <c r="K443" s="29"/>
      <c r="L443" s="29"/>
      <c r="M443" s="29"/>
      <c r="N443" s="30"/>
      <c r="O443" s="30"/>
      <c r="P443" s="13"/>
      <c r="Q443" s="13"/>
      <c r="R443" s="13"/>
      <c r="S443" s="13"/>
      <c r="T443" s="13"/>
      <c r="U443" s="13"/>
      <c r="V443" s="30"/>
      <c r="W443" s="30"/>
      <c r="X443" s="30"/>
      <c r="Y443" s="30"/>
      <c r="Z443" s="30"/>
      <c r="AA443" s="30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  <c r="CE443" s="45"/>
      <c r="CF443" s="45"/>
      <c r="CG443" s="45"/>
      <c r="CI443" s="45"/>
      <c r="CJ443" s="45"/>
      <c r="CK443" s="45"/>
    </row>
    <row r="444" spans="2:89" s="28" customFormat="1">
      <c r="B444" s="29"/>
      <c r="C444" s="29"/>
      <c r="D444" s="29"/>
      <c r="E444" s="29"/>
      <c r="F444" s="29"/>
      <c r="G444" s="32"/>
      <c r="H444" s="29"/>
      <c r="I444" s="33"/>
      <c r="J444" s="29"/>
      <c r="K444" s="29"/>
      <c r="L444" s="29"/>
      <c r="M444" s="29"/>
      <c r="N444" s="30"/>
      <c r="O444" s="30"/>
      <c r="P444" s="13"/>
      <c r="Q444" s="13"/>
      <c r="R444" s="13"/>
      <c r="S444" s="13"/>
      <c r="T444" s="13"/>
      <c r="U444" s="13"/>
      <c r="V444" s="30"/>
      <c r="W444" s="30"/>
      <c r="X444" s="30"/>
      <c r="Y444" s="30"/>
      <c r="Z444" s="30"/>
      <c r="AA444" s="30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  <c r="CE444" s="45"/>
      <c r="CF444" s="45"/>
      <c r="CG444" s="45"/>
      <c r="CI444" s="45"/>
      <c r="CJ444" s="45"/>
      <c r="CK444" s="45"/>
    </row>
    <row r="445" spans="2:89" s="28" customFormat="1">
      <c r="B445" s="29"/>
      <c r="C445" s="29"/>
      <c r="D445" s="29"/>
      <c r="E445" s="29"/>
      <c r="F445" s="29"/>
      <c r="G445" s="32"/>
      <c r="H445" s="29"/>
      <c r="I445" s="33"/>
      <c r="J445" s="29"/>
      <c r="K445" s="29"/>
      <c r="L445" s="29"/>
      <c r="M445" s="29"/>
      <c r="N445" s="30"/>
      <c r="O445" s="30"/>
      <c r="P445" s="13"/>
      <c r="Q445" s="13"/>
      <c r="R445" s="13"/>
      <c r="S445" s="13"/>
      <c r="T445" s="13"/>
      <c r="U445" s="13"/>
      <c r="V445" s="30"/>
      <c r="W445" s="30"/>
      <c r="X445" s="30"/>
      <c r="Y445" s="30"/>
      <c r="Z445" s="30"/>
      <c r="AA445" s="30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  <c r="CE445" s="45"/>
      <c r="CF445" s="45"/>
      <c r="CG445" s="45"/>
      <c r="CI445" s="45"/>
      <c r="CJ445" s="45"/>
      <c r="CK445" s="45"/>
    </row>
    <row r="446" spans="2:89" s="28" customFormat="1">
      <c r="B446" s="29"/>
      <c r="C446" s="29"/>
      <c r="D446" s="29"/>
      <c r="E446" s="29"/>
      <c r="F446" s="29"/>
      <c r="G446" s="32"/>
      <c r="H446" s="29"/>
      <c r="I446" s="33"/>
      <c r="J446" s="29"/>
      <c r="K446" s="29"/>
      <c r="L446" s="29"/>
      <c r="M446" s="29"/>
      <c r="N446" s="30"/>
      <c r="O446" s="30"/>
      <c r="P446" s="13"/>
      <c r="Q446" s="13"/>
      <c r="R446" s="13"/>
      <c r="S446" s="13"/>
      <c r="T446" s="13"/>
      <c r="U446" s="13"/>
      <c r="V446" s="30"/>
      <c r="W446" s="30"/>
      <c r="X446" s="30"/>
      <c r="Y446" s="30"/>
      <c r="Z446" s="30"/>
      <c r="AA446" s="30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  <c r="CE446" s="45"/>
      <c r="CF446" s="45"/>
      <c r="CG446" s="45"/>
      <c r="CI446" s="45"/>
      <c r="CJ446" s="45"/>
      <c r="CK446" s="45"/>
    </row>
    <row r="447" spans="2:89" s="28" customFormat="1">
      <c r="B447" s="29"/>
      <c r="C447" s="29"/>
      <c r="D447" s="29"/>
      <c r="E447" s="29"/>
      <c r="F447" s="29"/>
      <c r="G447" s="32"/>
      <c r="H447" s="29"/>
      <c r="I447" s="33"/>
      <c r="J447" s="29"/>
      <c r="K447" s="29"/>
      <c r="L447" s="29"/>
      <c r="M447" s="29"/>
      <c r="N447" s="30"/>
      <c r="O447" s="30"/>
      <c r="P447" s="13"/>
      <c r="Q447" s="13"/>
      <c r="R447" s="13"/>
      <c r="S447" s="13"/>
      <c r="T447" s="13"/>
      <c r="U447" s="13"/>
      <c r="V447" s="30"/>
      <c r="W447" s="30"/>
      <c r="X447" s="30"/>
      <c r="Y447" s="30"/>
      <c r="Z447" s="30"/>
      <c r="AA447" s="30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  <c r="CE447" s="45"/>
      <c r="CF447" s="45"/>
      <c r="CG447" s="45"/>
      <c r="CI447" s="45"/>
      <c r="CJ447" s="45"/>
      <c r="CK447" s="45"/>
    </row>
    <row r="448" spans="2:89" s="28" customFormat="1">
      <c r="B448" s="29"/>
      <c r="C448" s="29"/>
      <c r="D448" s="29"/>
      <c r="E448" s="29"/>
      <c r="F448" s="29"/>
      <c r="G448" s="32"/>
      <c r="H448" s="29"/>
      <c r="I448" s="33"/>
      <c r="J448" s="29"/>
      <c r="K448" s="29"/>
      <c r="L448" s="29"/>
      <c r="M448" s="29"/>
      <c r="N448" s="30"/>
      <c r="O448" s="30"/>
      <c r="P448" s="13"/>
      <c r="Q448" s="13"/>
      <c r="R448" s="13"/>
      <c r="S448" s="13"/>
      <c r="T448" s="13"/>
      <c r="U448" s="13"/>
      <c r="V448" s="30"/>
      <c r="W448" s="30"/>
      <c r="X448" s="30"/>
      <c r="Y448" s="30"/>
      <c r="Z448" s="30"/>
      <c r="AA448" s="30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  <c r="CE448" s="45"/>
      <c r="CF448" s="45"/>
      <c r="CG448" s="45"/>
      <c r="CI448" s="45"/>
      <c r="CJ448" s="45"/>
      <c r="CK448" s="45"/>
    </row>
    <row r="449" spans="2:89" s="28" customFormat="1">
      <c r="B449" s="29"/>
      <c r="C449" s="29"/>
      <c r="D449" s="29"/>
      <c r="E449" s="29"/>
      <c r="F449" s="29"/>
      <c r="G449" s="32"/>
      <c r="H449" s="29"/>
      <c r="I449" s="33"/>
      <c r="J449" s="29"/>
      <c r="K449" s="29"/>
      <c r="L449" s="29"/>
      <c r="M449" s="29"/>
      <c r="N449" s="30"/>
      <c r="O449" s="30"/>
      <c r="P449" s="13"/>
      <c r="Q449" s="13"/>
      <c r="R449" s="13"/>
      <c r="S449" s="13"/>
      <c r="T449" s="13"/>
      <c r="U449" s="13"/>
      <c r="V449" s="30"/>
      <c r="W449" s="30"/>
      <c r="X449" s="30"/>
      <c r="Y449" s="30"/>
      <c r="Z449" s="30"/>
      <c r="AA449" s="30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  <c r="CE449" s="45"/>
      <c r="CF449" s="45"/>
      <c r="CG449" s="45"/>
      <c r="CI449" s="45"/>
      <c r="CJ449" s="45"/>
      <c r="CK449" s="45"/>
    </row>
    <row r="450" spans="2:89" s="28" customFormat="1">
      <c r="B450" s="29"/>
      <c r="C450" s="29"/>
      <c r="D450" s="29"/>
      <c r="E450" s="29"/>
      <c r="F450" s="29"/>
      <c r="G450" s="32"/>
      <c r="H450" s="29"/>
      <c r="I450" s="33"/>
      <c r="J450" s="29"/>
      <c r="K450" s="29"/>
      <c r="L450" s="29"/>
      <c r="M450" s="29"/>
      <c r="N450" s="30"/>
      <c r="O450" s="30"/>
      <c r="P450" s="13"/>
      <c r="Q450" s="13"/>
      <c r="R450" s="13"/>
      <c r="S450" s="13"/>
      <c r="T450" s="13"/>
      <c r="U450" s="13"/>
      <c r="V450" s="30"/>
      <c r="W450" s="30"/>
      <c r="X450" s="30"/>
      <c r="Y450" s="30"/>
      <c r="Z450" s="30"/>
      <c r="AA450" s="30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45"/>
      <c r="CF450" s="45"/>
      <c r="CG450" s="45"/>
      <c r="CI450" s="45"/>
      <c r="CJ450" s="45"/>
      <c r="CK450" s="45"/>
    </row>
    <row r="451" spans="2:89" s="28" customFormat="1">
      <c r="B451" s="29"/>
      <c r="C451" s="29"/>
      <c r="D451" s="29"/>
      <c r="E451" s="29"/>
      <c r="F451" s="29"/>
      <c r="G451" s="32"/>
      <c r="H451" s="29"/>
      <c r="I451" s="33"/>
      <c r="J451" s="29"/>
      <c r="K451" s="29"/>
      <c r="L451" s="29"/>
      <c r="M451" s="29"/>
      <c r="N451" s="30"/>
      <c r="O451" s="30"/>
      <c r="P451" s="13"/>
      <c r="Q451" s="13"/>
      <c r="R451" s="13"/>
      <c r="S451" s="13"/>
      <c r="T451" s="13"/>
      <c r="U451" s="13"/>
      <c r="V451" s="30"/>
      <c r="W451" s="30"/>
      <c r="X451" s="30"/>
      <c r="Y451" s="30"/>
      <c r="Z451" s="30"/>
      <c r="AA451" s="30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I451" s="45"/>
      <c r="CJ451" s="45"/>
      <c r="CK451" s="45"/>
    </row>
    <row r="452" spans="2:89" s="28" customFormat="1">
      <c r="B452" s="29"/>
      <c r="C452" s="29"/>
      <c r="D452" s="29"/>
      <c r="E452" s="29"/>
      <c r="F452" s="29"/>
      <c r="G452" s="32"/>
      <c r="H452" s="29"/>
      <c r="I452" s="33"/>
      <c r="J452" s="29"/>
      <c r="K452" s="29"/>
      <c r="L452" s="29"/>
      <c r="M452" s="29"/>
      <c r="N452" s="30"/>
      <c r="O452" s="30"/>
      <c r="P452" s="13"/>
      <c r="Q452" s="13"/>
      <c r="R452" s="13"/>
      <c r="S452" s="13"/>
      <c r="T452" s="13"/>
      <c r="U452" s="13"/>
      <c r="V452" s="30"/>
      <c r="W452" s="30"/>
      <c r="X452" s="30"/>
      <c r="Y452" s="30"/>
      <c r="Z452" s="30"/>
      <c r="AA452" s="30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I452" s="45"/>
      <c r="CJ452" s="45"/>
      <c r="CK452" s="45"/>
    </row>
    <row r="453" spans="2:89" s="28" customFormat="1">
      <c r="B453" s="29"/>
      <c r="C453" s="29"/>
      <c r="D453" s="29"/>
      <c r="E453" s="29"/>
      <c r="F453" s="29"/>
      <c r="G453" s="32"/>
      <c r="H453" s="29"/>
      <c r="I453" s="33"/>
      <c r="J453" s="29"/>
      <c r="K453" s="29"/>
      <c r="L453" s="29"/>
      <c r="M453" s="29"/>
      <c r="N453" s="30"/>
      <c r="O453" s="30"/>
      <c r="P453" s="13"/>
      <c r="Q453" s="13"/>
      <c r="R453" s="13"/>
      <c r="S453" s="13"/>
      <c r="T453" s="13"/>
      <c r="U453" s="13"/>
      <c r="V453" s="30"/>
      <c r="W453" s="30"/>
      <c r="X453" s="30"/>
      <c r="Y453" s="30"/>
      <c r="Z453" s="30"/>
      <c r="AA453" s="30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I453" s="45"/>
      <c r="CJ453" s="45"/>
      <c r="CK453" s="45"/>
    </row>
    <row r="454" spans="2:89" s="28" customFormat="1">
      <c r="B454" s="29"/>
      <c r="C454" s="29"/>
      <c r="D454" s="29"/>
      <c r="E454" s="29"/>
      <c r="F454" s="29"/>
      <c r="G454" s="32"/>
      <c r="H454" s="29"/>
      <c r="I454" s="33"/>
      <c r="J454" s="29"/>
      <c r="K454" s="29"/>
      <c r="L454" s="29"/>
      <c r="M454" s="29"/>
      <c r="N454" s="30"/>
      <c r="O454" s="30"/>
      <c r="P454" s="13"/>
      <c r="Q454" s="13"/>
      <c r="R454" s="13"/>
      <c r="S454" s="13"/>
      <c r="T454" s="13"/>
      <c r="U454" s="13"/>
      <c r="V454" s="30"/>
      <c r="W454" s="30"/>
      <c r="X454" s="30"/>
      <c r="Y454" s="30"/>
      <c r="Z454" s="30"/>
      <c r="AA454" s="30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I454" s="45"/>
      <c r="CJ454" s="45"/>
      <c r="CK454" s="45"/>
    </row>
    <row r="455" spans="2:89" s="28" customFormat="1">
      <c r="B455" s="29"/>
      <c r="C455" s="29"/>
      <c r="D455" s="29"/>
      <c r="E455" s="29"/>
      <c r="F455" s="29"/>
      <c r="G455" s="32"/>
      <c r="H455" s="29"/>
      <c r="I455" s="33"/>
      <c r="J455" s="29"/>
      <c r="K455" s="29"/>
      <c r="L455" s="29"/>
      <c r="M455" s="29"/>
      <c r="N455" s="30"/>
      <c r="O455" s="30"/>
      <c r="P455" s="13"/>
      <c r="Q455" s="13"/>
      <c r="R455" s="13"/>
      <c r="S455" s="13"/>
      <c r="T455" s="13"/>
      <c r="U455" s="13"/>
      <c r="V455" s="30"/>
      <c r="W455" s="30"/>
      <c r="X455" s="30"/>
      <c r="Y455" s="30"/>
      <c r="Z455" s="30"/>
      <c r="AA455" s="30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  <c r="CE455" s="45"/>
      <c r="CF455" s="45"/>
      <c r="CG455" s="45"/>
      <c r="CI455" s="45"/>
      <c r="CJ455" s="45"/>
      <c r="CK455" s="45"/>
    </row>
    <row r="456" spans="2:89" s="28" customFormat="1">
      <c r="B456" s="29"/>
      <c r="C456" s="29"/>
      <c r="D456" s="29"/>
      <c r="E456" s="29"/>
      <c r="F456" s="29"/>
      <c r="G456" s="32"/>
      <c r="H456" s="29"/>
      <c r="I456" s="33"/>
      <c r="J456" s="29"/>
      <c r="K456" s="29"/>
      <c r="L456" s="29"/>
      <c r="M456" s="29"/>
      <c r="N456" s="30"/>
      <c r="O456" s="30"/>
      <c r="P456" s="13"/>
      <c r="Q456" s="13"/>
      <c r="R456" s="13"/>
      <c r="S456" s="13"/>
      <c r="T456" s="13"/>
      <c r="U456" s="13"/>
      <c r="V456" s="30"/>
      <c r="W456" s="30"/>
      <c r="X456" s="30"/>
      <c r="Y456" s="30"/>
      <c r="Z456" s="30"/>
      <c r="AA456" s="30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  <c r="CE456" s="45"/>
      <c r="CF456" s="45"/>
      <c r="CG456" s="45"/>
      <c r="CI456" s="45"/>
      <c r="CJ456" s="45"/>
      <c r="CK456" s="45"/>
    </row>
    <row r="457" spans="2:89" s="28" customFormat="1">
      <c r="B457" s="29"/>
      <c r="C457" s="29"/>
      <c r="D457" s="29"/>
      <c r="E457" s="29"/>
      <c r="F457" s="29"/>
      <c r="G457" s="32"/>
      <c r="H457" s="29"/>
      <c r="I457" s="33"/>
      <c r="J457" s="29"/>
      <c r="K457" s="29"/>
      <c r="L457" s="29"/>
      <c r="M457" s="29"/>
      <c r="N457" s="30"/>
      <c r="O457" s="30"/>
      <c r="P457" s="13"/>
      <c r="Q457" s="13"/>
      <c r="R457" s="13"/>
      <c r="S457" s="13"/>
      <c r="T457" s="13"/>
      <c r="U457" s="13"/>
      <c r="V457" s="30"/>
      <c r="W457" s="30"/>
      <c r="X457" s="30"/>
      <c r="Y457" s="30"/>
      <c r="Z457" s="30"/>
      <c r="AA457" s="30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  <c r="CE457" s="45"/>
      <c r="CF457" s="45"/>
      <c r="CG457" s="45"/>
      <c r="CI457" s="45"/>
      <c r="CJ457" s="45"/>
      <c r="CK457" s="45"/>
    </row>
    <row r="458" spans="2:89" s="28" customFormat="1">
      <c r="B458" s="29"/>
      <c r="C458" s="29"/>
      <c r="D458" s="29"/>
      <c r="E458" s="29"/>
      <c r="F458" s="29"/>
      <c r="G458" s="32"/>
      <c r="H458" s="29"/>
      <c r="I458" s="33"/>
      <c r="J458" s="29"/>
      <c r="K458" s="29"/>
      <c r="L458" s="29"/>
      <c r="M458" s="29"/>
      <c r="N458" s="30"/>
      <c r="O458" s="30"/>
      <c r="P458" s="13"/>
      <c r="Q458" s="13"/>
      <c r="R458" s="13"/>
      <c r="S458" s="13"/>
      <c r="T458" s="13"/>
      <c r="U458" s="13"/>
      <c r="V458" s="30"/>
      <c r="W458" s="30"/>
      <c r="X458" s="30"/>
      <c r="Y458" s="30"/>
      <c r="Z458" s="30"/>
      <c r="AA458" s="30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  <c r="CE458" s="45"/>
      <c r="CF458" s="45"/>
      <c r="CG458" s="45"/>
      <c r="CI458" s="45"/>
      <c r="CJ458" s="45"/>
      <c r="CK458" s="45"/>
    </row>
    <row r="459" spans="2:89" s="28" customFormat="1">
      <c r="B459" s="29"/>
      <c r="C459" s="29"/>
      <c r="D459" s="29"/>
      <c r="E459" s="29"/>
      <c r="F459" s="29"/>
      <c r="G459" s="32"/>
      <c r="H459" s="29"/>
      <c r="I459" s="33"/>
      <c r="J459" s="29"/>
      <c r="K459" s="29"/>
      <c r="L459" s="29"/>
      <c r="M459" s="29"/>
      <c r="N459" s="30"/>
      <c r="O459" s="30"/>
      <c r="P459" s="13"/>
      <c r="Q459" s="13"/>
      <c r="R459" s="13"/>
      <c r="S459" s="13"/>
      <c r="T459" s="13"/>
      <c r="U459" s="13"/>
      <c r="V459" s="30"/>
      <c r="W459" s="30"/>
      <c r="X459" s="30"/>
      <c r="Y459" s="30"/>
      <c r="Z459" s="30"/>
      <c r="AA459" s="30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  <c r="CE459" s="45"/>
      <c r="CF459" s="45"/>
      <c r="CG459" s="45"/>
      <c r="CI459" s="45"/>
      <c r="CJ459" s="45"/>
      <c r="CK459" s="45"/>
    </row>
    <row r="460" spans="2:89" s="28" customFormat="1">
      <c r="B460" s="29"/>
      <c r="C460" s="29"/>
      <c r="D460" s="29"/>
      <c r="E460" s="29"/>
      <c r="F460" s="29"/>
      <c r="G460" s="32"/>
      <c r="H460" s="29"/>
      <c r="I460" s="33"/>
      <c r="J460" s="29"/>
      <c r="K460" s="29"/>
      <c r="L460" s="29"/>
      <c r="M460" s="29"/>
      <c r="N460" s="30"/>
      <c r="O460" s="30"/>
      <c r="P460" s="13"/>
      <c r="Q460" s="13"/>
      <c r="R460" s="13"/>
      <c r="S460" s="13"/>
      <c r="T460" s="13"/>
      <c r="U460" s="13"/>
      <c r="V460" s="30"/>
      <c r="W460" s="30"/>
      <c r="X460" s="30"/>
      <c r="Y460" s="30"/>
      <c r="Z460" s="30"/>
      <c r="AA460" s="30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  <c r="CE460" s="45"/>
      <c r="CF460" s="45"/>
      <c r="CG460" s="45"/>
      <c r="CI460" s="45"/>
      <c r="CJ460" s="45"/>
      <c r="CK460" s="45"/>
    </row>
    <row r="461" spans="2:89" s="28" customFormat="1">
      <c r="B461" s="29"/>
      <c r="C461" s="29"/>
      <c r="D461" s="29"/>
      <c r="E461" s="29"/>
      <c r="F461" s="29"/>
      <c r="G461" s="32"/>
      <c r="H461" s="29"/>
      <c r="I461" s="33"/>
      <c r="J461" s="29"/>
      <c r="K461" s="29"/>
      <c r="L461" s="29"/>
      <c r="M461" s="29"/>
      <c r="N461" s="30"/>
      <c r="O461" s="30"/>
      <c r="P461" s="13"/>
      <c r="Q461" s="13"/>
      <c r="R461" s="13"/>
      <c r="S461" s="13"/>
      <c r="T461" s="13"/>
      <c r="U461" s="13"/>
      <c r="V461" s="30"/>
      <c r="W461" s="30"/>
      <c r="X461" s="30"/>
      <c r="Y461" s="30"/>
      <c r="Z461" s="30"/>
      <c r="AA461" s="30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  <c r="CE461" s="45"/>
      <c r="CF461" s="45"/>
      <c r="CG461" s="45"/>
      <c r="CI461" s="45"/>
      <c r="CJ461" s="45"/>
      <c r="CK461" s="45"/>
    </row>
    <row r="462" spans="2:89" s="28" customFormat="1">
      <c r="B462" s="29"/>
      <c r="C462" s="29"/>
      <c r="D462" s="29"/>
      <c r="E462" s="29"/>
      <c r="F462" s="29"/>
      <c r="G462" s="32"/>
      <c r="H462" s="29"/>
      <c r="I462" s="33"/>
      <c r="J462" s="29"/>
      <c r="K462" s="29"/>
      <c r="L462" s="29"/>
      <c r="M462" s="29"/>
      <c r="N462" s="30"/>
      <c r="O462" s="30"/>
      <c r="P462" s="13"/>
      <c r="Q462" s="13"/>
      <c r="R462" s="13"/>
      <c r="S462" s="13"/>
      <c r="T462" s="13"/>
      <c r="U462" s="13"/>
      <c r="V462" s="30"/>
      <c r="W462" s="30"/>
      <c r="X462" s="30"/>
      <c r="Y462" s="30"/>
      <c r="Z462" s="30"/>
      <c r="AA462" s="30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  <c r="CE462" s="45"/>
      <c r="CF462" s="45"/>
      <c r="CG462" s="45"/>
      <c r="CI462" s="45"/>
      <c r="CJ462" s="45"/>
      <c r="CK462" s="45"/>
    </row>
    <row r="463" spans="2:89" s="28" customFormat="1">
      <c r="B463" s="29"/>
      <c r="C463" s="29"/>
      <c r="D463" s="29"/>
      <c r="E463" s="29"/>
      <c r="F463" s="29"/>
      <c r="G463" s="32"/>
      <c r="H463" s="29"/>
      <c r="I463" s="33"/>
      <c r="J463" s="29"/>
      <c r="K463" s="29"/>
      <c r="L463" s="29"/>
      <c r="M463" s="29"/>
      <c r="N463" s="30"/>
      <c r="O463" s="30"/>
      <c r="P463" s="13"/>
      <c r="Q463" s="13"/>
      <c r="R463" s="13"/>
      <c r="S463" s="13"/>
      <c r="T463" s="13"/>
      <c r="U463" s="13"/>
      <c r="V463" s="30"/>
      <c r="W463" s="30"/>
      <c r="X463" s="30"/>
      <c r="Y463" s="30"/>
      <c r="Z463" s="30"/>
      <c r="AA463" s="30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  <c r="CE463" s="45"/>
      <c r="CF463" s="45"/>
      <c r="CG463" s="45"/>
      <c r="CI463" s="45"/>
      <c r="CJ463" s="45"/>
      <c r="CK463" s="45"/>
    </row>
    <row r="464" spans="2:89" s="28" customFormat="1">
      <c r="B464" s="29"/>
      <c r="C464" s="29"/>
      <c r="D464" s="29"/>
      <c r="E464" s="29"/>
      <c r="F464" s="29"/>
      <c r="G464" s="32"/>
      <c r="H464" s="29"/>
      <c r="I464" s="33"/>
      <c r="J464" s="29"/>
      <c r="K464" s="29"/>
      <c r="L464" s="29"/>
      <c r="M464" s="29"/>
      <c r="N464" s="30"/>
      <c r="O464" s="30"/>
      <c r="P464" s="13"/>
      <c r="Q464" s="13"/>
      <c r="R464" s="13"/>
      <c r="S464" s="13"/>
      <c r="T464" s="13"/>
      <c r="U464" s="13"/>
      <c r="V464" s="30"/>
      <c r="W464" s="30"/>
      <c r="X464" s="30"/>
      <c r="Y464" s="30"/>
      <c r="Z464" s="30"/>
      <c r="AA464" s="30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  <c r="CE464" s="45"/>
      <c r="CF464" s="45"/>
      <c r="CG464" s="45"/>
      <c r="CI464" s="45"/>
      <c r="CJ464" s="45"/>
      <c r="CK464" s="45"/>
    </row>
    <row r="465" spans="2:89" s="28" customFormat="1">
      <c r="B465" s="29"/>
      <c r="C465" s="29"/>
      <c r="D465" s="29"/>
      <c r="E465" s="29"/>
      <c r="F465" s="29"/>
      <c r="G465" s="32"/>
      <c r="H465" s="29"/>
      <c r="I465" s="33"/>
      <c r="J465" s="29"/>
      <c r="K465" s="29"/>
      <c r="L465" s="29"/>
      <c r="M465" s="29"/>
      <c r="N465" s="30"/>
      <c r="O465" s="30"/>
      <c r="P465" s="13"/>
      <c r="Q465" s="13"/>
      <c r="R465" s="13"/>
      <c r="S465" s="13"/>
      <c r="T465" s="13"/>
      <c r="U465" s="13"/>
      <c r="V465" s="30"/>
      <c r="W465" s="30"/>
      <c r="X465" s="30"/>
      <c r="Y465" s="30"/>
      <c r="Z465" s="30"/>
      <c r="AA465" s="30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45"/>
      <c r="BU465" s="45"/>
      <c r="BV465" s="45"/>
      <c r="BW465" s="45"/>
      <c r="BX465" s="45"/>
      <c r="BY465" s="45"/>
      <c r="BZ465" s="45"/>
      <c r="CA465" s="45"/>
      <c r="CB465" s="45"/>
      <c r="CC465" s="45"/>
      <c r="CD465" s="45"/>
      <c r="CE465" s="45"/>
      <c r="CF465" s="45"/>
      <c r="CG465" s="45"/>
      <c r="CI465" s="45"/>
      <c r="CJ465" s="45"/>
      <c r="CK465" s="45"/>
    </row>
    <row r="466" spans="2:89" s="28" customFormat="1">
      <c r="B466" s="29"/>
      <c r="C466" s="29"/>
      <c r="D466" s="29"/>
      <c r="E466" s="29"/>
      <c r="F466" s="29"/>
      <c r="G466" s="32"/>
      <c r="H466" s="29"/>
      <c r="I466" s="33"/>
      <c r="J466" s="29"/>
      <c r="K466" s="29"/>
      <c r="L466" s="29"/>
      <c r="M466" s="29"/>
      <c r="N466" s="30"/>
      <c r="O466" s="30"/>
      <c r="P466" s="13"/>
      <c r="Q466" s="13"/>
      <c r="R466" s="13"/>
      <c r="S466" s="13"/>
      <c r="T466" s="13"/>
      <c r="U466" s="13"/>
      <c r="V466" s="30"/>
      <c r="W466" s="30"/>
      <c r="X466" s="30"/>
      <c r="Y466" s="30"/>
      <c r="Z466" s="30"/>
      <c r="AA466" s="30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45"/>
      <c r="BU466" s="45"/>
      <c r="BV466" s="45"/>
      <c r="BW466" s="45"/>
      <c r="BX466" s="45"/>
      <c r="BY466" s="45"/>
      <c r="BZ466" s="45"/>
      <c r="CA466" s="45"/>
      <c r="CB466" s="45"/>
      <c r="CC466" s="45"/>
      <c r="CD466" s="45"/>
      <c r="CE466" s="45"/>
      <c r="CF466" s="45"/>
      <c r="CG466" s="45"/>
      <c r="CI466" s="45"/>
      <c r="CJ466" s="45"/>
      <c r="CK466" s="45"/>
    </row>
    <row r="467" spans="2:89" s="28" customFormat="1">
      <c r="B467" s="29"/>
      <c r="C467" s="29"/>
      <c r="D467" s="29"/>
      <c r="E467" s="29"/>
      <c r="F467" s="29"/>
      <c r="G467" s="32"/>
      <c r="H467" s="29"/>
      <c r="I467" s="33"/>
      <c r="J467" s="29"/>
      <c r="K467" s="29"/>
      <c r="L467" s="29"/>
      <c r="M467" s="29"/>
      <c r="N467" s="30"/>
      <c r="O467" s="30"/>
      <c r="P467" s="13"/>
      <c r="Q467" s="13"/>
      <c r="R467" s="13"/>
      <c r="S467" s="13"/>
      <c r="T467" s="13"/>
      <c r="U467" s="13"/>
      <c r="V467" s="30"/>
      <c r="W467" s="30"/>
      <c r="X467" s="30"/>
      <c r="Y467" s="30"/>
      <c r="Z467" s="30"/>
      <c r="AA467" s="30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45"/>
      <c r="BU467" s="45"/>
      <c r="BV467" s="45"/>
      <c r="BW467" s="45"/>
      <c r="BX467" s="45"/>
      <c r="BY467" s="45"/>
      <c r="BZ467" s="45"/>
      <c r="CA467" s="45"/>
      <c r="CB467" s="45"/>
      <c r="CC467" s="45"/>
      <c r="CD467" s="45"/>
      <c r="CE467" s="45"/>
      <c r="CF467" s="45"/>
      <c r="CG467" s="45"/>
      <c r="CI467" s="45"/>
      <c r="CJ467" s="45"/>
      <c r="CK467" s="45"/>
    </row>
    <row r="468" spans="2:89" s="28" customFormat="1">
      <c r="B468" s="29"/>
      <c r="C468" s="29"/>
      <c r="D468" s="29"/>
      <c r="E468" s="29"/>
      <c r="F468" s="29"/>
      <c r="G468" s="32"/>
      <c r="H468" s="29"/>
      <c r="I468" s="33"/>
      <c r="J468" s="29"/>
      <c r="K468" s="29"/>
      <c r="L468" s="29"/>
      <c r="M468" s="29"/>
      <c r="N468" s="30"/>
      <c r="O468" s="30"/>
      <c r="P468" s="13"/>
      <c r="Q468" s="13"/>
      <c r="R468" s="13"/>
      <c r="S468" s="13"/>
      <c r="T468" s="13"/>
      <c r="U468" s="13"/>
      <c r="V468" s="30"/>
      <c r="W468" s="30"/>
      <c r="X468" s="30"/>
      <c r="Y468" s="30"/>
      <c r="Z468" s="30"/>
      <c r="AA468" s="30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  <c r="CE468" s="45"/>
      <c r="CF468" s="45"/>
      <c r="CG468" s="45"/>
      <c r="CI468" s="45"/>
      <c r="CJ468" s="45"/>
      <c r="CK468" s="45"/>
    </row>
    <row r="469" spans="2:89" s="28" customFormat="1">
      <c r="B469" s="29"/>
      <c r="C469" s="29"/>
      <c r="D469" s="29"/>
      <c r="E469" s="29"/>
      <c r="F469" s="29"/>
      <c r="G469" s="32"/>
      <c r="H469" s="29"/>
      <c r="I469" s="33"/>
      <c r="J469" s="29"/>
      <c r="K469" s="29"/>
      <c r="L469" s="29"/>
      <c r="M469" s="29"/>
      <c r="N469" s="30"/>
      <c r="O469" s="30"/>
      <c r="P469" s="13"/>
      <c r="Q469" s="13"/>
      <c r="R469" s="13"/>
      <c r="S469" s="13"/>
      <c r="T469" s="13"/>
      <c r="U469" s="13"/>
      <c r="V469" s="30"/>
      <c r="W469" s="30"/>
      <c r="X469" s="30"/>
      <c r="Y469" s="30"/>
      <c r="Z469" s="30"/>
      <c r="AA469" s="30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  <c r="CE469" s="45"/>
      <c r="CF469" s="45"/>
      <c r="CG469" s="45"/>
      <c r="CI469" s="45"/>
      <c r="CJ469" s="45"/>
      <c r="CK469" s="45"/>
    </row>
    <row r="470" spans="2:89" s="28" customFormat="1">
      <c r="B470" s="29"/>
      <c r="C470" s="29"/>
      <c r="D470" s="29"/>
      <c r="E470" s="29"/>
      <c r="F470" s="29"/>
      <c r="G470" s="32"/>
      <c r="H470" s="29"/>
      <c r="I470" s="33"/>
      <c r="J470" s="29"/>
      <c r="K470" s="29"/>
      <c r="L470" s="29"/>
      <c r="M470" s="29"/>
      <c r="N470" s="30"/>
      <c r="O470" s="30"/>
      <c r="P470" s="13"/>
      <c r="Q470" s="13"/>
      <c r="R470" s="13"/>
      <c r="S470" s="13"/>
      <c r="T470" s="13"/>
      <c r="U470" s="13"/>
      <c r="V470" s="30"/>
      <c r="W470" s="30"/>
      <c r="X470" s="30"/>
      <c r="Y470" s="30"/>
      <c r="Z470" s="30"/>
      <c r="AA470" s="30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  <c r="CE470" s="45"/>
      <c r="CF470" s="45"/>
      <c r="CG470" s="45"/>
      <c r="CI470" s="45"/>
      <c r="CJ470" s="45"/>
      <c r="CK470" s="45"/>
    </row>
    <row r="471" spans="2:89" s="28" customFormat="1">
      <c r="B471" s="29"/>
      <c r="C471" s="29"/>
      <c r="D471" s="29"/>
      <c r="E471" s="29"/>
      <c r="F471" s="29"/>
      <c r="G471" s="32"/>
      <c r="H471" s="29"/>
      <c r="I471" s="33"/>
      <c r="J471" s="29"/>
      <c r="K471" s="29"/>
      <c r="L471" s="29"/>
      <c r="M471" s="29"/>
      <c r="N471" s="30"/>
      <c r="O471" s="30"/>
      <c r="P471" s="13"/>
      <c r="Q471" s="13"/>
      <c r="R471" s="13"/>
      <c r="S471" s="13"/>
      <c r="T471" s="13"/>
      <c r="U471" s="13"/>
      <c r="V471" s="30"/>
      <c r="W471" s="30"/>
      <c r="X471" s="30"/>
      <c r="Y471" s="30"/>
      <c r="Z471" s="30"/>
      <c r="AA471" s="30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  <c r="CE471" s="45"/>
      <c r="CF471" s="45"/>
      <c r="CG471" s="45"/>
      <c r="CI471" s="45"/>
      <c r="CJ471" s="45"/>
      <c r="CK471" s="45"/>
    </row>
    <row r="472" spans="2:89" s="28" customFormat="1">
      <c r="B472" s="29"/>
      <c r="C472" s="29"/>
      <c r="D472" s="29"/>
      <c r="E472" s="29"/>
      <c r="F472" s="29"/>
      <c r="G472" s="32"/>
      <c r="H472" s="29"/>
      <c r="I472" s="33"/>
      <c r="J472" s="29"/>
      <c r="K472" s="29"/>
      <c r="L472" s="29"/>
      <c r="M472" s="29"/>
      <c r="N472" s="30"/>
      <c r="O472" s="30"/>
      <c r="P472" s="13"/>
      <c r="Q472" s="13"/>
      <c r="R472" s="13"/>
      <c r="S472" s="13"/>
      <c r="T472" s="13"/>
      <c r="U472" s="13"/>
      <c r="V472" s="30"/>
      <c r="W472" s="30"/>
      <c r="X472" s="30"/>
      <c r="Y472" s="30"/>
      <c r="Z472" s="30"/>
      <c r="AA472" s="30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  <c r="CE472" s="45"/>
      <c r="CF472" s="45"/>
      <c r="CG472" s="45"/>
      <c r="CI472" s="45"/>
      <c r="CJ472" s="45"/>
      <c r="CK472" s="45"/>
    </row>
    <row r="473" spans="2:89" s="28" customFormat="1">
      <c r="B473" s="29"/>
      <c r="C473" s="29"/>
      <c r="D473" s="29"/>
      <c r="E473" s="29"/>
      <c r="F473" s="29"/>
      <c r="G473" s="32"/>
      <c r="H473" s="29"/>
      <c r="I473" s="33"/>
      <c r="J473" s="29"/>
      <c r="K473" s="29"/>
      <c r="L473" s="29"/>
      <c r="M473" s="29"/>
      <c r="N473" s="30"/>
      <c r="O473" s="30"/>
      <c r="P473" s="13"/>
      <c r="Q473" s="13"/>
      <c r="R473" s="13"/>
      <c r="S473" s="13"/>
      <c r="T473" s="13"/>
      <c r="U473" s="13"/>
      <c r="V473" s="30"/>
      <c r="W473" s="30"/>
      <c r="X473" s="30"/>
      <c r="Y473" s="30"/>
      <c r="Z473" s="30"/>
      <c r="AA473" s="30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  <c r="CE473" s="45"/>
      <c r="CF473" s="45"/>
      <c r="CG473" s="45"/>
      <c r="CI473" s="45"/>
      <c r="CJ473" s="45"/>
      <c r="CK473" s="45"/>
    </row>
    <row r="474" spans="2:89" s="28" customFormat="1">
      <c r="B474" s="29"/>
      <c r="C474" s="29"/>
      <c r="D474" s="29"/>
      <c r="E474" s="29"/>
      <c r="F474" s="29"/>
      <c r="G474" s="32"/>
      <c r="H474" s="29"/>
      <c r="I474" s="33"/>
      <c r="J474" s="29"/>
      <c r="K474" s="29"/>
      <c r="L474" s="29"/>
      <c r="M474" s="29"/>
      <c r="N474" s="30"/>
      <c r="O474" s="30"/>
      <c r="P474" s="13"/>
      <c r="Q474" s="13"/>
      <c r="R474" s="13"/>
      <c r="S474" s="13"/>
      <c r="T474" s="13"/>
      <c r="U474" s="13"/>
      <c r="V474" s="30"/>
      <c r="W474" s="30"/>
      <c r="X474" s="30"/>
      <c r="Y474" s="30"/>
      <c r="Z474" s="30"/>
      <c r="AA474" s="30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45"/>
      <c r="BU474" s="45"/>
      <c r="BV474" s="45"/>
      <c r="BW474" s="45"/>
      <c r="BX474" s="45"/>
      <c r="BY474" s="45"/>
      <c r="BZ474" s="45"/>
      <c r="CA474" s="45"/>
      <c r="CB474" s="45"/>
      <c r="CC474" s="45"/>
      <c r="CD474" s="45"/>
      <c r="CE474" s="45"/>
      <c r="CF474" s="45"/>
      <c r="CG474" s="45"/>
      <c r="CI474" s="45"/>
      <c r="CJ474" s="45"/>
      <c r="CK474" s="45"/>
    </row>
    <row r="475" spans="2:89" s="28" customFormat="1">
      <c r="B475" s="29"/>
      <c r="C475" s="29"/>
      <c r="D475" s="29"/>
      <c r="E475" s="29"/>
      <c r="F475" s="29"/>
      <c r="G475" s="32"/>
      <c r="H475" s="29"/>
      <c r="I475" s="33"/>
      <c r="J475" s="29"/>
      <c r="K475" s="29"/>
      <c r="L475" s="29"/>
      <c r="M475" s="29"/>
      <c r="N475" s="30"/>
      <c r="O475" s="30"/>
      <c r="P475" s="13"/>
      <c r="Q475" s="13"/>
      <c r="R475" s="13"/>
      <c r="S475" s="13"/>
      <c r="T475" s="13"/>
      <c r="U475" s="13"/>
      <c r="V475" s="30"/>
      <c r="W475" s="30"/>
      <c r="X475" s="30"/>
      <c r="Y475" s="30"/>
      <c r="Z475" s="30"/>
      <c r="AA475" s="30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45"/>
      <c r="BU475" s="45"/>
      <c r="BV475" s="45"/>
      <c r="BW475" s="45"/>
      <c r="BX475" s="45"/>
      <c r="BY475" s="45"/>
      <c r="BZ475" s="45"/>
      <c r="CA475" s="45"/>
      <c r="CB475" s="45"/>
      <c r="CC475" s="45"/>
      <c r="CD475" s="45"/>
      <c r="CE475" s="45"/>
      <c r="CF475" s="45"/>
      <c r="CG475" s="45"/>
      <c r="CI475" s="45"/>
      <c r="CJ475" s="45"/>
      <c r="CK475" s="45"/>
    </row>
    <row r="476" spans="2:89" s="28" customFormat="1">
      <c r="B476" s="29"/>
      <c r="C476" s="29"/>
      <c r="D476" s="29"/>
      <c r="E476" s="29"/>
      <c r="F476" s="29"/>
      <c r="G476" s="32"/>
      <c r="H476" s="29"/>
      <c r="I476" s="33"/>
      <c r="J476" s="29"/>
      <c r="K476" s="29"/>
      <c r="L476" s="29"/>
      <c r="M476" s="29"/>
      <c r="N476" s="30"/>
      <c r="O476" s="30"/>
      <c r="P476" s="13"/>
      <c r="Q476" s="13"/>
      <c r="R476" s="13"/>
      <c r="S476" s="13"/>
      <c r="T476" s="13"/>
      <c r="U476" s="13"/>
      <c r="V476" s="30"/>
      <c r="W476" s="30"/>
      <c r="X476" s="30"/>
      <c r="Y476" s="30"/>
      <c r="Z476" s="30"/>
      <c r="AA476" s="30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45"/>
      <c r="BU476" s="45"/>
      <c r="BV476" s="45"/>
      <c r="BW476" s="45"/>
      <c r="BX476" s="45"/>
      <c r="BY476" s="45"/>
      <c r="BZ476" s="45"/>
      <c r="CA476" s="45"/>
      <c r="CB476" s="45"/>
      <c r="CC476" s="45"/>
      <c r="CD476" s="45"/>
      <c r="CE476" s="45"/>
      <c r="CF476" s="45"/>
      <c r="CG476" s="45"/>
      <c r="CI476" s="45"/>
      <c r="CJ476" s="45"/>
      <c r="CK476" s="45"/>
    </row>
    <row r="477" spans="2:89" s="28" customFormat="1">
      <c r="B477" s="29"/>
      <c r="C477" s="29"/>
      <c r="D477" s="29"/>
      <c r="E477" s="29"/>
      <c r="F477" s="29"/>
      <c r="G477" s="32"/>
      <c r="H477" s="29"/>
      <c r="I477" s="33"/>
      <c r="J477" s="29"/>
      <c r="K477" s="29"/>
      <c r="L477" s="29"/>
      <c r="M477" s="29"/>
      <c r="N477" s="30"/>
      <c r="O477" s="30"/>
      <c r="P477" s="13"/>
      <c r="Q477" s="13"/>
      <c r="R477" s="13"/>
      <c r="S477" s="13"/>
      <c r="T477" s="13"/>
      <c r="U477" s="13"/>
      <c r="V477" s="30"/>
      <c r="W477" s="30"/>
      <c r="X477" s="30"/>
      <c r="Y477" s="30"/>
      <c r="Z477" s="30"/>
      <c r="AA477" s="30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  <c r="CE477" s="45"/>
      <c r="CF477" s="45"/>
      <c r="CG477" s="45"/>
      <c r="CI477" s="45"/>
      <c r="CJ477" s="45"/>
      <c r="CK477" s="45"/>
    </row>
    <row r="478" spans="2:89" s="28" customFormat="1">
      <c r="B478" s="29"/>
      <c r="C478" s="29"/>
      <c r="D478" s="29"/>
      <c r="E478" s="29"/>
      <c r="F478" s="29"/>
      <c r="G478" s="32"/>
      <c r="H478" s="29"/>
      <c r="I478" s="33"/>
      <c r="J478" s="29"/>
      <c r="K478" s="29"/>
      <c r="L478" s="29"/>
      <c r="M478" s="29"/>
      <c r="N478" s="30"/>
      <c r="O478" s="30"/>
      <c r="P478" s="13"/>
      <c r="Q478" s="13"/>
      <c r="R478" s="13"/>
      <c r="S478" s="13"/>
      <c r="T478" s="13"/>
      <c r="U478" s="13"/>
      <c r="V478" s="30"/>
      <c r="W478" s="30"/>
      <c r="X478" s="30"/>
      <c r="Y478" s="30"/>
      <c r="Z478" s="30"/>
      <c r="AA478" s="30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45"/>
      <c r="BU478" s="45"/>
      <c r="BV478" s="45"/>
      <c r="BW478" s="45"/>
      <c r="BX478" s="45"/>
      <c r="BY478" s="45"/>
      <c r="BZ478" s="45"/>
      <c r="CA478" s="45"/>
      <c r="CB478" s="45"/>
      <c r="CC478" s="45"/>
      <c r="CD478" s="45"/>
      <c r="CE478" s="45"/>
      <c r="CF478" s="45"/>
      <c r="CG478" s="45"/>
      <c r="CI478" s="45"/>
      <c r="CJ478" s="45"/>
      <c r="CK478" s="45"/>
    </row>
    <row r="479" spans="2:89" s="28" customFormat="1">
      <c r="B479" s="29"/>
      <c r="C479" s="29"/>
      <c r="D479" s="29"/>
      <c r="E479" s="29"/>
      <c r="F479" s="29"/>
      <c r="G479" s="32"/>
      <c r="H479" s="29"/>
      <c r="I479" s="33"/>
      <c r="J479" s="29"/>
      <c r="K479" s="29"/>
      <c r="L479" s="29"/>
      <c r="M479" s="29"/>
      <c r="N479" s="30"/>
      <c r="O479" s="30"/>
      <c r="P479" s="13"/>
      <c r="Q479" s="13"/>
      <c r="R479" s="13"/>
      <c r="S479" s="13"/>
      <c r="T479" s="13"/>
      <c r="U479" s="13"/>
      <c r="V479" s="30"/>
      <c r="W479" s="30"/>
      <c r="X479" s="30"/>
      <c r="Y479" s="30"/>
      <c r="Z479" s="30"/>
      <c r="AA479" s="30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45"/>
      <c r="BU479" s="45"/>
      <c r="BV479" s="45"/>
      <c r="BW479" s="45"/>
      <c r="BX479" s="45"/>
      <c r="BY479" s="45"/>
      <c r="BZ479" s="45"/>
      <c r="CA479" s="45"/>
      <c r="CB479" s="45"/>
      <c r="CC479" s="45"/>
      <c r="CD479" s="45"/>
      <c r="CE479" s="45"/>
      <c r="CF479" s="45"/>
      <c r="CG479" s="45"/>
      <c r="CI479" s="45"/>
      <c r="CJ479" s="45"/>
      <c r="CK479" s="45"/>
    </row>
    <row r="480" spans="2:89" s="28" customFormat="1">
      <c r="B480" s="29"/>
      <c r="C480" s="29"/>
      <c r="D480" s="29"/>
      <c r="E480" s="29"/>
      <c r="F480" s="29"/>
      <c r="G480" s="32"/>
      <c r="H480" s="29"/>
      <c r="I480" s="33"/>
      <c r="J480" s="29"/>
      <c r="K480" s="29"/>
      <c r="L480" s="29"/>
      <c r="M480" s="29"/>
      <c r="N480" s="30"/>
      <c r="O480" s="30"/>
      <c r="P480" s="13"/>
      <c r="Q480" s="13"/>
      <c r="R480" s="13"/>
      <c r="S480" s="13"/>
      <c r="T480" s="13"/>
      <c r="U480" s="13"/>
      <c r="V480" s="30"/>
      <c r="W480" s="30"/>
      <c r="X480" s="30"/>
      <c r="Y480" s="30"/>
      <c r="Z480" s="30"/>
      <c r="AA480" s="30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45"/>
      <c r="BU480" s="45"/>
      <c r="BV480" s="45"/>
      <c r="BW480" s="45"/>
      <c r="BX480" s="45"/>
      <c r="BY480" s="45"/>
      <c r="BZ480" s="45"/>
      <c r="CA480" s="45"/>
      <c r="CB480" s="45"/>
      <c r="CC480" s="45"/>
      <c r="CD480" s="45"/>
      <c r="CE480" s="45"/>
      <c r="CF480" s="45"/>
      <c r="CG480" s="45"/>
      <c r="CI480" s="45"/>
      <c r="CJ480" s="45"/>
      <c r="CK480" s="45"/>
    </row>
    <row r="481" spans="2:89" s="28" customFormat="1">
      <c r="B481" s="29"/>
      <c r="C481" s="29"/>
      <c r="D481" s="29"/>
      <c r="E481" s="29"/>
      <c r="F481" s="29"/>
      <c r="G481" s="32"/>
      <c r="H481" s="29"/>
      <c r="I481" s="33"/>
      <c r="J481" s="29"/>
      <c r="K481" s="29"/>
      <c r="L481" s="29"/>
      <c r="M481" s="29"/>
      <c r="N481" s="30"/>
      <c r="O481" s="30"/>
      <c r="P481" s="13"/>
      <c r="Q481" s="13"/>
      <c r="R481" s="13"/>
      <c r="S481" s="13"/>
      <c r="T481" s="13"/>
      <c r="U481" s="13"/>
      <c r="V481" s="30"/>
      <c r="W481" s="30"/>
      <c r="X481" s="30"/>
      <c r="Y481" s="30"/>
      <c r="Z481" s="30"/>
      <c r="AA481" s="30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45"/>
      <c r="BU481" s="45"/>
      <c r="BV481" s="45"/>
      <c r="BW481" s="45"/>
      <c r="BX481" s="45"/>
      <c r="BY481" s="45"/>
      <c r="BZ481" s="45"/>
      <c r="CA481" s="45"/>
      <c r="CB481" s="45"/>
      <c r="CC481" s="45"/>
      <c r="CD481" s="45"/>
      <c r="CE481" s="45"/>
      <c r="CF481" s="45"/>
      <c r="CG481" s="45"/>
      <c r="CI481" s="45"/>
      <c r="CJ481" s="45"/>
      <c r="CK481" s="45"/>
    </row>
    <row r="482" spans="2:89" s="28" customFormat="1">
      <c r="B482" s="29"/>
      <c r="C482" s="29"/>
      <c r="D482" s="29"/>
      <c r="E482" s="29"/>
      <c r="F482" s="29"/>
      <c r="G482" s="32"/>
      <c r="H482" s="29"/>
      <c r="I482" s="33"/>
      <c r="J482" s="29"/>
      <c r="K482" s="29"/>
      <c r="L482" s="29"/>
      <c r="M482" s="29"/>
      <c r="N482" s="30"/>
      <c r="O482" s="30"/>
      <c r="P482" s="13"/>
      <c r="Q482" s="13"/>
      <c r="R482" s="13"/>
      <c r="S482" s="13"/>
      <c r="T482" s="13"/>
      <c r="U482" s="13"/>
      <c r="V482" s="30"/>
      <c r="W482" s="30"/>
      <c r="X482" s="30"/>
      <c r="Y482" s="30"/>
      <c r="Z482" s="30"/>
      <c r="AA482" s="30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45"/>
      <c r="BU482" s="45"/>
      <c r="BV482" s="45"/>
      <c r="BW482" s="45"/>
      <c r="BX482" s="45"/>
      <c r="BY482" s="45"/>
      <c r="BZ482" s="45"/>
      <c r="CA482" s="45"/>
      <c r="CB482" s="45"/>
      <c r="CC482" s="45"/>
      <c r="CD482" s="45"/>
      <c r="CE482" s="45"/>
      <c r="CF482" s="45"/>
      <c r="CG482" s="45"/>
      <c r="CI482" s="45"/>
      <c r="CJ482" s="45"/>
      <c r="CK482" s="45"/>
    </row>
    <row r="483" spans="2:89" s="28" customFormat="1">
      <c r="B483" s="29"/>
      <c r="C483" s="29"/>
      <c r="D483" s="29"/>
      <c r="E483" s="29"/>
      <c r="F483" s="29"/>
      <c r="G483" s="32"/>
      <c r="H483" s="29"/>
      <c r="I483" s="33"/>
      <c r="J483" s="29"/>
      <c r="K483" s="29"/>
      <c r="L483" s="29"/>
      <c r="M483" s="29"/>
      <c r="N483" s="30"/>
      <c r="O483" s="30"/>
      <c r="P483" s="13"/>
      <c r="Q483" s="13"/>
      <c r="R483" s="13"/>
      <c r="S483" s="13"/>
      <c r="T483" s="13"/>
      <c r="U483" s="13"/>
      <c r="V483" s="30"/>
      <c r="W483" s="30"/>
      <c r="X483" s="30"/>
      <c r="Y483" s="30"/>
      <c r="Z483" s="30"/>
      <c r="AA483" s="30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45"/>
      <c r="BU483" s="45"/>
      <c r="BV483" s="45"/>
      <c r="BW483" s="45"/>
      <c r="BX483" s="45"/>
      <c r="BY483" s="45"/>
      <c r="BZ483" s="45"/>
      <c r="CA483" s="45"/>
      <c r="CB483" s="45"/>
      <c r="CC483" s="45"/>
      <c r="CD483" s="45"/>
      <c r="CE483" s="45"/>
      <c r="CF483" s="45"/>
      <c r="CG483" s="45"/>
      <c r="CI483" s="45"/>
      <c r="CJ483" s="45"/>
      <c r="CK483" s="45"/>
    </row>
    <row r="484" spans="2:89" s="28" customFormat="1">
      <c r="B484" s="29"/>
      <c r="C484" s="29"/>
      <c r="D484" s="29"/>
      <c r="E484" s="29"/>
      <c r="F484" s="29"/>
      <c r="G484" s="32"/>
      <c r="H484" s="29"/>
      <c r="I484" s="33"/>
      <c r="J484" s="29"/>
      <c r="K484" s="29"/>
      <c r="L484" s="29"/>
      <c r="M484" s="29"/>
      <c r="N484" s="30"/>
      <c r="O484" s="30"/>
      <c r="P484" s="13"/>
      <c r="Q484" s="13"/>
      <c r="R484" s="13"/>
      <c r="S484" s="13"/>
      <c r="T484" s="13"/>
      <c r="U484" s="13"/>
      <c r="V484" s="30"/>
      <c r="W484" s="30"/>
      <c r="X484" s="30"/>
      <c r="Y484" s="30"/>
      <c r="Z484" s="30"/>
      <c r="AA484" s="30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45"/>
      <c r="BU484" s="45"/>
      <c r="BV484" s="45"/>
      <c r="BW484" s="45"/>
      <c r="BX484" s="45"/>
      <c r="BY484" s="45"/>
      <c r="BZ484" s="45"/>
      <c r="CA484" s="45"/>
      <c r="CB484" s="45"/>
      <c r="CC484" s="45"/>
      <c r="CD484" s="45"/>
      <c r="CE484" s="45"/>
      <c r="CF484" s="45"/>
      <c r="CG484" s="45"/>
      <c r="CI484" s="45"/>
      <c r="CJ484" s="45"/>
      <c r="CK484" s="45"/>
    </row>
    <row r="485" spans="2:89" s="28" customFormat="1">
      <c r="B485" s="29"/>
      <c r="C485" s="29"/>
      <c r="D485" s="29"/>
      <c r="E485" s="29"/>
      <c r="F485" s="29"/>
      <c r="G485" s="32"/>
      <c r="H485" s="29"/>
      <c r="I485" s="33"/>
      <c r="J485" s="29"/>
      <c r="K485" s="29"/>
      <c r="L485" s="29"/>
      <c r="M485" s="29"/>
      <c r="N485" s="30"/>
      <c r="O485" s="30"/>
      <c r="P485" s="13"/>
      <c r="Q485" s="13"/>
      <c r="R485" s="13"/>
      <c r="S485" s="13"/>
      <c r="T485" s="13"/>
      <c r="U485" s="13"/>
      <c r="V485" s="30"/>
      <c r="W485" s="30"/>
      <c r="X485" s="30"/>
      <c r="Y485" s="30"/>
      <c r="Z485" s="30"/>
      <c r="AA485" s="30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45"/>
      <c r="BU485" s="45"/>
      <c r="BV485" s="45"/>
      <c r="BW485" s="45"/>
      <c r="BX485" s="45"/>
      <c r="BY485" s="45"/>
      <c r="BZ485" s="45"/>
      <c r="CA485" s="45"/>
      <c r="CB485" s="45"/>
      <c r="CC485" s="45"/>
      <c r="CD485" s="45"/>
      <c r="CE485" s="45"/>
      <c r="CF485" s="45"/>
      <c r="CG485" s="45"/>
      <c r="CI485" s="45"/>
      <c r="CJ485" s="45"/>
      <c r="CK485" s="45"/>
    </row>
    <row r="486" spans="2:89" s="28" customFormat="1">
      <c r="B486" s="29"/>
      <c r="C486" s="29"/>
      <c r="D486" s="29"/>
      <c r="E486" s="29"/>
      <c r="F486" s="29"/>
      <c r="G486" s="32"/>
      <c r="H486" s="29"/>
      <c r="I486" s="33"/>
      <c r="J486" s="29"/>
      <c r="K486" s="29"/>
      <c r="L486" s="29"/>
      <c r="M486" s="29"/>
      <c r="N486" s="30"/>
      <c r="O486" s="30"/>
      <c r="P486" s="13"/>
      <c r="Q486" s="13"/>
      <c r="R486" s="13"/>
      <c r="S486" s="13"/>
      <c r="T486" s="13"/>
      <c r="U486" s="13"/>
      <c r="V486" s="30"/>
      <c r="W486" s="30"/>
      <c r="X486" s="30"/>
      <c r="Y486" s="30"/>
      <c r="Z486" s="30"/>
      <c r="AA486" s="30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45"/>
      <c r="BU486" s="45"/>
      <c r="BV486" s="45"/>
      <c r="BW486" s="45"/>
      <c r="BX486" s="45"/>
      <c r="BY486" s="45"/>
      <c r="BZ486" s="45"/>
      <c r="CA486" s="45"/>
      <c r="CB486" s="45"/>
      <c r="CC486" s="45"/>
      <c r="CD486" s="45"/>
      <c r="CE486" s="45"/>
      <c r="CF486" s="45"/>
      <c r="CG486" s="45"/>
      <c r="CI486" s="45"/>
      <c r="CJ486" s="45"/>
      <c r="CK486" s="45"/>
    </row>
    <row r="487" spans="2:89" s="28" customFormat="1">
      <c r="B487" s="29"/>
      <c r="C487" s="29"/>
      <c r="D487" s="29"/>
      <c r="E487" s="29"/>
      <c r="F487" s="29"/>
      <c r="G487" s="32"/>
      <c r="H487" s="29"/>
      <c r="I487" s="33"/>
      <c r="J487" s="29"/>
      <c r="K487" s="29"/>
      <c r="L487" s="29"/>
      <c r="M487" s="29"/>
      <c r="N487" s="30"/>
      <c r="O487" s="30"/>
      <c r="P487" s="13"/>
      <c r="Q487" s="13"/>
      <c r="R487" s="13"/>
      <c r="S487" s="13"/>
      <c r="T487" s="13"/>
      <c r="U487" s="13"/>
      <c r="V487" s="30"/>
      <c r="W487" s="30"/>
      <c r="X487" s="30"/>
      <c r="Y487" s="30"/>
      <c r="Z487" s="30"/>
      <c r="AA487" s="30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45"/>
      <c r="BU487" s="45"/>
      <c r="BV487" s="45"/>
      <c r="BW487" s="45"/>
      <c r="BX487" s="45"/>
      <c r="BY487" s="45"/>
      <c r="BZ487" s="45"/>
      <c r="CA487" s="45"/>
      <c r="CB487" s="45"/>
      <c r="CC487" s="45"/>
      <c r="CD487" s="45"/>
      <c r="CE487" s="45"/>
      <c r="CF487" s="45"/>
      <c r="CG487" s="45"/>
      <c r="CI487" s="45"/>
      <c r="CJ487" s="45"/>
      <c r="CK487" s="45"/>
    </row>
    <row r="488" spans="2:89" s="28" customFormat="1">
      <c r="B488" s="29"/>
      <c r="C488" s="29"/>
      <c r="D488" s="29"/>
      <c r="E488" s="29"/>
      <c r="F488" s="29"/>
      <c r="G488" s="32"/>
      <c r="H488" s="29"/>
      <c r="I488" s="33"/>
      <c r="J488" s="29"/>
      <c r="K488" s="29"/>
      <c r="L488" s="29"/>
      <c r="M488" s="29"/>
      <c r="N488" s="30"/>
      <c r="O488" s="30"/>
      <c r="P488" s="13"/>
      <c r="Q488" s="13"/>
      <c r="R488" s="13"/>
      <c r="S488" s="13"/>
      <c r="T488" s="13"/>
      <c r="U488" s="13"/>
      <c r="V488" s="30"/>
      <c r="W488" s="30"/>
      <c r="X488" s="30"/>
      <c r="Y488" s="30"/>
      <c r="Z488" s="30"/>
      <c r="AA488" s="30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45"/>
      <c r="BU488" s="45"/>
      <c r="BV488" s="45"/>
      <c r="BW488" s="45"/>
      <c r="BX488" s="45"/>
      <c r="BY488" s="45"/>
      <c r="BZ488" s="45"/>
      <c r="CA488" s="45"/>
      <c r="CB488" s="45"/>
      <c r="CC488" s="45"/>
      <c r="CD488" s="45"/>
      <c r="CE488" s="45"/>
      <c r="CF488" s="45"/>
      <c r="CG488" s="45"/>
      <c r="CI488" s="45"/>
      <c r="CJ488" s="45"/>
      <c r="CK488" s="45"/>
    </row>
    <row r="489" spans="2:89" s="28" customFormat="1">
      <c r="B489" s="29"/>
      <c r="C489" s="29"/>
      <c r="D489" s="29"/>
      <c r="E489" s="29"/>
      <c r="F489" s="29"/>
      <c r="G489" s="32"/>
      <c r="H489" s="29"/>
      <c r="I489" s="33"/>
      <c r="J489" s="29"/>
      <c r="K489" s="29"/>
      <c r="L489" s="29"/>
      <c r="M489" s="29"/>
      <c r="N489" s="30"/>
      <c r="O489" s="30"/>
      <c r="P489" s="13"/>
      <c r="Q489" s="13"/>
      <c r="R489" s="13"/>
      <c r="S489" s="13"/>
      <c r="T489" s="13"/>
      <c r="U489" s="13"/>
      <c r="V489" s="30"/>
      <c r="W489" s="30"/>
      <c r="X489" s="30"/>
      <c r="Y489" s="30"/>
      <c r="Z489" s="30"/>
      <c r="AA489" s="30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  <c r="CE489" s="45"/>
      <c r="CF489" s="45"/>
      <c r="CG489" s="45"/>
      <c r="CI489" s="45"/>
      <c r="CJ489" s="45"/>
      <c r="CK489" s="45"/>
    </row>
    <row r="490" spans="2:89" s="28" customFormat="1">
      <c r="B490" s="29"/>
      <c r="C490" s="29"/>
      <c r="D490" s="29"/>
      <c r="E490" s="29"/>
      <c r="F490" s="29"/>
      <c r="G490" s="32"/>
      <c r="H490" s="29"/>
      <c r="I490" s="33"/>
      <c r="J490" s="29"/>
      <c r="K490" s="29"/>
      <c r="L490" s="29"/>
      <c r="M490" s="29"/>
      <c r="N490" s="30"/>
      <c r="O490" s="30"/>
      <c r="P490" s="13"/>
      <c r="Q490" s="13"/>
      <c r="R490" s="13"/>
      <c r="S490" s="13"/>
      <c r="T490" s="13"/>
      <c r="U490" s="13"/>
      <c r="V490" s="30"/>
      <c r="W490" s="30"/>
      <c r="X490" s="30"/>
      <c r="Y490" s="30"/>
      <c r="Z490" s="30"/>
      <c r="AA490" s="30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45"/>
      <c r="BU490" s="45"/>
      <c r="BV490" s="45"/>
      <c r="BW490" s="45"/>
      <c r="BX490" s="45"/>
      <c r="BY490" s="45"/>
      <c r="BZ490" s="45"/>
      <c r="CA490" s="45"/>
      <c r="CB490" s="45"/>
      <c r="CC490" s="45"/>
      <c r="CD490" s="45"/>
      <c r="CE490" s="45"/>
      <c r="CF490" s="45"/>
      <c r="CG490" s="45"/>
      <c r="CI490" s="45"/>
      <c r="CJ490" s="45"/>
      <c r="CK490" s="45"/>
    </row>
    <row r="491" spans="2:89" s="28" customFormat="1">
      <c r="B491" s="29"/>
      <c r="C491" s="29"/>
      <c r="D491" s="29"/>
      <c r="E491" s="29"/>
      <c r="F491" s="29"/>
      <c r="G491" s="32"/>
      <c r="H491" s="29"/>
      <c r="I491" s="33"/>
      <c r="J491" s="29"/>
      <c r="K491" s="29"/>
      <c r="L491" s="29"/>
      <c r="M491" s="29"/>
      <c r="N491" s="30"/>
      <c r="O491" s="30"/>
      <c r="P491" s="13"/>
      <c r="Q491" s="13"/>
      <c r="R491" s="13"/>
      <c r="S491" s="13"/>
      <c r="T491" s="13"/>
      <c r="U491" s="13"/>
      <c r="V491" s="30"/>
      <c r="W491" s="30"/>
      <c r="X491" s="30"/>
      <c r="Y491" s="30"/>
      <c r="Z491" s="30"/>
      <c r="AA491" s="30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45"/>
      <c r="BU491" s="45"/>
      <c r="BV491" s="45"/>
      <c r="BW491" s="45"/>
      <c r="BX491" s="45"/>
      <c r="BY491" s="45"/>
      <c r="BZ491" s="45"/>
      <c r="CA491" s="45"/>
      <c r="CB491" s="45"/>
      <c r="CC491" s="45"/>
      <c r="CD491" s="45"/>
      <c r="CE491" s="45"/>
      <c r="CF491" s="45"/>
      <c r="CG491" s="45"/>
      <c r="CI491" s="45"/>
      <c r="CJ491" s="45"/>
      <c r="CK491" s="45"/>
    </row>
    <row r="492" spans="2:89" s="28" customFormat="1">
      <c r="B492" s="29"/>
      <c r="C492" s="29"/>
      <c r="D492" s="29"/>
      <c r="E492" s="29"/>
      <c r="F492" s="29"/>
      <c r="G492" s="32"/>
      <c r="H492" s="29"/>
      <c r="I492" s="33"/>
      <c r="J492" s="29"/>
      <c r="K492" s="29"/>
      <c r="L492" s="29"/>
      <c r="M492" s="29"/>
      <c r="N492" s="30"/>
      <c r="O492" s="30"/>
      <c r="P492" s="13"/>
      <c r="Q492" s="13"/>
      <c r="R492" s="13"/>
      <c r="S492" s="13"/>
      <c r="T492" s="13"/>
      <c r="U492" s="13"/>
      <c r="V492" s="30"/>
      <c r="W492" s="30"/>
      <c r="X492" s="30"/>
      <c r="Y492" s="30"/>
      <c r="Z492" s="30"/>
      <c r="AA492" s="30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  <c r="CE492" s="45"/>
      <c r="CF492" s="45"/>
      <c r="CG492" s="45"/>
      <c r="CI492" s="45"/>
      <c r="CJ492" s="45"/>
      <c r="CK492" s="45"/>
    </row>
    <row r="493" spans="2:89" s="28" customFormat="1">
      <c r="B493" s="29"/>
      <c r="C493" s="29"/>
      <c r="D493" s="29"/>
      <c r="E493" s="29"/>
      <c r="F493" s="29"/>
      <c r="G493" s="32"/>
      <c r="H493" s="29"/>
      <c r="I493" s="33"/>
      <c r="J493" s="29"/>
      <c r="K493" s="29"/>
      <c r="L493" s="29"/>
      <c r="M493" s="29"/>
      <c r="N493" s="30"/>
      <c r="O493" s="30"/>
      <c r="P493" s="13"/>
      <c r="Q493" s="13"/>
      <c r="R493" s="13"/>
      <c r="S493" s="13"/>
      <c r="T493" s="13"/>
      <c r="U493" s="13"/>
      <c r="V493" s="30"/>
      <c r="W493" s="30"/>
      <c r="X493" s="30"/>
      <c r="Y493" s="30"/>
      <c r="Z493" s="30"/>
      <c r="AA493" s="30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  <c r="CE493" s="45"/>
      <c r="CF493" s="45"/>
      <c r="CG493" s="45"/>
      <c r="CI493" s="45"/>
      <c r="CJ493" s="45"/>
      <c r="CK493" s="45"/>
    </row>
    <row r="494" spans="2:89" s="28" customFormat="1">
      <c r="B494" s="29"/>
      <c r="C494" s="29"/>
      <c r="D494" s="29"/>
      <c r="E494" s="29"/>
      <c r="F494" s="29"/>
      <c r="G494" s="32"/>
      <c r="H494" s="29"/>
      <c r="I494" s="33"/>
      <c r="J494" s="29"/>
      <c r="K494" s="29"/>
      <c r="L494" s="29"/>
      <c r="M494" s="29"/>
      <c r="N494" s="30"/>
      <c r="O494" s="30"/>
      <c r="P494" s="13"/>
      <c r="Q494" s="13"/>
      <c r="R494" s="13"/>
      <c r="S494" s="13"/>
      <c r="T494" s="13"/>
      <c r="U494" s="13"/>
      <c r="V494" s="30"/>
      <c r="W494" s="30"/>
      <c r="X494" s="30"/>
      <c r="Y494" s="30"/>
      <c r="Z494" s="30"/>
      <c r="AA494" s="30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  <c r="CE494" s="45"/>
      <c r="CF494" s="45"/>
      <c r="CG494" s="45"/>
      <c r="CI494" s="45"/>
      <c r="CJ494" s="45"/>
      <c r="CK494" s="45"/>
    </row>
    <row r="495" spans="2:89" s="28" customFormat="1">
      <c r="B495" s="29"/>
      <c r="C495" s="29"/>
      <c r="D495" s="29"/>
      <c r="E495" s="29"/>
      <c r="F495" s="29"/>
      <c r="G495" s="32"/>
      <c r="H495" s="29"/>
      <c r="I495" s="33"/>
      <c r="J495" s="29"/>
      <c r="K495" s="29"/>
      <c r="L495" s="29"/>
      <c r="M495" s="29"/>
      <c r="N495" s="30"/>
      <c r="O495" s="30"/>
      <c r="P495" s="13"/>
      <c r="Q495" s="13"/>
      <c r="R495" s="13"/>
      <c r="S495" s="13"/>
      <c r="T495" s="13"/>
      <c r="U495" s="13"/>
      <c r="V495" s="30"/>
      <c r="W495" s="30"/>
      <c r="X495" s="30"/>
      <c r="Y495" s="30"/>
      <c r="Z495" s="30"/>
      <c r="AA495" s="30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  <c r="CE495" s="45"/>
      <c r="CF495" s="45"/>
      <c r="CG495" s="45"/>
      <c r="CI495" s="45"/>
      <c r="CJ495" s="45"/>
      <c r="CK495" s="45"/>
    </row>
    <row r="496" spans="2:89" s="28" customFormat="1">
      <c r="B496" s="29"/>
      <c r="C496" s="29"/>
      <c r="D496" s="29"/>
      <c r="E496" s="29"/>
      <c r="F496" s="29"/>
      <c r="G496" s="32"/>
      <c r="H496" s="29"/>
      <c r="I496" s="33"/>
      <c r="J496" s="29"/>
      <c r="K496" s="29"/>
      <c r="L496" s="29"/>
      <c r="M496" s="29"/>
      <c r="N496" s="30"/>
      <c r="O496" s="30"/>
      <c r="P496" s="13"/>
      <c r="Q496" s="13"/>
      <c r="R496" s="13"/>
      <c r="S496" s="13"/>
      <c r="T496" s="13"/>
      <c r="U496" s="13"/>
      <c r="V496" s="30"/>
      <c r="W496" s="30"/>
      <c r="X496" s="30"/>
      <c r="Y496" s="30"/>
      <c r="Z496" s="30"/>
      <c r="AA496" s="30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  <c r="CE496" s="45"/>
      <c r="CF496" s="45"/>
      <c r="CG496" s="45"/>
      <c r="CI496" s="45"/>
      <c r="CJ496" s="45"/>
      <c r="CK496" s="45"/>
    </row>
    <row r="497" spans="2:89" s="28" customFormat="1">
      <c r="B497" s="29"/>
      <c r="C497" s="29"/>
      <c r="D497" s="29"/>
      <c r="E497" s="29"/>
      <c r="F497" s="29"/>
      <c r="G497" s="32"/>
      <c r="H497" s="29"/>
      <c r="I497" s="33"/>
      <c r="J497" s="29"/>
      <c r="K497" s="29"/>
      <c r="L497" s="29"/>
      <c r="M497" s="29"/>
      <c r="N497" s="30"/>
      <c r="O497" s="30"/>
      <c r="P497" s="13"/>
      <c r="Q497" s="13"/>
      <c r="R497" s="13"/>
      <c r="S497" s="13"/>
      <c r="T497" s="13"/>
      <c r="U497" s="13"/>
      <c r="V497" s="30"/>
      <c r="W497" s="30"/>
      <c r="X497" s="30"/>
      <c r="Y497" s="30"/>
      <c r="Z497" s="30"/>
      <c r="AA497" s="30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  <c r="CE497" s="45"/>
      <c r="CF497" s="45"/>
      <c r="CG497" s="45"/>
      <c r="CI497" s="45"/>
      <c r="CJ497" s="45"/>
      <c r="CK497" s="45"/>
    </row>
    <row r="498" spans="2:89" s="28" customFormat="1">
      <c r="B498" s="29"/>
      <c r="C498" s="29"/>
      <c r="D498" s="29"/>
      <c r="E498" s="29"/>
      <c r="F498" s="29"/>
      <c r="G498" s="32"/>
      <c r="H498" s="29"/>
      <c r="I498" s="33"/>
      <c r="J498" s="29"/>
      <c r="K498" s="29"/>
      <c r="L498" s="29"/>
      <c r="M498" s="29"/>
      <c r="N498" s="30"/>
      <c r="O498" s="30"/>
      <c r="P498" s="13"/>
      <c r="Q498" s="13"/>
      <c r="R498" s="13"/>
      <c r="S498" s="13"/>
      <c r="T498" s="13"/>
      <c r="U498" s="13"/>
      <c r="V498" s="30"/>
      <c r="W498" s="30"/>
      <c r="X498" s="30"/>
      <c r="Y498" s="30"/>
      <c r="Z498" s="30"/>
      <c r="AA498" s="30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  <c r="CE498" s="45"/>
      <c r="CF498" s="45"/>
      <c r="CG498" s="45"/>
      <c r="CI498" s="45"/>
      <c r="CJ498" s="45"/>
      <c r="CK498" s="45"/>
    </row>
    <row r="499" spans="2:89" s="28" customFormat="1">
      <c r="B499" s="29"/>
      <c r="C499" s="29"/>
      <c r="D499" s="29"/>
      <c r="E499" s="29"/>
      <c r="F499" s="29"/>
      <c r="G499" s="32"/>
      <c r="H499" s="29"/>
      <c r="I499" s="33"/>
      <c r="J499" s="29"/>
      <c r="K499" s="29"/>
      <c r="L499" s="29"/>
      <c r="M499" s="29"/>
      <c r="N499" s="30"/>
      <c r="O499" s="30"/>
      <c r="P499" s="13"/>
      <c r="Q499" s="13"/>
      <c r="R499" s="13"/>
      <c r="S499" s="13"/>
      <c r="T499" s="13"/>
      <c r="U499" s="13"/>
      <c r="V499" s="30"/>
      <c r="W499" s="30"/>
      <c r="X499" s="30"/>
      <c r="Y499" s="30"/>
      <c r="Z499" s="30"/>
      <c r="AA499" s="30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  <c r="CE499" s="45"/>
      <c r="CF499" s="45"/>
      <c r="CG499" s="45"/>
      <c r="CI499" s="45"/>
      <c r="CJ499" s="45"/>
      <c r="CK499" s="45"/>
    </row>
    <row r="500" spans="2:89" s="28" customFormat="1">
      <c r="B500" s="29"/>
      <c r="C500" s="29"/>
      <c r="D500" s="29"/>
      <c r="E500" s="29"/>
      <c r="F500" s="29"/>
      <c r="G500" s="32"/>
      <c r="H500" s="29"/>
      <c r="I500" s="33"/>
      <c r="J500" s="29"/>
      <c r="K500" s="29"/>
      <c r="L500" s="29"/>
      <c r="M500" s="29"/>
      <c r="N500" s="30"/>
      <c r="O500" s="30"/>
      <c r="P500" s="13"/>
      <c r="Q500" s="13"/>
      <c r="R500" s="13"/>
      <c r="S500" s="13"/>
      <c r="T500" s="13"/>
      <c r="U500" s="13"/>
      <c r="V500" s="30"/>
      <c r="W500" s="30"/>
      <c r="X500" s="30"/>
      <c r="Y500" s="30"/>
      <c r="Z500" s="30"/>
      <c r="AA500" s="30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  <c r="CE500" s="45"/>
      <c r="CF500" s="45"/>
      <c r="CG500" s="45"/>
      <c r="CI500" s="45"/>
      <c r="CJ500" s="45"/>
      <c r="CK500" s="45"/>
    </row>
    <row r="501" spans="2:89" s="28" customFormat="1">
      <c r="B501" s="29"/>
      <c r="C501" s="29"/>
      <c r="D501" s="29"/>
      <c r="E501" s="29"/>
      <c r="F501" s="29"/>
      <c r="G501" s="32"/>
      <c r="H501" s="29"/>
      <c r="I501" s="33"/>
      <c r="J501" s="29"/>
      <c r="K501" s="29"/>
      <c r="L501" s="29"/>
      <c r="M501" s="29"/>
      <c r="N501" s="30"/>
      <c r="O501" s="30"/>
      <c r="P501" s="13"/>
      <c r="Q501" s="13"/>
      <c r="R501" s="13"/>
      <c r="S501" s="13"/>
      <c r="T501" s="13"/>
      <c r="U501" s="13"/>
      <c r="V501" s="30"/>
      <c r="W501" s="30"/>
      <c r="X501" s="30"/>
      <c r="Y501" s="30"/>
      <c r="Z501" s="30"/>
      <c r="AA501" s="30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  <c r="CE501" s="45"/>
      <c r="CF501" s="45"/>
      <c r="CG501" s="45"/>
      <c r="CI501" s="45"/>
      <c r="CJ501" s="45"/>
      <c r="CK501" s="45"/>
    </row>
    <row r="502" spans="2:89" s="28" customFormat="1">
      <c r="B502" s="29"/>
      <c r="C502" s="29"/>
      <c r="D502" s="29"/>
      <c r="E502" s="29"/>
      <c r="F502" s="29"/>
      <c r="G502" s="32"/>
      <c r="H502" s="29"/>
      <c r="I502" s="33"/>
      <c r="J502" s="29"/>
      <c r="K502" s="29"/>
      <c r="L502" s="29"/>
      <c r="M502" s="29"/>
      <c r="N502" s="30"/>
      <c r="O502" s="30"/>
      <c r="P502" s="13"/>
      <c r="Q502" s="13"/>
      <c r="R502" s="13"/>
      <c r="S502" s="13"/>
      <c r="T502" s="13"/>
      <c r="U502" s="13"/>
      <c r="V502" s="30"/>
      <c r="W502" s="30"/>
      <c r="X502" s="30"/>
      <c r="Y502" s="30"/>
      <c r="Z502" s="30"/>
      <c r="AA502" s="30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  <c r="CE502" s="45"/>
      <c r="CF502" s="45"/>
      <c r="CG502" s="45"/>
      <c r="CI502" s="45"/>
      <c r="CJ502" s="45"/>
      <c r="CK502" s="45"/>
    </row>
    <row r="503" spans="2:89" s="28" customFormat="1">
      <c r="B503" s="29"/>
      <c r="C503" s="29"/>
      <c r="D503" s="29"/>
      <c r="E503" s="29"/>
      <c r="F503" s="29"/>
      <c r="G503" s="32"/>
      <c r="H503" s="29"/>
      <c r="I503" s="33"/>
      <c r="J503" s="29"/>
      <c r="K503" s="29"/>
      <c r="L503" s="29"/>
      <c r="M503" s="29"/>
      <c r="N503" s="30"/>
      <c r="O503" s="30"/>
      <c r="P503" s="13"/>
      <c r="Q503" s="13"/>
      <c r="R503" s="13"/>
      <c r="S503" s="13"/>
      <c r="T503" s="13"/>
      <c r="U503" s="13"/>
      <c r="V503" s="30"/>
      <c r="W503" s="30"/>
      <c r="X503" s="30"/>
      <c r="Y503" s="30"/>
      <c r="Z503" s="30"/>
      <c r="AA503" s="30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  <c r="CE503" s="45"/>
      <c r="CF503" s="45"/>
      <c r="CG503" s="45"/>
      <c r="CI503" s="45"/>
      <c r="CJ503" s="45"/>
      <c r="CK503" s="45"/>
    </row>
    <row r="504" spans="2:89" s="28" customFormat="1">
      <c r="B504" s="29"/>
      <c r="C504" s="29"/>
      <c r="D504" s="29"/>
      <c r="E504" s="29"/>
      <c r="F504" s="29"/>
      <c r="G504" s="32"/>
      <c r="H504" s="29"/>
      <c r="I504" s="33"/>
      <c r="J504" s="29"/>
      <c r="K504" s="29"/>
      <c r="L504" s="29"/>
      <c r="M504" s="29"/>
      <c r="N504" s="30"/>
      <c r="O504" s="30"/>
      <c r="P504" s="13"/>
      <c r="Q504" s="13"/>
      <c r="R504" s="13"/>
      <c r="S504" s="13"/>
      <c r="T504" s="13"/>
      <c r="U504" s="13"/>
      <c r="V504" s="30"/>
      <c r="W504" s="30"/>
      <c r="X504" s="30"/>
      <c r="Y504" s="30"/>
      <c r="Z504" s="30"/>
      <c r="AA504" s="30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  <c r="CE504" s="45"/>
      <c r="CF504" s="45"/>
      <c r="CG504" s="45"/>
      <c r="CI504" s="45"/>
      <c r="CJ504" s="45"/>
      <c r="CK504" s="45"/>
    </row>
    <row r="505" spans="2:89" s="28" customFormat="1">
      <c r="B505" s="29"/>
      <c r="C505" s="29"/>
      <c r="D505" s="29"/>
      <c r="E505" s="29"/>
      <c r="F505" s="29"/>
      <c r="G505" s="32"/>
      <c r="H505" s="29"/>
      <c r="I505" s="33"/>
      <c r="J505" s="29"/>
      <c r="K505" s="29"/>
      <c r="L505" s="29"/>
      <c r="M505" s="29"/>
      <c r="N505" s="30"/>
      <c r="O505" s="30"/>
      <c r="P505" s="13"/>
      <c r="Q505" s="13"/>
      <c r="R505" s="13"/>
      <c r="S505" s="13"/>
      <c r="T505" s="13"/>
      <c r="U505" s="13"/>
      <c r="V505" s="30"/>
      <c r="W505" s="30"/>
      <c r="X505" s="30"/>
      <c r="Y505" s="30"/>
      <c r="Z505" s="30"/>
      <c r="AA505" s="30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  <c r="CE505" s="45"/>
      <c r="CF505" s="45"/>
      <c r="CG505" s="45"/>
      <c r="CI505" s="45"/>
      <c r="CJ505" s="45"/>
      <c r="CK505" s="45"/>
    </row>
    <row r="506" spans="2:89" s="28" customFormat="1">
      <c r="B506" s="29"/>
      <c r="C506" s="29"/>
      <c r="D506" s="29"/>
      <c r="E506" s="29"/>
      <c r="F506" s="29"/>
      <c r="G506" s="32"/>
      <c r="H506" s="29"/>
      <c r="I506" s="33"/>
      <c r="J506" s="29"/>
      <c r="K506" s="29"/>
      <c r="L506" s="29"/>
      <c r="M506" s="29"/>
      <c r="N506" s="30"/>
      <c r="O506" s="30"/>
      <c r="P506" s="13"/>
      <c r="Q506" s="13"/>
      <c r="R506" s="13"/>
      <c r="S506" s="13"/>
      <c r="T506" s="13"/>
      <c r="U506" s="13"/>
      <c r="V506" s="30"/>
      <c r="W506" s="30"/>
      <c r="X506" s="30"/>
      <c r="Y506" s="30"/>
      <c r="Z506" s="30"/>
      <c r="AA506" s="30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  <c r="CE506" s="45"/>
      <c r="CF506" s="45"/>
      <c r="CG506" s="45"/>
      <c r="CI506" s="45"/>
      <c r="CJ506" s="45"/>
      <c r="CK506" s="45"/>
    </row>
    <row r="507" spans="2:89" s="28" customFormat="1">
      <c r="B507" s="29"/>
      <c r="C507" s="29"/>
      <c r="D507" s="29"/>
      <c r="E507" s="29"/>
      <c r="F507" s="29"/>
      <c r="G507" s="32"/>
      <c r="H507" s="29"/>
      <c r="I507" s="33"/>
      <c r="J507" s="29"/>
      <c r="K507" s="29"/>
      <c r="L507" s="29"/>
      <c r="M507" s="29"/>
      <c r="N507" s="30"/>
      <c r="O507" s="30"/>
      <c r="P507" s="13"/>
      <c r="Q507" s="13"/>
      <c r="R507" s="13"/>
      <c r="S507" s="13"/>
      <c r="T507" s="13"/>
      <c r="U507" s="13"/>
      <c r="V507" s="30"/>
      <c r="W507" s="30"/>
      <c r="X507" s="30"/>
      <c r="Y507" s="30"/>
      <c r="Z507" s="30"/>
      <c r="AA507" s="30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  <c r="CE507" s="45"/>
      <c r="CF507" s="45"/>
      <c r="CG507" s="45"/>
      <c r="CI507" s="45"/>
      <c r="CJ507" s="45"/>
      <c r="CK507" s="45"/>
    </row>
    <row r="508" spans="2:89" s="28" customFormat="1">
      <c r="B508" s="29"/>
      <c r="C508" s="29"/>
      <c r="D508" s="29"/>
      <c r="E508" s="29"/>
      <c r="F508" s="29"/>
      <c r="G508" s="32"/>
      <c r="H508" s="29"/>
      <c r="I508" s="33"/>
      <c r="J508" s="29"/>
      <c r="K508" s="29"/>
      <c r="L508" s="29"/>
      <c r="M508" s="29"/>
      <c r="N508" s="30"/>
      <c r="O508" s="30"/>
      <c r="P508" s="13"/>
      <c r="Q508" s="13"/>
      <c r="R508" s="13"/>
      <c r="S508" s="13"/>
      <c r="T508" s="13"/>
      <c r="U508" s="13"/>
      <c r="V508" s="30"/>
      <c r="W508" s="30"/>
      <c r="X508" s="30"/>
      <c r="Y508" s="30"/>
      <c r="Z508" s="30"/>
      <c r="AA508" s="30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  <c r="CE508" s="45"/>
      <c r="CF508" s="45"/>
      <c r="CG508" s="45"/>
      <c r="CI508" s="45"/>
      <c r="CJ508" s="45"/>
      <c r="CK508" s="45"/>
    </row>
    <row r="509" spans="2:89" s="28" customFormat="1">
      <c r="B509" s="29"/>
      <c r="C509" s="29"/>
      <c r="D509" s="29"/>
      <c r="E509" s="29"/>
      <c r="F509" s="29"/>
      <c r="G509" s="32"/>
      <c r="H509" s="29"/>
      <c r="I509" s="33"/>
      <c r="J509" s="29"/>
      <c r="K509" s="29"/>
      <c r="L509" s="29"/>
      <c r="M509" s="29"/>
      <c r="N509" s="30"/>
      <c r="O509" s="30"/>
      <c r="P509" s="13"/>
      <c r="Q509" s="13"/>
      <c r="R509" s="13"/>
      <c r="S509" s="13"/>
      <c r="T509" s="13"/>
      <c r="U509" s="13"/>
      <c r="V509" s="30"/>
      <c r="W509" s="30"/>
      <c r="X509" s="30"/>
      <c r="Y509" s="30"/>
      <c r="Z509" s="30"/>
      <c r="AA509" s="30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  <c r="CE509" s="45"/>
      <c r="CF509" s="45"/>
      <c r="CG509" s="45"/>
      <c r="CI509" s="45"/>
      <c r="CJ509" s="45"/>
      <c r="CK509" s="45"/>
    </row>
    <row r="510" spans="2:89" s="28" customFormat="1">
      <c r="B510" s="29"/>
      <c r="C510" s="29"/>
      <c r="D510" s="29"/>
      <c r="E510" s="29"/>
      <c r="F510" s="29"/>
      <c r="G510" s="32"/>
      <c r="H510" s="29"/>
      <c r="I510" s="33"/>
      <c r="J510" s="29"/>
      <c r="K510" s="29"/>
      <c r="L510" s="29"/>
      <c r="M510" s="29"/>
      <c r="N510" s="30"/>
      <c r="O510" s="30"/>
      <c r="P510" s="13"/>
      <c r="Q510" s="13"/>
      <c r="R510" s="13"/>
      <c r="S510" s="13"/>
      <c r="T510" s="13"/>
      <c r="U510" s="13"/>
      <c r="V510" s="30"/>
      <c r="W510" s="30"/>
      <c r="X510" s="30"/>
      <c r="Y510" s="30"/>
      <c r="Z510" s="30"/>
      <c r="AA510" s="30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  <c r="CE510" s="45"/>
      <c r="CF510" s="45"/>
      <c r="CG510" s="45"/>
      <c r="CI510" s="45"/>
      <c r="CJ510" s="45"/>
      <c r="CK510" s="45"/>
    </row>
    <row r="511" spans="2:89" s="28" customFormat="1">
      <c r="B511" s="29"/>
      <c r="C511" s="29"/>
      <c r="D511" s="29"/>
      <c r="E511" s="29"/>
      <c r="F511" s="29"/>
      <c r="G511" s="32"/>
      <c r="H511" s="29"/>
      <c r="I511" s="33"/>
      <c r="J511" s="29"/>
      <c r="K511" s="29"/>
      <c r="L511" s="29"/>
      <c r="M511" s="29"/>
      <c r="N511" s="30"/>
      <c r="O511" s="30"/>
      <c r="P511" s="13"/>
      <c r="Q511" s="13"/>
      <c r="R511" s="13"/>
      <c r="S511" s="13"/>
      <c r="T511" s="13"/>
      <c r="U511" s="13"/>
      <c r="V511" s="30"/>
      <c r="W511" s="30"/>
      <c r="X511" s="30"/>
      <c r="Y511" s="30"/>
      <c r="Z511" s="30"/>
      <c r="AA511" s="30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  <c r="CE511" s="45"/>
      <c r="CF511" s="45"/>
      <c r="CG511" s="45"/>
      <c r="CI511" s="45"/>
      <c r="CJ511" s="45"/>
      <c r="CK511" s="45"/>
    </row>
    <row r="512" spans="2:89" s="28" customFormat="1">
      <c r="B512" s="29"/>
      <c r="C512" s="29"/>
      <c r="D512" s="29"/>
      <c r="E512" s="29"/>
      <c r="F512" s="29"/>
      <c r="G512" s="32"/>
      <c r="H512" s="29"/>
      <c r="I512" s="33"/>
      <c r="J512" s="29"/>
      <c r="K512" s="29"/>
      <c r="L512" s="29"/>
      <c r="M512" s="29"/>
      <c r="N512" s="30"/>
      <c r="O512" s="30"/>
      <c r="P512" s="13"/>
      <c r="Q512" s="13"/>
      <c r="R512" s="13"/>
      <c r="S512" s="13"/>
      <c r="T512" s="13"/>
      <c r="U512" s="13"/>
      <c r="V512" s="30"/>
      <c r="W512" s="30"/>
      <c r="X512" s="30"/>
      <c r="Y512" s="30"/>
      <c r="Z512" s="30"/>
      <c r="AA512" s="30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  <c r="CE512" s="45"/>
      <c r="CF512" s="45"/>
      <c r="CG512" s="45"/>
      <c r="CI512" s="45"/>
      <c r="CJ512" s="45"/>
      <c r="CK512" s="45"/>
    </row>
    <row r="513" spans="2:89" s="28" customFormat="1">
      <c r="B513" s="29"/>
      <c r="C513" s="29"/>
      <c r="D513" s="29"/>
      <c r="E513" s="29"/>
      <c r="F513" s="29"/>
      <c r="G513" s="32"/>
      <c r="H513" s="29"/>
      <c r="I513" s="33"/>
      <c r="J513" s="29"/>
      <c r="K513" s="29"/>
      <c r="L513" s="29"/>
      <c r="M513" s="29"/>
      <c r="N513" s="30"/>
      <c r="O513" s="30"/>
      <c r="P513" s="13"/>
      <c r="Q513" s="13"/>
      <c r="R513" s="13"/>
      <c r="S513" s="13"/>
      <c r="T513" s="13"/>
      <c r="U513" s="13"/>
      <c r="V513" s="30"/>
      <c r="W513" s="30"/>
      <c r="X513" s="30"/>
      <c r="Y513" s="30"/>
      <c r="Z513" s="30"/>
      <c r="AA513" s="30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  <c r="CE513" s="45"/>
      <c r="CF513" s="45"/>
      <c r="CG513" s="45"/>
      <c r="CI513" s="45"/>
      <c r="CJ513" s="45"/>
      <c r="CK513" s="45"/>
    </row>
    <row r="514" spans="2:89" s="28" customFormat="1">
      <c r="B514" s="29"/>
      <c r="C514" s="29"/>
      <c r="D514" s="29"/>
      <c r="E514" s="29"/>
      <c r="F514" s="29"/>
      <c r="G514" s="32"/>
      <c r="H514" s="29"/>
      <c r="I514" s="33"/>
      <c r="J514" s="29"/>
      <c r="K514" s="29"/>
      <c r="L514" s="29"/>
      <c r="M514" s="29"/>
      <c r="N514" s="30"/>
      <c r="O514" s="30"/>
      <c r="P514" s="13"/>
      <c r="Q514" s="13"/>
      <c r="R514" s="13"/>
      <c r="S514" s="13"/>
      <c r="T514" s="13"/>
      <c r="U514" s="13"/>
      <c r="V514" s="30"/>
      <c r="W514" s="30"/>
      <c r="X514" s="30"/>
      <c r="Y514" s="30"/>
      <c r="Z514" s="30"/>
      <c r="AA514" s="30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  <c r="CE514" s="45"/>
      <c r="CF514" s="45"/>
      <c r="CG514" s="45"/>
      <c r="CI514" s="45"/>
      <c r="CJ514" s="45"/>
      <c r="CK514" s="45"/>
    </row>
    <row r="515" spans="2:89" s="28" customFormat="1">
      <c r="B515" s="29"/>
      <c r="C515" s="29"/>
      <c r="D515" s="29"/>
      <c r="E515" s="29"/>
      <c r="F515" s="29"/>
      <c r="G515" s="32"/>
      <c r="H515" s="29"/>
      <c r="I515" s="33"/>
      <c r="J515" s="29"/>
      <c r="K515" s="29"/>
      <c r="L515" s="29"/>
      <c r="M515" s="29"/>
      <c r="N515" s="30"/>
      <c r="O515" s="30"/>
      <c r="P515" s="13"/>
      <c r="Q515" s="13"/>
      <c r="R515" s="13"/>
      <c r="S515" s="13"/>
      <c r="T515" s="13"/>
      <c r="U515" s="13"/>
      <c r="V515" s="30"/>
      <c r="W515" s="30"/>
      <c r="X515" s="30"/>
      <c r="Y515" s="30"/>
      <c r="Z515" s="30"/>
      <c r="AA515" s="30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  <c r="CE515" s="45"/>
      <c r="CF515" s="45"/>
      <c r="CG515" s="45"/>
      <c r="CI515" s="45"/>
      <c r="CJ515" s="45"/>
      <c r="CK515" s="45"/>
    </row>
    <row r="516" spans="2:89" s="28" customFormat="1">
      <c r="B516" s="29"/>
      <c r="C516" s="29"/>
      <c r="D516" s="29"/>
      <c r="E516" s="29"/>
      <c r="F516" s="29"/>
      <c r="G516" s="32"/>
      <c r="H516" s="29"/>
      <c r="I516" s="33"/>
      <c r="J516" s="29"/>
      <c r="K516" s="29"/>
      <c r="L516" s="29"/>
      <c r="M516" s="29"/>
      <c r="N516" s="30"/>
      <c r="O516" s="30"/>
      <c r="P516" s="13"/>
      <c r="Q516" s="13"/>
      <c r="R516" s="13"/>
      <c r="S516" s="13"/>
      <c r="T516" s="13"/>
      <c r="U516" s="13"/>
      <c r="V516" s="30"/>
      <c r="W516" s="30"/>
      <c r="X516" s="30"/>
      <c r="Y516" s="30"/>
      <c r="Z516" s="30"/>
      <c r="AA516" s="30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  <c r="CE516" s="45"/>
      <c r="CF516" s="45"/>
      <c r="CG516" s="45"/>
      <c r="CI516" s="45"/>
      <c r="CJ516" s="45"/>
      <c r="CK516" s="45"/>
    </row>
    <row r="517" spans="2:89" s="28" customFormat="1">
      <c r="B517" s="29"/>
      <c r="C517" s="29"/>
      <c r="D517" s="29"/>
      <c r="E517" s="29"/>
      <c r="F517" s="29"/>
      <c r="G517" s="32"/>
      <c r="H517" s="29"/>
      <c r="I517" s="33"/>
      <c r="J517" s="29"/>
      <c r="K517" s="29"/>
      <c r="L517" s="29"/>
      <c r="M517" s="29"/>
      <c r="N517" s="30"/>
      <c r="O517" s="30"/>
      <c r="P517" s="13"/>
      <c r="Q517" s="13"/>
      <c r="R517" s="13"/>
      <c r="S517" s="13"/>
      <c r="T517" s="13"/>
      <c r="U517" s="13"/>
      <c r="V517" s="30"/>
      <c r="W517" s="30"/>
      <c r="X517" s="30"/>
      <c r="Y517" s="30"/>
      <c r="Z517" s="30"/>
      <c r="AA517" s="30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  <c r="CE517" s="45"/>
      <c r="CF517" s="45"/>
      <c r="CG517" s="45"/>
      <c r="CI517" s="45"/>
      <c r="CJ517" s="45"/>
      <c r="CK517" s="45"/>
    </row>
    <row r="518" spans="2:89" s="28" customFormat="1">
      <c r="B518" s="29"/>
      <c r="C518" s="29"/>
      <c r="D518" s="29"/>
      <c r="E518" s="29"/>
      <c r="F518" s="29"/>
      <c r="G518" s="32"/>
      <c r="H518" s="29"/>
      <c r="I518" s="33"/>
      <c r="J518" s="29"/>
      <c r="K518" s="29"/>
      <c r="L518" s="29"/>
      <c r="M518" s="29"/>
      <c r="N518" s="30"/>
      <c r="O518" s="30"/>
      <c r="P518" s="13"/>
      <c r="Q518" s="13"/>
      <c r="R518" s="13"/>
      <c r="S518" s="13"/>
      <c r="T518" s="13"/>
      <c r="U518" s="13"/>
      <c r="V518" s="30"/>
      <c r="W518" s="30"/>
      <c r="X518" s="30"/>
      <c r="Y518" s="30"/>
      <c r="Z518" s="30"/>
      <c r="AA518" s="30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  <c r="CE518" s="45"/>
      <c r="CF518" s="45"/>
      <c r="CG518" s="45"/>
      <c r="CI518" s="45"/>
      <c r="CJ518" s="45"/>
      <c r="CK518" s="45"/>
    </row>
    <row r="519" spans="2:89" s="28" customFormat="1">
      <c r="B519" s="29"/>
      <c r="C519" s="29"/>
      <c r="D519" s="29"/>
      <c r="E519" s="29"/>
      <c r="F519" s="29"/>
      <c r="G519" s="32"/>
      <c r="H519" s="29"/>
      <c r="I519" s="33"/>
      <c r="J519" s="29"/>
      <c r="K519" s="29"/>
      <c r="L519" s="29"/>
      <c r="M519" s="29"/>
      <c r="N519" s="30"/>
      <c r="O519" s="30"/>
      <c r="P519" s="13"/>
      <c r="Q519" s="13"/>
      <c r="R519" s="13"/>
      <c r="S519" s="13"/>
      <c r="T519" s="13"/>
      <c r="U519" s="13"/>
      <c r="V519" s="30"/>
      <c r="W519" s="30"/>
      <c r="X519" s="30"/>
      <c r="Y519" s="30"/>
      <c r="Z519" s="30"/>
      <c r="AA519" s="30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  <c r="CE519" s="45"/>
      <c r="CF519" s="45"/>
      <c r="CG519" s="45"/>
      <c r="CI519" s="45"/>
      <c r="CJ519" s="45"/>
      <c r="CK519" s="45"/>
    </row>
    <row r="520" spans="2:89" s="28" customFormat="1">
      <c r="B520" s="29"/>
      <c r="C520" s="29"/>
      <c r="D520" s="29"/>
      <c r="E520" s="29"/>
      <c r="F520" s="29"/>
      <c r="G520" s="32"/>
      <c r="H520" s="29"/>
      <c r="I520" s="33"/>
      <c r="J520" s="29"/>
      <c r="K520" s="29"/>
      <c r="L520" s="29"/>
      <c r="M520" s="29"/>
      <c r="N520" s="30"/>
      <c r="O520" s="30"/>
      <c r="P520" s="13"/>
      <c r="Q520" s="13"/>
      <c r="R520" s="13"/>
      <c r="S520" s="13"/>
      <c r="T520" s="13"/>
      <c r="U520" s="13"/>
      <c r="V520" s="30"/>
      <c r="W520" s="30"/>
      <c r="X520" s="30"/>
      <c r="Y520" s="30"/>
      <c r="Z520" s="30"/>
      <c r="AA520" s="30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  <c r="CF520" s="45"/>
      <c r="CG520" s="45"/>
      <c r="CI520" s="45"/>
      <c r="CJ520" s="45"/>
      <c r="CK520" s="45"/>
    </row>
    <row r="521" spans="2:89" s="28" customFormat="1">
      <c r="B521" s="29"/>
      <c r="C521" s="29"/>
      <c r="D521" s="29"/>
      <c r="E521" s="29"/>
      <c r="F521" s="29"/>
      <c r="G521" s="32"/>
      <c r="H521" s="29"/>
      <c r="I521" s="33"/>
      <c r="J521" s="29"/>
      <c r="K521" s="29"/>
      <c r="L521" s="29"/>
      <c r="M521" s="29"/>
      <c r="N521" s="30"/>
      <c r="O521" s="30"/>
      <c r="P521" s="13"/>
      <c r="Q521" s="13"/>
      <c r="R521" s="13"/>
      <c r="S521" s="13"/>
      <c r="T521" s="13"/>
      <c r="U521" s="13"/>
      <c r="V521" s="30"/>
      <c r="W521" s="30"/>
      <c r="X521" s="30"/>
      <c r="Y521" s="30"/>
      <c r="Z521" s="30"/>
      <c r="AA521" s="30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  <c r="CE521" s="45"/>
      <c r="CF521" s="45"/>
      <c r="CG521" s="45"/>
      <c r="CI521" s="45"/>
      <c r="CJ521" s="45"/>
      <c r="CK521" s="45"/>
    </row>
    <row r="522" spans="2:89" s="28" customFormat="1">
      <c r="B522" s="29"/>
      <c r="C522" s="29"/>
      <c r="D522" s="29"/>
      <c r="E522" s="29"/>
      <c r="F522" s="29"/>
      <c r="G522" s="32"/>
      <c r="H522" s="29"/>
      <c r="I522" s="33"/>
      <c r="J522" s="29"/>
      <c r="K522" s="29"/>
      <c r="L522" s="29"/>
      <c r="M522" s="29"/>
      <c r="N522" s="30"/>
      <c r="O522" s="30"/>
      <c r="P522" s="13"/>
      <c r="Q522" s="13"/>
      <c r="R522" s="13"/>
      <c r="S522" s="13"/>
      <c r="T522" s="13"/>
      <c r="U522" s="13"/>
      <c r="V522" s="30"/>
      <c r="W522" s="30"/>
      <c r="X522" s="30"/>
      <c r="Y522" s="30"/>
      <c r="Z522" s="30"/>
      <c r="AA522" s="30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  <c r="CE522" s="45"/>
      <c r="CF522" s="45"/>
      <c r="CG522" s="45"/>
      <c r="CI522" s="45"/>
      <c r="CJ522" s="45"/>
      <c r="CK522" s="45"/>
    </row>
    <row r="523" spans="2:89" s="28" customFormat="1">
      <c r="B523" s="29"/>
      <c r="C523" s="29"/>
      <c r="D523" s="29"/>
      <c r="E523" s="29"/>
      <c r="F523" s="29"/>
      <c r="G523" s="32"/>
      <c r="H523" s="29"/>
      <c r="I523" s="33"/>
      <c r="J523" s="29"/>
      <c r="K523" s="29"/>
      <c r="L523" s="29"/>
      <c r="M523" s="29"/>
      <c r="N523" s="30"/>
      <c r="O523" s="30"/>
      <c r="P523" s="13"/>
      <c r="Q523" s="13"/>
      <c r="R523" s="13"/>
      <c r="S523" s="13"/>
      <c r="T523" s="13"/>
      <c r="U523" s="13"/>
      <c r="V523" s="30"/>
      <c r="W523" s="30"/>
      <c r="X523" s="30"/>
      <c r="Y523" s="30"/>
      <c r="Z523" s="30"/>
      <c r="AA523" s="30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  <c r="CE523" s="45"/>
      <c r="CF523" s="45"/>
      <c r="CG523" s="45"/>
      <c r="CI523" s="45"/>
      <c r="CJ523" s="45"/>
      <c r="CK523" s="45"/>
    </row>
    <row r="524" spans="2:89" s="28" customFormat="1">
      <c r="B524" s="29"/>
      <c r="C524" s="29"/>
      <c r="D524" s="29"/>
      <c r="E524" s="29"/>
      <c r="F524" s="29"/>
      <c r="G524" s="32"/>
      <c r="H524" s="29"/>
      <c r="I524" s="33"/>
      <c r="J524" s="29"/>
      <c r="K524" s="29"/>
      <c r="L524" s="29"/>
      <c r="M524" s="29"/>
      <c r="N524" s="30"/>
      <c r="O524" s="30"/>
      <c r="P524" s="13"/>
      <c r="Q524" s="13"/>
      <c r="R524" s="13"/>
      <c r="S524" s="13"/>
      <c r="T524" s="13"/>
      <c r="U524" s="13"/>
      <c r="V524" s="30"/>
      <c r="W524" s="30"/>
      <c r="X524" s="30"/>
      <c r="Y524" s="30"/>
      <c r="Z524" s="30"/>
      <c r="AA524" s="30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  <c r="CE524" s="45"/>
      <c r="CF524" s="45"/>
      <c r="CG524" s="45"/>
      <c r="CI524" s="45"/>
      <c r="CJ524" s="45"/>
      <c r="CK524" s="45"/>
    </row>
    <row r="525" spans="2:89" s="28" customFormat="1">
      <c r="B525" s="29"/>
      <c r="C525" s="29"/>
      <c r="D525" s="29"/>
      <c r="E525" s="29"/>
      <c r="F525" s="29"/>
      <c r="G525" s="32"/>
      <c r="H525" s="29"/>
      <c r="I525" s="33"/>
      <c r="J525" s="29"/>
      <c r="K525" s="29"/>
      <c r="L525" s="29"/>
      <c r="M525" s="29"/>
      <c r="N525" s="30"/>
      <c r="O525" s="30"/>
      <c r="P525" s="13"/>
      <c r="Q525" s="13"/>
      <c r="R525" s="13"/>
      <c r="S525" s="13"/>
      <c r="T525" s="13"/>
      <c r="U525" s="13"/>
      <c r="V525" s="30"/>
      <c r="W525" s="30"/>
      <c r="X525" s="30"/>
      <c r="Y525" s="30"/>
      <c r="Z525" s="30"/>
      <c r="AA525" s="30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  <c r="CE525" s="45"/>
      <c r="CF525" s="45"/>
      <c r="CG525" s="45"/>
      <c r="CI525" s="45"/>
      <c r="CJ525" s="45"/>
      <c r="CK525" s="45"/>
    </row>
    <row r="526" spans="2:89" s="28" customFormat="1">
      <c r="B526" s="29"/>
      <c r="C526" s="29"/>
      <c r="D526" s="29"/>
      <c r="E526" s="29"/>
      <c r="F526" s="29"/>
      <c r="G526" s="32"/>
      <c r="H526" s="29"/>
      <c r="I526" s="33"/>
      <c r="J526" s="29"/>
      <c r="K526" s="29"/>
      <c r="L526" s="29"/>
      <c r="M526" s="29"/>
      <c r="N526" s="30"/>
      <c r="O526" s="30"/>
      <c r="P526" s="13"/>
      <c r="Q526" s="13"/>
      <c r="R526" s="13"/>
      <c r="S526" s="13"/>
      <c r="T526" s="13"/>
      <c r="U526" s="13"/>
      <c r="V526" s="30"/>
      <c r="W526" s="30"/>
      <c r="X526" s="30"/>
      <c r="Y526" s="30"/>
      <c r="Z526" s="30"/>
      <c r="AA526" s="30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  <c r="CE526" s="45"/>
      <c r="CF526" s="45"/>
      <c r="CG526" s="45"/>
      <c r="CI526" s="45"/>
      <c r="CJ526" s="45"/>
      <c r="CK526" s="45"/>
    </row>
    <row r="527" spans="2:89" s="28" customFormat="1">
      <c r="B527" s="29"/>
      <c r="C527" s="29"/>
      <c r="D527" s="29"/>
      <c r="E527" s="29"/>
      <c r="F527" s="29"/>
      <c r="G527" s="32"/>
      <c r="H527" s="29"/>
      <c r="I527" s="33"/>
      <c r="J527" s="29"/>
      <c r="K527" s="29"/>
      <c r="L527" s="29"/>
      <c r="M527" s="29"/>
      <c r="N527" s="30"/>
      <c r="O527" s="30"/>
      <c r="P527" s="13"/>
      <c r="Q527" s="13"/>
      <c r="R527" s="13"/>
      <c r="S527" s="13"/>
      <c r="T527" s="13"/>
      <c r="U527" s="13"/>
      <c r="V527" s="30"/>
      <c r="W527" s="30"/>
      <c r="X527" s="30"/>
      <c r="Y527" s="30"/>
      <c r="Z527" s="30"/>
      <c r="AA527" s="30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  <c r="CE527" s="45"/>
      <c r="CF527" s="45"/>
      <c r="CG527" s="45"/>
      <c r="CI527" s="45"/>
      <c r="CJ527" s="45"/>
      <c r="CK527" s="45"/>
    </row>
    <row r="528" spans="2:89" s="28" customFormat="1">
      <c r="B528" s="29"/>
      <c r="C528" s="29"/>
      <c r="D528" s="29"/>
      <c r="E528" s="29"/>
      <c r="F528" s="29"/>
      <c r="G528" s="32"/>
      <c r="H528" s="29"/>
      <c r="I528" s="33"/>
      <c r="J528" s="29"/>
      <c r="K528" s="29"/>
      <c r="L528" s="29"/>
      <c r="M528" s="29"/>
      <c r="N528" s="30"/>
      <c r="O528" s="30"/>
      <c r="P528" s="13"/>
      <c r="Q528" s="13"/>
      <c r="R528" s="13"/>
      <c r="S528" s="13"/>
      <c r="T528" s="13"/>
      <c r="U528" s="13"/>
      <c r="V528" s="30"/>
      <c r="W528" s="30"/>
      <c r="X528" s="30"/>
      <c r="Y528" s="30"/>
      <c r="Z528" s="30"/>
      <c r="AA528" s="30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  <c r="CE528" s="45"/>
      <c r="CF528" s="45"/>
      <c r="CG528" s="45"/>
      <c r="CI528" s="45"/>
      <c r="CJ528" s="45"/>
      <c r="CK528" s="45"/>
    </row>
    <row r="529" spans="2:89" s="28" customFormat="1">
      <c r="B529" s="29"/>
      <c r="C529" s="29"/>
      <c r="D529" s="29"/>
      <c r="E529" s="29"/>
      <c r="F529" s="29"/>
      <c r="G529" s="32"/>
      <c r="H529" s="29"/>
      <c r="I529" s="33"/>
      <c r="J529" s="29"/>
      <c r="K529" s="29"/>
      <c r="L529" s="29"/>
      <c r="M529" s="29"/>
      <c r="N529" s="30"/>
      <c r="O529" s="30"/>
      <c r="P529" s="13"/>
      <c r="Q529" s="13"/>
      <c r="R529" s="13"/>
      <c r="S529" s="13"/>
      <c r="T529" s="13"/>
      <c r="U529" s="13"/>
      <c r="V529" s="30"/>
      <c r="W529" s="30"/>
      <c r="X529" s="30"/>
      <c r="Y529" s="30"/>
      <c r="Z529" s="30"/>
      <c r="AA529" s="30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45"/>
      <c r="CF529" s="45"/>
      <c r="CG529" s="45"/>
      <c r="CI529" s="45"/>
      <c r="CJ529" s="45"/>
      <c r="CK529" s="45"/>
    </row>
    <row r="530" spans="2:89" s="28" customFormat="1">
      <c r="B530" s="29"/>
      <c r="C530" s="29"/>
      <c r="D530" s="29"/>
      <c r="E530" s="29"/>
      <c r="F530" s="29"/>
      <c r="G530" s="32"/>
      <c r="H530" s="29"/>
      <c r="I530" s="33"/>
      <c r="J530" s="29"/>
      <c r="K530" s="29"/>
      <c r="L530" s="29"/>
      <c r="M530" s="29"/>
      <c r="N530" s="30"/>
      <c r="O530" s="30"/>
      <c r="P530" s="13"/>
      <c r="Q530" s="13"/>
      <c r="R530" s="13"/>
      <c r="S530" s="13"/>
      <c r="T530" s="13"/>
      <c r="U530" s="13"/>
      <c r="V530" s="30"/>
      <c r="W530" s="30"/>
      <c r="X530" s="30"/>
      <c r="Y530" s="30"/>
      <c r="Z530" s="30"/>
      <c r="AA530" s="30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  <c r="CF530" s="45"/>
      <c r="CG530" s="45"/>
      <c r="CI530" s="45"/>
      <c r="CJ530" s="45"/>
      <c r="CK530" s="45"/>
    </row>
    <row r="531" spans="2:89" s="28" customFormat="1">
      <c r="B531" s="29"/>
      <c r="C531" s="29"/>
      <c r="D531" s="29"/>
      <c r="E531" s="29"/>
      <c r="F531" s="29"/>
      <c r="G531" s="32"/>
      <c r="H531" s="29"/>
      <c r="I531" s="33"/>
      <c r="J531" s="29"/>
      <c r="K531" s="29"/>
      <c r="L531" s="29"/>
      <c r="M531" s="29"/>
      <c r="N531" s="30"/>
      <c r="O531" s="30"/>
      <c r="P531" s="13"/>
      <c r="Q531" s="13"/>
      <c r="R531" s="13"/>
      <c r="S531" s="13"/>
      <c r="T531" s="13"/>
      <c r="U531" s="13"/>
      <c r="V531" s="30"/>
      <c r="W531" s="30"/>
      <c r="X531" s="30"/>
      <c r="Y531" s="30"/>
      <c r="Z531" s="30"/>
      <c r="AA531" s="30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  <c r="CE531" s="45"/>
      <c r="CF531" s="45"/>
      <c r="CG531" s="45"/>
      <c r="CI531" s="45"/>
      <c r="CJ531" s="45"/>
      <c r="CK531" s="45"/>
    </row>
    <row r="532" spans="2:89" s="28" customFormat="1">
      <c r="B532" s="29"/>
      <c r="C532" s="29"/>
      <c r="D532" s="29"/>
      <c r="E532" s="29"/>
      <c r="F532" s="29"/>
      <c r="G532" s="32"/>
      <c r="H532" s="29"/>
      <c r="I532" s="33"/>
      <c r="J532" s="29"/>
      <c r="K532" s="29"/>
      <c r="L532" s="29"/>
      <c r="M532" s="29"/>
      <c r="N532" s="30"/>
      <c r="O532" s="30"/>
      <c r="P532" s="13"/>
      <c r="Q532" s="13"/>
      <c r="R532" s="13"/>
      <c r="S532" s="13"/>
      <c r="T532" s="13"/>
      <c r="U532" s="13"/>
      <c r="V532" s="30"/>
      <c r="W532" s="30"/>
      <c r="X532" s="30"/>
      <c r="Y532" s="30"/>
      <c r="Z532" s="30"/>
      <c r="AA532" s="30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  <c r="CF532" s="45"/>
      <c r="CG532" s="45"/>
      <c r="CI532" s="45"/>
      <c r="CJ532" s="45"/>
      <c r="CK532" s="45"/>
    </row>
    <row r="533" spans="2:89" s="28" customFormat="1">
      <c r="B533" s="29"/>
      <c r="C533" s="29"/>
      <c r="D533" s="29"/>
      <c r="E533" s="29"/>
      <c r="F533" s="29"/>
      <c r="G533" s="32"/>
      <c r="H533" s="29"/>
      <c r="I533" s="33"/>
      <c r="J533" s="29"/>
      <c r="K533" s="29"/>
      <c r="L533" s="29"/>
      <c r="M533" s="29"/>
      <c r="N533" s="30"/>
      <c r="O533" s="30"/>
      <c r="P533" s="13"/>
      <c r="Q533" s="13"/>
      <c r="R533" s="13"/>
      <c r="S533" s="13"/>
      <c r="T533" s="13"/>
      <c r="U533" s="13"/>
      <c r="V533" s="30"/>
      <c r="W533" s="30"/>
      <c r="X533" s="30"/>
      <c r="Y533" s="30"/>
      <c r="Z533" s="30"/>
      <c r="AA533" s="30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  <c r="CF533" s="45"/>
      <c r="CG533" s="45"/>
      <c r="CI533" s="45"/>
      <c r="CJ533" s="45"/>
      <c r="CK533" s="45"/>
    </row>
    <row r="534" spans="2:89" s="28" customFormat="1">
      <c r="B534" s="29"/>
      <c r="C534" s="29"/>
      <c r="D534" s="29"/>
      <c r="E534" s="29"/>
      <c r="F534" s="29"/>
      <c r="G534" s="32"/>
      <c r="H534" s="29"/>
      <c r="I534" s="33"/>
      <c r="J534" s="29"/>
      <c r="K534" s="29"/>
      <c r="L534" s="29"/>
      <c r="M534" s="29"/>
      <c r="N534" s="30"/>
      <c r="O534" s="30"/>
      <c r="P534" s="13"/>
      <c r="Q534" s="13"/>
      <c r="R534" s="13"/>
      <c r="S534" s="13"/>
      <c r="T534" s="13"/>
      <c r="U534" s="13"/>
      <c r="V534" s="30"/>
      <c r="W534" s="30"/>
      <c r="X534" s="30"/>
      <c r="Y534" s="30"/>
      <c r="Z534" s="30"/>
      <c r="AA534" s="30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  <c r="CF534" s="45"/>
      <c r="CG534" s="45"/>
      <c r="CI534" s="45"/>
      <c r="CJ534" s="45"/>
      <c r="CK534" s="45"/>
    </row>
    <row r="535" spans="2:89" s="28" customFormat="1">
      <c r="B535" s="29"/>
      <c r="C535" s="29"/>
      <c r="D535" s="29"/>
      <c r="E535" s="29"/>
      <c r="F535" s="29"/>
      <c r="G535" s="32"/>
      <c r="H535" s="29"/>
      <c r="I535" s="33"/>
      <c r="J535" s="29"/>
      <c r="K535" s="29"/>
      <c r="L535" s="29"/>
      <c r="M535" s="29"/>
      <c r="N535" s="30"/>
      <c r="O535" s="30"/>
      <c r="P535" s="13"/>
      <c r="Q535" s="13"/>
      <c r="R535" s="13"/>
      <c r="S535" s="13"/>
      <c r="T535" s="13"/>
      <c r="U535" s="13"/>
      <c r="V535" s="30"/>
      <c r="W535" s="30"/>
      <c r="X535" s="30"/>
      <c r="Y535" s="30"/>
      <c r="Z535" s="30"/>
      <c r="AA535" s="30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  <c r="CF535" s="45"/>
      <c r="CG535" s="45"/>
      <c r="CI535" s="45"/>
      <c r="CJ535" s="45"/>
      <c r="CK535" s="45"/>
    </row>
    <row r="536" spans="2:89" s="28" customFormat="1">
      <c r="B536" s="29"/>
      <c r="C536" s="29"/>
      <c r="D536" s="29"/>
      <c r="E536" s="29"/>
      <c r="F536" s="29"/>
      <c r="G536" s="32"/>
      <c r="H536" s="29"/>
      <c r="I536" s="33"/>
      <c r="J536" s="29"/>
      <c r="K536" s="29"/>
      <c r="L536" s="29"/>
      <c r="M536" s="29"/>
      <c r="N536" s="30"/>
      <c r="O536" s="30"/>
      <c r="P536" s="13"/>
      <c r="Q536" s="13"/>
      <c r="R536" s="13"/>
      <c r="S536" s="13"/>
      <c r="T536" s="13"/>
      <c r="U536" s="13"/>
      <c r="V536" s="30"/>
      <c r="W536" s="30"/>
      <c r="X536" s="30"/>
      <c r="Y536" s="30"/>
      <c r="Z536" s="30"/>
      <c r="AA536" s="30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  <c r="CE536" s="45"/>
      <c r="CF536" s="45"/>
      <c r="CG536" s="45"/>
      <c r="CI536" s="45"/>
      <c r="CJ536" s="45"/>
      <c r="CK536" s="45"/>
    </row>
    <row r="537" spans="2:89" s="28" customFormat="1">
      <c r="B537" s="29"/>
      <c r="C537" s="29"/>
      <c r="D537" s="29"/>
      <c r="E537" s="29"/>
      <c r="F537" s="29"/>
      <c r="G537" s="32"/>
      <c r="H537" s="29"/>
      <c r="I537" s="33"/>
      <c r="J537" s="29"/>
      <c r="K537" s="29"/>
      <c r="L537" s="29"/>
      <c r="M537" s="29"/>
      <c r="N537" s="30"/>
      <c r="O537" s="30"/>
      <c r="P537" s="13"/>
      <c r="Q537" s="13"/>
      <c r="R537" s="13"/>
      <c r="S537" s="13"/>
      <c r="T537" s="13"/>
      <c r="U537" s="13"/>
      <c r="V537" s="30"/>
      <c r="W537" s="30"/>
      <c r="X537" s="30"/>
      <c r="Y537" s="30"/>
      <c r="Z537" s="30"/>
      <c r="AA537" s="30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  <c r="CE537" s="45"/>
      <c r="CF537" s="45"/>
      <c r="CG537" s="45"/>
      <c r="CI537" s="45"/>
      <c r="CJ537" s="45"/>
      <c r="CK537" s="45"/>
    </row>
    <row r="538" spans="2:89" s="28" customFormat="1">
      <c r="B538" s="29"/>
      <c r="C538" s="29"/>
      <c r="D538" s="29"/>
      <c r="E538" s="29"/>
      <c r="F538" s="29"/>
      <c r="G538" s="32"/>
      <c r="H538" s="29"/>
      <c r="I538" s="33"/>
      <c r="J538" s="29"/>
      <c r="K538" s="29"/>
      <c r="L538" s="29"/>
      <c r="M538" s="29"/>
      <c r="N538" s="30"/>
      <c r="O538" s="30"/>
      <c r="P538" s="13"/>
      <c r="Q538" s="13"/>
      <c r="R538" s="13"/>
      <c r="S538" s="13"/>
      <c r="T538" s="13"/>
      <c r="U538" s="13"/>
      <c r="V538" s="30"/>
      <c r="W538" s="30"/>
      <c r="X538" s="30"/>
      <c r="Y538" s="30"/>
      <c r="Z538" s="30"/>
      <c r="AA538" s="30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  <c r="CE538" s="45"/>
      <c r="CF538" s="45"/>
      <c r="CG538" s="45"/>
      <c r="CI538" s="45"/>
      <c r="CJ538" s="45"/>
      <c r="CK538" s="45"/>
    </row>
    <row r="539" spans="2:89" s="28" customFormat="1">
      <c r="B539" s="29"/>
      <c r="C539" s="29"/>
      <c r="D539" s="29"/>
      <c r="E539" s="29"/>
      <c r="F539" s="29"/>
      <c r="G539" s="32"/>
      <c r="H539" s="29"/>
      <c r="I539" s="33"/>
      <c r="J539" s="29"/>
      <c r="K539" s="29"/>
      <c r="L539" s="29"/>
      <c r="M539" s="29"/>
      <c r="N539" s="30"/>
      <c r="O539" s="30"/>
      <c r="P539" s="13"/>
      <c r="Q539" s="13"/>
      <c r="R539" s="13"/>
      <c r="S539" s="13"/>
      <c r="T539" s="13"/>
      <c r="U539" s="13"/>
      <c r="V539" s="30"/>
      <c r="W539" s="30"/>
      <c r="X539" s="30"/>
      <c r="Y539" s="30"/>
      <c r="Z539" s="30"/>
      <c r="AA539" s="30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  <c r="CE539" s="45"/>
      <c r="CF539" s="45"/>
      <c r="CG539" s="45"/>
      <c r="CI539" s="45"/>
      <c r="CJ539" s="45"/>
      <c r="CK539" s="45"/>
    </row>
    <row r="540" spans="2:89" s="28" customFormat="1">
      <c r="B540" s="29"/>
      <c r="C540" s="29"/>
      <c r="D540" s="29"/>
      <c r="E540" s="29"/>
      <c r="F540" s="29"/>
      <c r="G540" s="32"/>
      <c r="H540" s="29"/>
      <c r="I540" s="33"/>
      <c r="J540" s="29"/>
      <c r="K540" s="29"/>
      <c r="L540" s="29"/>
      <c r="M540" s="29"/>
      <c r="N540" s="30"/>
      <c r="O540" s="30"/>
      <c r="P540" s="13"/>
      <c r="Q540" s="13"/>
      <c r="R540" s="13"/>
      <c r="S540" s="13"/>
      <c r="T540" s="13"/>
      <c r="U540" s="13"/>
      <c r="V540" s="30"/>
      <c r="W540" s="30"/>
      <c r="X540" s="30"/>
      <c r="Y540" s="30"/>
      <c r="Z540" s="30"/>
      <c r="AA540" s="30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I540" s="45"/>
      <c r="CJ540" s="45"/>
      <c r="CK540" s="45"/>
    </row>
    <row r="541" spans="2:89" s="28" customFormat="1">
      <c r="B541" s="29"/>
      <c r="C541" s="29"/>
      <c r="D541" s="29"/>
      <c r="E541" s="29"/>
      <c r="F541" s="29"/>
      <c r="G541" s="32"/>
      <c r="H541" s="29"/>
      <c r="I541" s="33"/>
      <c r="J541" s="29"/>
      <c r="K541" s="29"/>
      <c r="L541" s="29"/>
      <c r="M541" s="29"/>
      <c r="N541" s="30"/>
      <c r="O541" s="30"/>
      <c r="P541" s="13"/>
      <c r="Q541" s="13"/>
      <c r="R541" s="13"/>
      <c r="S541" s="13"/>
      <c r="T541" s="13"/>
      <c r="U541" s="13"/>
      <c r="V541" s="30"/>
      <c r="W541" s="30"/>
      <c r="X541" s="30"/>
      <c r="Y541" s="30"/>
      <c r="Z541" s="30"/>
      <c r="AA541" s="30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  <c r="CE541" s="45"/>
      <c r="CF541" s="45"/>
      <c r="CG541" s="45"/>
      <c r="CI541" s="45"/>
      <c r="CJ541" s="45"/>
      <c r="CK541" s="45"/>
    </row>
    <row r="542" spans="2:89" s="28" customFormat="1">
      <c r="B542" s="29"/>
      <c r="C542" s="29"/>
      <c r="D542" s="29"/>
      <c r="E542" s="29"/>
      <c r="F542" s="29"/>
      <c r="G542" s="32"/>
      <c r="H542" s="29"/>
      <c r="I542" s="33"/>
      <c r="J542" s="29"/>
      <c r="K542" s="29"/>
      <c r="L542" s="29"/>
      <c r="M542" s="29"/>
      <c r="N542" s="30"/>
      <c r="O542" s="30"/>
      <c r="P542" s="13"/>
      <c r="Q542" s="13"/>
      <c r="R542" s="13"/>
      <c r="S542" s="13"/>
      <c r="T542" s="13"/>
      <c r="U542" s="13"/>
      <c r="V542" s="30"/>
      <c r="W542" s="30"/>
      <c r="X542" s="30"/>
      <c r="Y542" s="30"/>
      <c r="Z542" s="30"/>
      <c r="AA542" s="30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  <c r="CE542" s="45"/>
      <c r="CF542" s="45"/>
      <c r="CG542" s="45"/>
      <c r="CI542" s="45"/>
      <c r="CJ542" s="45"/>
      <c r="CK542" s="45"/>
    </row>
    <row r="543" spans="2:89" s="28" customFormat="1">
      <c r="B543" s="29"/>
      <c r="C543" s="29"/>
      <c r="D543" s="29"/>
      <c r="E543" s="29"/>
      <c r="F543" s="29"/>
      <c r="G543" s="32"/>
      <c r="H543" s="29"/>
      <c r="I543" s="33"/>
      <c r="J543" s="29"/>
      <c r="K543" s="29"/>
      <c r="L543" s="29"/>
      <c r="M543" s="29"/>
      <c r="N543" s="30"/>
      <c r="O543" s="30"/>
      <c r="P543" s="13"/>
      <c r="Q543" s="13"/>
      <c r="R543" s="13"/>
      <c r="S543" s="13"/>
      <c r="T543" s="13"/>
      <c r="U543" s="13"/>
      <c r="V543" s="30"/>
      <c r="W543" s="30"/>
      <c r="X543" s="30"/>
      <c r="Y543" s="30"/>
      <c r="Z543" s="30"/>
      <c r="AA543" s="30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  <c r="CF543" s="45"/>
      <c r="CG543" s="45"/>
      <c r="CI543" s="45"/>
      <c r="CJ543" s="45"/>
      <c r="CK543" s="45"/>
    </row>
    <row r="544" spans="2:89" s="28" customFormat="1">
      <c r="B544" s="29"/>
      <c r="C544" s="29"/>
      <c r="D544" s="29"/>
      <c r="E544" s="29"/>
      <c r="F544" s="29"/>
      <c r="G544" s="32"/>
      <c r="H544" s="29"/>
      <c r="I544" s="33"/>
      <c r="J544" s="29"/>
      <c r="K544" s="29"/>
      <c r="L544" s="29"/>
      <c r="M544" s="29"/>
      <c r="N544" s="30"/>
      <c r="O544" s="30"/>
      <c r="P544" s="13"/>
      <c r="Q544" s="13"/>
      <c r="R544" s="13"/>
      <c r="S544" s="13"/>
      <c r="T544" s="13"/>
      <c r="U544" s="13"/>
      <c r="V544" s="30"/>
      <c r="W544" s="30"/>
      <c r="X544" s="30"/>
      <c r="Y544" s="30"/>
      <c r="Z544" s="30"/>
      <c r="AA544" s="30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  <c r="CF544" s="45"/>
      <c r="CG544" s="45"/>
      <c r="CI544" s="45"/>
      <c r="CJ544" s="45"/>
      <c r="CK544" s="45"/>
    </row>
    <row r="545" spans="2:89" s="28" customFormat="1">
      <c r="B545" s="29"/>
      <c r="C545" s="29"/>
      <c r="D545" s="29"/>
      <c r="E545" s="29"/>
      <c r="F545" s="29"/>
      <c r="G545" s="32"/>
      <c r="H545" s="29"/>
      <c r="I545" s="33"/>
      <c r="J545" s="29"/>
      <c r="K545" s="29"/>
      <c r="L545" s="29"/>
      <c r="M545" s="29"/>
      <c r="N545" s="30"/>
      <c r="O545" s="30"/>
      <c r="P545" s="13"/>
      <c r="Q545" s="13"/>
      <c r="R545" s="13"/>
      <c r="S545" s="13"/>
      <c r="T545" s="13"/>
      <c r="U545" s="13"/>
      <c r="V545" s="30"/>
      <c r="W545" s="30"/>
      <c r="X545" s="30"/>
      <c r="Y545" s="30"/>
      <c r="Z545" s="30"/>
      <c r="AA545" s="30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  <c r="CF545" s="45"/>
      <c r="CG545" s="45"/>
      <c r="CI545" s="45"/>
      <c r="CJ545" s="45"/>
      <c r="CK545" s="45"/>
    </row>
    <row r="546" spans="2:89" s="28" customFormat="1">
      <c r="B546" s="29"/>
      <c r="C546" s="29"/>
      <c r="D546" s="29"/>
      <c r="E546" s="29"/>
      <c r="F546" s="29"/>
      <c r="G546" s="32"/>
      <c r="H546" s="29"/>
      <c r="I546" s="33"/>
      <c r="J546" s="29"/>
      <c r="K546" s="29"/>
      <c r="L546" s="29"/>
      <c r="M546" s="29"/>
      <c r="N546" s="30"/>
      <c r="O546" s="30"/>
      <c r="P546" s="13"/>
      <c r="Q546" s="13"/>
      <c r="R546" s="13"/>
      <c r="S546" s="13"/>
      <c r="T546" s="13"/>
      <c r="U546" s="13"/>
      <c r="V546" s="30"/>
      <c r="W546" s="30"/>
      <c r="X546" s="30"/>
      <c r="Y546" s="30"/>
      <c r="Z546" s="30"/>
      <c r="AA546" s="30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  <c r="CF546" s="45"/>
      <c r="CG546" s="45"/>
      <c r="CI546" s="45"/>
      <c r="CJ546" s="45"/>
      <c r="CK546" s="45"/>
    </row>
    <row r="547" spans="2:89" s="28" customFormat="1">
      <c r="B547" s="29"/>
      <c r="C547" s="29"/>
      <c r="D547" s="29"/>
      <c r="E547" s="29"/>
      <c r="F547" s="29"/>
      <c r="G547" s="32"/>
      <c r="H547" s="29"/>
      <c r="I547" s="33"/>
      <c r="J547" s="29"/>
      <c r="K547" s="29"/>
      <c r="L547" s="29"/>
      <c r="M547" s="29"/>
      <c r="N547" s="30"/>
      <c r="O547" s="30"/>
      <c r="P547" s="13"/>
      <c r="Q547" s="13"/>
      <c r="R547" s="13"/>
      <c r="S547" s="13"/>
      <c r="T547" s="13"/>
      <c r="U547" s="13"/>
      <c r="V547" s="30"/>
      <c r="W547" s="30"/>
      <c r="X547" s="30"/>
      <c r="Y547" s="30"/>
      <c r="Z547" s="30"/>
      <c r="AA547" s="30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  <c r="CE547" s="45"/>
      <c r="CF547" s="45"/>
      <c r="CG547" s="45"/>
      <c r="CI547" s="45"/>
      <c r="CJ547" s="45"/>
      <c r="CK547" s="45"/>
    </row>
    <row r="548" spans="2:89" s="28" customFormat="1">
      <c r="B548" s="29"/>
      <c r="C548" s="29"/>
      <c r="D548" s="29"/>
      <c r="E548" s="29"/>
      <c r="F548" s="29"/>
      <c r="G548" s="32"/>
      <c r="H548" s="29"/>
      <c r="I548" s="33"/>
      <c r="J548" s="29"/>
      <c r="K548" s="29"/>
      <c r="L548" s="29"/>
      <c r="M548" s="29"/>
      <c r="N548" s="30"/>
      <c r="O548" s="30"/>
      <c r="P548" s="13"/>
      <c r="Q548" s="13"/>
      <c r="R548" s="13"/>
      <c r="S548" s="13"/>
      <c r="T548" s="13"/>
      <c r="U548" s="13"/>
      <c r="V548" s="30"/>
      <c r="W548" s="30"/>
      <c r="X548" s="30"/>
      <c r="Y548" s="30"/>
      <c r="Z548" s="30"/>
      <c r="AA548" s="30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  <c r="CE548" s="45"/>
      <c r="CF548" s="45"/>
      <c r="CG548" s="45"/>
      <c r="CI548" s="45"/>
      <c r="CJ548" s="45"/>
      <c r="CK548" s="45"/>
    </row>
    <row r="549" spans="2:89" s="28" customFormat="1">
      <c r="B549" s="29"/>
      <c r="C549" s="29"/>
      <c r="D549" s="29"/>
      <c r="E549" s="29"/>
      <c r="F549" s="29"/>
      <c r="G549" s="32"/>
      <c r="H549" s="29"/>
      <c r="I549" s="33"/>
      <c r="J549" s="29"/>
      <c r="K549" s="29"/>
      <c r="L549" s="29"/>
      <c r="M549" s="29"/>
      <c r="N549" s="30"/>
      <c r="O549" s="30"/>
      <c r="P549" s="13"/>
      <c r="Q549" s="13"/>
      <c r="R549" s="13"/>
      <c r="S549" s="13"/>
      <c r="T549" s="13"/>
      <c r="U549" s="13"/>
      <c r="V549" s="30"/>
      <c r="W549" s="30"/>
      <c r="X549" s="30"/>
      <c r="Y549" s="30"/>
      <c r="Z549" s="30"/>
      <c r="AA549" s="30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  <c r="CE549" s="45"/>
      <c r="CF549" s="45"/>
      <c r="CG549" s="45"/>
      <c r="CI549" s="45"/>
      <c r="CJ549" s="45"/>
      <c r="CK549" s="45"/>
    </row>
    <row r="550" spans="2:89" s="28" customFormat="1">
      <c r="B550" s="29"/>
      <c r="C550" s="29"/>
      <c r="D550" s="29"/>
      <c r="E550" s="29"/>
      <c r="F550" s="29"/>
      <c r="G550" s="32"/>
      <c r="H550" s="29"/>
      <c r="I550" s="33"/>
      <c r="J550" s="29"/>
      <c r="K550" s="29"/>
      <c r="L550" s="29"/>
      <c r="M550" s="29"/>
      <c r="N550" s="30"/>
      <c r="O550" s="30"/>
      <c r="P550" s="13"/>
      <c r="Q550" s="13"/>
      <c r="R550" s="13"/>
      <c r="S550" s="13"/>
      <c r="T550" s="13"/>
      <c r="U550" s="13"/>
      <c r="V550" s="30"/>
      <c r="W550" s="30"/>
      <c r="X550" s="30"/>
      <c r="Y550" s="30"/>
      <c r="Z550" s="30"/>
      <c r="AA550" s="30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  <c r="CE550" s="45"/>
      <c r="CF550" s="45"/>
      <c r="CG550" s="45"/>
      <c r="CI550" s="45"/>
      <c r="CJ550" s="45"/>
      <c r="CK550" s="45"/>
    </row>
    <row r="551" spans="2:89" s="28" customFormat="1">
      <c r="B551" s="29"/>
      <c r="C551" s="29"/>
      <c r="D551" s="29"/>
      <c r="E551" s="29"/>
      <c r="F551" s="29"/>
      <c r="G551" s="32"/>
      <c r="H551" s="29"/>
      <c r="I551" s="33"/>
      <c r="J551" s="29"/>
      <c r="K551" s="29"/>
      <c r="L551" s="29"/>
      <c r="M551" s="29"/>
      <c r="N551" s="30"/>
      <c r="O551" s="30"/>
      <c r="P551" s="13"/>
      <c r="Q551" s="13"/>
      <c r="R551" s="13"/>
      <c r="S551" s="13"/>
      <c r="T551" s="13"/>
      <c r="U551" s="13"/>
      <c r="V551" s="30"/>
      <c r="W551" s="30"/>
      <c r="X551" s="30"/>
      <c r="Y551" s="30"/>
      <c r="Z551" s="30"/>
      <c r="AA551" s="30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  <c r="CE551" s="45"/>
      <c r="CF551" s="45"/>
      <c r="CG551" s="45"/>
      <c r="CI551" s="45"/>
      <c r="CJ551" s="45"/>
      <c r="CK551" s="45"/>
    </row>
    <row r="552" spans="2:89" s="28" customFormat="1">
      <c r="B552" s="29"/>
      <c r="C552" s="29"/>
      <c r="D552" s="29"/>
      <c r="E552" s="29"/>
      <c r="F552" s="29"/>
      <c r="G552" s="32"/>
      <c r="H552" s="29"/>
      <c r="I552" s="33"/>
      <c r="J552" s="29"/>
      <c r="K552" s="29"/>
      <c r="L552" s="29"/>
      <c r="M552" s="29"/>
      <c r="N552" s="30"/>
      <c r="O552" s="30"/>
      <c r="P552" s="13"/>
      <c r="Q552" s="13"/>
      <c r="R552" s="13"/>
      <c r="S552" s="13"/>
      <c r="T552" s="13"/>
      <c r="U552" s="13"/>
      <c r="V552" s="30"/>
      <c r="W552" s="30"/>
      <c r="X552" s="30"/>
      <c r="Y552" s="30"/>
      <c r="Z552" s="30"/>
      <c r="AA552" s="30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  <c r="CE552" s="45"/>
      <c r="CF552" s="45"/>
      <c r="CG552" s="45"/>
      <c r="CI552" s="45"/>
      <c r="CJ552" s="45"/>
      <c r="CK552" s="45"/>
    </row>
    <row r="553" spans="2:89" s="28" customFormat="1">
      <c r="B553" s="29"/>
      <c r="C553" s="29"/>
      <c r="D553" s="29"/>
      <c r="E553" s="29"/>
      <c r="F553" s="29"/>
      <c r="G553" s="32"/>
      <c r="H553" s="29"/>
      <c r="I553" s="33"/>
      <c r="J553" s="29"/>
      <c r="K553" s="29"/>
      <c r="L553" s="29"/>
      <c r="M553" s="29"/>
      <c r="N553" s="30"/>
      <c r="O553" s="30"/>
      <c r="P553" s="13"/>
      <c r="Q553" s="13"/>
      <c r="R553" s="13"/>
      <c r="S553" s="13"/>
      <c r="T553" s="13"/>
      <c r="U553" s="13"/>
      <c r="V553" s="30"/>
      <c r="W553" s="30"/>
      <c r="X553" s="30"/>
      <c r="Y553" s="30"/>
      <c r="Z553" s="30"/>
      <c r="AA553" s="30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  <c r="CE553" s="45"/>
      <c r="CF553" s="45"/>
      <c r="CG553" s="45"/>
      <c r="CI553" s="45"/>
      <c r="CJ553" s="45"/>
      <c r="CK553" s="45"/>
    </row>
    <row r="554" spans="2:89" s="28" customFormat="1">
      <c r="B554" s="29"/>
      <c r="C554" s="29"/>
      <c r="D554" s="29"/>
      <c r="E554" s="29"/>
      <c r="F554" s="29"/>
      <c r="G554" s="32"/>
      <c r="H554" s="29"/>
      <c r="I554" s="33"/>
      <c r="J554" s="29"/>
      <c r="K554" s="29"/>
      <c r="L554" s="29"/>
      <c r="M554" s="29"/>
      <c r="N554" s="30"/>
      <c r="O554" s="30"/>
      <c r="P554" s="13"/>
      <c r="Q554" s="13"/>
      <c r="R554" s="13"/>
      <c r="S554" s="13"/>
      <c r="T554" s="13"/>
      <c r="U554" s="13"/>
      <c r="V554" s="30"/>
      <c r="W554" s="30"/>
      <c r="X554" s="30"/>
      <c r="Y554" s="30"/>
      <c r="Z554" s="30"/>
      <c r="AA554" s="30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  <c r="CE554" s="45"/>
      <c r="CF554" s="45"/>
      <c r="CG554" s="45"/>
      <c r="CI554" s="45"/>
      <c r="CJ554" s="45"/>
      <c r="CK554" s="45"/>
    </row>
    <row r="555" spans="2:89" s="28" customFormat="1">
      <c r="B555" s="29"/>
      <c r="C555" s="29"/>
      <c r="D555" s="29"/>
      <c r="E555" s="29"/>
      <c r="F555" s="29"/>
      <c r="G555" s="32"/>
      <c r="H555" s="29"/>
      <c r="I555" s="33"/>
      <c r="J555" s="29"/>
      <c r="K555" s="29"/>
      <c r="L555" s="29"/>
      <c r="M555" s="29"/>
      <c r="N555" s="30"/>
      <c r="O555" s="30"/>
      <c r="P555" s="13"/>
      <c r="Q555" s="13"/>
      <c r="R555" s="13"/>
      <c r="S555" s="13"/>
      <c r="T555" s="13"/>
      <c r="U555" s="13"/>
      <c r="V555" s="30"/>
      <c r="W555" s="30"/>
      <c r="X555" s="30"/>
      <c r="Y555" s="30"/>
      <c r="Z555" s="30"/>
      <c r="AA555" s="30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  <c r="CE555" s="45"/>
      <c r="CF555" s="45"/>
      <c r="CG555" s="45"/>
      <c r="CI555" s="45"/>
      <c r="CJ555" s="45"/>
      <c r="CK555" s="45"/>
    </row>
    <row r="556" spans="2:89" s="28" customFormat="1">
      <c r="B556" s="29"/>
      <c r="C556" s="29"/>
      <c r="D556" s="29"/>
      <c r="E556" s="29"/>
      <c r="F556" s="29"/>
      <c r="G556" s="32"/>
      <c r="H556" s="29"/>
      <c r="I556" s="33"/>
      <c r="J556" s="29"/>
      <c r="K556" s="29"/>
      <c r="L556" s="29"/>
      <c r="M556" s="29"/>
      <c r="N556" s="30"/>
      <c r="O556" s="30"/>
      <c r="P556" s="13"/>
      <c r="Q556" s="13"/>
      <c r="R556" s="13"/>
      <c r="S556" s="13"/>
      <c r="T556" s="13"/>
      <c r="U556" s="13"/>
      <c r="V556" s="30"/>
      <c r="W556" s="30"/>
      <c r="X556" s="30"/>
      <c r="Y556" s="30"/>
      <c r="Z556" s="30"/>
      <c r="AA556" s="30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  <c r="CE556" s="45"/>
      <c r="CF556" s="45"/>
      <c r="CG556" s="45"/>
      <c r="CI556" s="45"/>
      <c r="CJ556" s="45"/>
      <c r="CK556" s="45"/>
    </row>
    <row r="557" spans="2:89" s="28" customFormat="1">
      <c r="B557" s="29"/>
      <c r="C557" s="29"/>
      <c r="D557" s="29"/>
      <c r="E557" s="29"/>
      <c r="F557" s="29"/>
      <c r="G557" s="32"/>
      <c r="H557" s="29"/>
      <c r="I557" s="33"/>
      <c r="J557" s="29"/>
      <c r="K557" s="29"/>
      <c r="L557" s="29"/>
      <c r="M557" s="29"/>
      <c r="N557" s="30"/>
      <c r="O557" s="30"/>
      <c r="P557" s="13"/>
      <c r="Q557" s="13"/>
      <c r="R557" s="13"/>
      <c r="S557" s="13"/>
      <c r="T557" s="13"/>
      <c r="U557" s="13"/>
      <c r="V557" s="30"/>
      <c r="W557" s="30"/>
      <c r="X557" s="30"/>
      <c r="Y557" s="30"/>
      <c r="Z557" s="30"/>
      <c r="AA557" s="30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  <c r="CE557" s="45"/>
      <c r="CF557" s="45"/>
      <c r="CG557" s="45"/>
      <c r="CI557" s="45"/>
      <c r="CJ557" s="45"/>
      <c r="CK557" s="45"/>
    </row>
    <row r="558" spans="2:89" s="28" customFormat="1">
      <c r="B558" s="29"/>
      <c r="C558" s="29"/>
      <c r="D558" s="29"/>
      <c r="E558" s="29"/>
      <c r="F558" s="29"/>
      <c r="G558" s="32"/>
      <c r="H558" s="29"/>
      <c r="I558" s="33"/>
      <c r="J558" s="29"/>
      <c r="K558" s="29"/>
      <c r="L558" s="29"/>
      <c r="M558" s="29"/>
      <c r="N558" s="30"/>
      <c r="O558" s="30"/>
      <c r="P558" s="13"/>
      <c r="Q558" s="13"/>
      <c r="R558" s="13"/>
      <c r="S558" s="13"/>
      <c r="T558" s="13"/>
      <c r="U558" s="13"/>
      <c r="V558" s="30"/>
      <c r="W558" s="30"/>
      <c r="X558" s="30"/>
      <c r="Y558" s="30"/>
      <c r="Z558" s="30"/>
      <c r="AA558" s="30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  <c r="CE558" s="45"/>
      <c r="CF558" s="45"/>
      <c r="CG558" s="45"/>
      <c r="CI558" s="45"/>
      <c r="CJ558" s="45"/>
      <c r="CK558" s="45"/>
    </row>
    <row r="559" spans="2:89" s="28" customFormat="1">
      <c r="B559" s="29"/>
      <c r="C559" s="29"/>
      <c r="D559" s="29"/>
      <c r="E559" s="29"/>
      <c r="F559" s="29"/>
      <c r="G559" s="32"/>
      <c r="H559" s="29"/>
      <c r="I559" s="33"/>
      <c r="J559" s="29"/>
      <c r="K559" s="29"/>
      <c r="L559" s="29"/>
      <c r="M559" s="29"/>
      <c r="N559" s="30"/>
      <c r="O559" s="30"/>
      <c r="P559" s="13"/>
      <c r="Q559" s="13"/>
      <c r="R559" s="13"/>
      <c r="S559" s="13"/>
      <c r="T559" s="13"/>
      <c r="U559" s="13"/>
      <c r="V559" s="30"/>
      <c r="W559" s="30"/>
      <c r="X559" s="30"/>
      <c r="Y559" s="30"/>
      <c r="Z559" s="30"/>
      <c r="AA559" s="30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  <c r="CE559" s="45"/>
      <c r="CF559" s="45"/>
      <c r="CG559" s="45"/>
      <c r="CI559" s="45"/>
      <c r="CJ559" s="45"/>
      <c r="CK559" s="45"/>
    </row>
    <row r="560" spans="2:89" s="28" customFormat="1">
      <c r="B560" s="29"/>
      <c r="C560" s="29"/>
      <c r="D560" s="29"/>
      <c r="E560" s="29"/>
      <c r="F560" s="29"/>
      <c r="G560" s="32"/>
      <c r="H560" s="29"/>
      <c r="I560" s="33"/>
      <c r="J560" s="29"/>
      <c r="K560" s="29"/>
      <c r="L560" s="29"/>
      <c r="M560" s="29"/>
      <c r="N560" s="30"/>
      <c r="O560" s="30"/>
      <c r="P560" s="13"/>
      <c r="Q560" s="13"/>
      <c r="R560" s="13"/>
      <c r="S560" s="13"/>
      <c r="T560" s="13"/>
      <c r="U560" s="13"/>
      <c r="V560" s="30"/>
      <c r="W560" s="30"/>
      <c r="X560" s="30"/>
      <c r="Y560" s="30"/>
      <c r="Z560" s="30"/>
      <c r="AA560" s="30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  <c r="CE560" s="45"/>
      <c r="CF560" s="45"/>
      <c r="CG560" s="45"/>
      <c r="CI560" s="45"/>
      <c r="CJ560" s="45"/>
      <c r="CK560" s="45"/>
    </row>
    <row r="561" spans="2:89" s="28" customFormat="1">
      <c r="B561" s="29"/>
      <c r="C561" s="29"/>
      <c r="D561" s="29"/>
      <c r="E561" s="29"/>
      <c r="F561" s="29"/>
      <c r="G561" s="32"/>
      <c r="H561" s="29"/>
      <c r="I561" s="33"/>
      <c r="J561" s="29"/>
      <c r="K561" s="29"/>
      <c r="L561" s="29"/>
      <c r="M561" s="29"/>
      <c r="N561" s="30"/>
      <c r="O561" s="30"/>
      <c r="P561" s="13"/>
      <c r="Q561" s="13"/>
      <c r="R561" s="13"/>
      <c r="S561" s="13"/>
      <c r="T561" s="13"/>
      <c r="U561" s="13"/>
      <c r="V561" s="30"/>
      <c r="W561" s="30"/>
      <c r="X561" s="30"/>
      <c r="Y561" s="30"/>
      <c r="Z561" s="30"/>
      <c r="AA561" s="30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  <c r="CE561" s="45"/>
      <c r="CF561" s="45"/>
      <c r="CG561" s="45"/>
      <c r="CI561" s="45"/>
      <c r="CJ561" s="45"/>
      <c r="CK561" s="45"/>
    </row>
    <row r="562" spans="2:89" s="28" customFormat="1">
      <c r="B562" s="29"/>
      <c r="C562" s="29"/>
      <c r="D562" s="29"/>
      <c r="E562" s="29"/>
      <c r="F562" s="29"/>
      <c r="G562" s="32"/>
      <c r="H562" s="29"/>
      <c r="I562" s="33"/>
      <c r="J562" s="29"/>
      <c r="K562" s="29"/>
      <c r="L562" s="29"/>
      <c r="M562" s="29"/>
      <c r="N562" s="30"/>
      <c r="O562" s="30"/>
      <c r="P562" s="13"/>
      <c r="Q562" s="13"/>
      <c r="R562" s="13"/>
      <c r="S562" s="13"/>
      <c r="T562" s="13"/>
      <c r="U562" s="13"/>
      <c r="V562" s="30"/>
      <c r="W562" s="30"/>
      <c r="X562" s="30"/>
      <c r="Y562" s="30"/>
      <c r="Z562" s="30"/>
      <c r="AA562" s="30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  <c r="CE562" s="45"/>
      <c r="CF562" s="45"/>
      <c r="CG562" s="45"/>
      <c r="CI562" s="45"/>
      <c r="CJ562" s="45"/>
      <c r="CK562" s="45"/>
    </row>
    <row r="563" spans="2:89" s="28" customFormat="1">
      <c r="B563" s="29"/>
      <c r="C563" s="29"/>
      <c r="D563" s="29"/>
      <c r="E563" s="29"/>
      <c r="F563" s="29"/>
      <c r="G563" s="32"/>
      <c r="H563" s="29"/>
      <c r="I563" s="33"/>
      <c r="J563" s="29"/>
      <c r="K563" s="29"/>
      <c r="L563" s="29"/>
      <c r="M563" s="29"/>
      <c r="N563" s="30"/>
      <c r="O563" s="30"/>
      <c r="P563" s="13"/>
      <c r="Q563" s="13"/>
      <c r="R563" s="13"/>
      <c r="S563" s="13"/>
      <c r="T563" s="13"/>
      <c r="U563" s="13"/>
      <c r="V563" s="30"/>
      <c r="W563" s="30"/>
      <c r="X563" s="30"/>
      <c r="Y563" s="30"/>
      <c r="Z563" s="30"/>
      <c r="AA563" s="30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  <c r="CF563" s="45"/>
      <c r="CG563" s="45"/>
      <c r="CI563" s="45"/>
      <c r="CJ563" s="45"/>
      <c r="CK563" s="45"/>
    </row>
    <row r="564" spans="2:89" s="28" customFormat="1">
      <c r="B564" s="29"/>
      <c r="C564" s="29"/>
      <c r="D564" s="29"/>
      <c r="E564" s="29"/>
      <c r="F564" s="29"/>
      <c r="G564" s="32"/>
      <c r="H564" s="29"/>
      <c r="I564" s="33"/>
      <c r="J564" s="29"/>
      <c r="K564" s="29"/>
      <c r="L564" s="29"/>
      <c r="M564" s="29"/>
      <c r="N564" s="30"/>
      <c r="O564" s="30"/>
      <c r="P564" s="13"/>
      <c r="Q564" s="13"/>
      <c r="R564" s="13"/>
      <c r="S564" s="13"/>
      <c r="T564" s="13"/>
      <c r="U564" s="13"/>
      <c r="V564" s="30"/>
      <c r="W564" s="30"/>
      <c r="X564" s="30"/>
      <c r="Y564" s="30"/>
      <c r="Z564" s="30"/>
      <c r="AA564" s="30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  <c r="CE564" s="45"/>
      <c r="CF564" s="45"/>
      <c r="CG564" s="45"/>
      <c r="CI564" s="45"/>
      <c r="CJ564" s="45"/>
      <c r="CK564" s="45"/>
    </row>
    <row r="565" spans="2:89" s="28" customFormat="1">
      <c r="B565" s="29"/>
      <c r="C565" s="29"/>
      <c r="D565" s="29"/>
      <c r="E565" s="29"/>
      <c r="F565" s="29"/>
      <c r="G565" s="32"/>
      <c r="H565" s="29"/>
      <c r="I565" s="33"/>
      <c r="J565" s="29"/>
      <c r="K565" s="29"/>
      <c r="L565" s="29"/>
      <c r="M565" s="29"/>
      <c r="N565" s="30"/>
      <c r="O565" s="30"/>
      <c r="P565" s="13"/>
      <c r="Q565" s="13"/>
      <c r="R565" s="13"/>
      <c r="S565" s="13"/>
      <c r="T565" s="13"/>
      <c r="U565" s="13"/>
      <c r="V565" s="30"/>
      <c r="W565" s="30"/>
      <c r="X565" s="30"/>
      <c r="Y565" s="30"/>
      <c r="Z565" s="30"/>
      <c r="AA565" s="30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  <c r="CE565" s="45"/>
      <c r="CF565" s="45"/>
      <c r="CG565" s="45"/>
      <c r="CI565" s="45"/>
      <c r="CJ565" s="45"/>
      <c r="CK565" s="45"/>
    </row>
    <row r="566" spans="2:89" s="28" customFormat="1">
      <c r="B566" s="29"/>
      <c r="C566" s="29"/>
      <c r="D566" s="29"/>
      <c r="E566" s="29"/>
      <c r="F566" s="29"/>
      <c r="G566" s="32"/>
      <c r="H566" s="29"/>
      <c r="I566" s="33"/>
      <c r="J566" s="29"/>
      <c r="K566" s="29"/>
      <c r="L566" s="29"/>
      <c r="M566" s="29"/>
      <c r="N566" s="30"/>
      <c r="O566" s="30"/>
      <c r="P566" s="13"/>
      <c r="Q566" s="13"/>
      <c r="R566" s="13"/>
      <c r="S566" s="13"/>
      <c r="T566" s="13"/>
      <c r="U566" s="13"/>
      <c r="V566" s="30"/>
      <c r="W566" s="30"/>
      <c r="X566" s="30"/>
      <c r="Y566" s="30"/>
      <c r="Z566" s="30"/>
      <c r="AA566" s="30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  <c r="CE566" s="45"/>
      <c r="CF566" s="45"/>
      <c r="CG566" s="45"/>
      <c r="CI566" s="45"/>
      <c r="CJ566" s="45"/>
      <c r="CK566" s="45"/>
    </row>
    <row r="567" spans="2:89" s="28" customFormat="1">
      <c r="B567" s="29"/>
      <c r="C567" s="29"/>
      <c r="D567" s="29"/>
      <c r="E567" s="29"/>
      <c r="F567" s="29"/>
      <c r="G567" s="32"/>
      <c r="H567" s="29"/>
      <c r="I567" s="33"/>
      <c r="J567" s="29"/>
      <c r="K567" s="29"/>
      <c r="L567" s="29"/>
      <c r="M567" s="29"/>
      <c r="N567" s="30"/>
      <c r="O567" s="30"/>
      <c r="P567" s="13"/>
      <c r="Q567" s="13"/>
      <c r="R567" s="13"/>
      <c r="S567" s="13"/>
      <c r="T567" s="13"/>
      <c r="U567" s="13"/>
      <c r="V567" s="30"/>
      <c r="W567" s="30"/>
      <c r="X567" s="30"/>
      <c r="Y567" s="30"/>
      <c r="Z567" s="30"/>
      <c r="AA567" s="30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  <c r="CE567" s="45"/>
      <c r="CF567" s="45"/>
      <c r="CG567" s="45"/>
      <c r="CI567" s="45"/>
      <c r="CJ567" s="45"/>
      <c r="CK567" s="45"/>
    </row>
    <row r="568" spans="2:89" s="28" customFormat="1">
      <c r="B568" s="29"/>
      <c r="C568" s="29"/>
      <c r="D568" s="29"/>
      <c r="E568" s="29"/>
      <c r="F568" s="29"/>
      <c r="G568" s="32"/>
      <c r="H568" s="29"/>
      <c r="I568" s="33"/>
      <c r="J568" s="29"/>
      <c r="K568" s="29"/>
      <c r="L568" s="29"/>
      <c r="M568" s="29"/>
      <c r="N568" s="30"/>
      <c r="O568" s="30"/>
      <c r="P568" s="13"/>
      <c r="Q568" s="13"/>
      <c r="R568" s="13"/>
      <c r="S568" s="13"/>
      <c r="T568" s="13"/>
      <c r="U568" s="13"/>
      <c r="V568" s="30"/>
      <c r="W568" s="30"/>
      <c r="X568" s="30"/>
      <c r="Y568" s="30"/>
      <c r="Z568" s="30"/>
      <c r="AA568" s="30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45"/>
      <c r="CF568" s="45"/>
      <c r="CG568" s="45"/>
      <c r="CI568" s="45"/>
      <c r="CJ568" s="45"/>
      <c r="CK568" s="45"/>
    </row>
    <row r="569" spans="2:89" s="28" customFormat="1">
      <c r="B569" s="29"/>
      <c r="C569" s="29"/>
      <c r="D569" s="29"/>
      <c r="E569" s="29"/>
      <c r="F569" s="29"/>
      <c r="G569" s="32"/>
      <c r="H569" s="29"/>
      <c r="I569" s="33"/>
      <c r="J569" s="29"/>
      <c r="K569" s="29"/>
      <c r="L569" s="29"/>
      <c r="M569" s="29"/>
      <c r="N569" s="30"/>
      <c r="O569" s="30"/>
      <c r="P569" s="13"/>
      <c r="Q569" s="13"/>
      <c r="R569" s="13"/>
      <c r="S569" s="13"/>
      <c r="T569" s="13"/>
      <c r="U569" s="13"/>
      <c r="V569" s="30"/>
      <c r="W569" s="30"/>
      <c r="X569" s="30"/>
      <c r="Y569" s="30"/>
      <c r="Z569" s="30"/>
      <c r="AA569" s="30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  <c r="CE569" s="45"/>
      <c r="CF569" s="45"/>
      <c r="CG569" s="45"/>
      <c r="CI569" s="45"/>
      <c r="CJ569" s="45"/>
      <c r="CK569" s="45"/>
    </row>
    <row r="570" spans="2:89" s="28" customFormat="1">
      <c r="B570" s="29"/>
      <c r="C570" s="29"/>
      <c r="D570" s="29"/>
      <c r="E570" s="29"/>
      <c r="F570" s="29"/>
      <c r="G570" s="32"/>
      <c r="H570" s="29"/>
      <c r="I570" s="33"/>
      <c r="J570" s="29"/>
      <c r="K570" s="29"/>
      <c r="L570" s="29"/>
      <c r="M570" s="29"/>
      <c r="N570" s="30"/>
      <c r="O570" s="30"/>
      <c r="P570" s="13"/>
      <c r="Q570" s="13"/>
      <c r="R570" s="13"/>
      <c r="S570" s="13"/>
      <c r="T570" s="13"/>
      <c r="U570" s="13"/>
      <c r="V570" s="30"/>
      <c r="W570" s="30"/>
      <c r="X570" s="30"/>
      <c r="Y570" s="30"/>
      <c r="Z570" s="30"/>
      <c r="AA570" s="30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  <c r="CE570" s="45"/>
      <c r="CF570" s="45"/>
      <c r="CG570" s="45"/>
      <c r="CI570" s="45"/>
      <c r="CJ570" s="45"/>
      <c r="CK570" s="45"/>
    </row>
    <row r="571" spans="2:89" s="28" customFormat="1">
      <c r="B571" s="29"/>
      <c r="C571" s="29"/>
      <c r="D571" s="29"/>
      <c r="E571" s="29"/>
      <c r="F571" s="29"/>
      <c r="G571" s="32"/>
      <c r="H571" s="29"/>
      <c r="I571" s="33"/>
      <c r="J571" s="29"/>
      <c r="K571" s="29"/>
      <c r="L571" s="29"/>
      <c r="M571" s="29"/>
      <c r="N571" s="30"/>
      <c r="O571" s="30"/>
      <c r="P571" s="13"/>
      <c r="Q571" s="13"/>
      <c r="R571" s="13"/>
      <c r="S571" s="13"/>
      <c r="T571" s="13"/>
      <c r="U571" s="13"/>
      <c r="V571" s="30"/>
      <c r="W571" s="30"/>
      <c r="X571" s="30"/>
      <c r="Y571" s="30"/>
      <c r="Z571" s="30"/>
      <c r="AA571" s="30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  <c r="CE571" s="45"/>
      <c r="CF571" s="45"/>
      <c r="CG571" s="45"/>
      <c r="CI571" s="45"/>
      <c r="CJ571" s="45"/>
      <c r="CK571" s="45"/>
    </row>
    <row r="572" spans="2:89" s="28" customFormat="1">
      <c r="B572" s="29"/>
      <c r="C572" s="29"/>
      <c r="D572" s="29"/>
      <c r="E572" s="29"/>
      <c r="F572" s="29"/>
      <c r="G572" s="32"/>
      <c r="H572" s="29"/>
      <c r="I572" s="33"/>
      <c r="J572" s="29"/>
      <c r="K572" s="29"/>
      <c r="L572" s="29"/>
      <c r="M572" s="29"/>
      <c r="N572" s="30"/>
      <c r="O572" s="30"/>
      <c r="P572" s="13"/>
      <c r="Q572" s="13"/>
      <c r="R572" s="13"/>
      <c r="S572" s="13"/>
      <c r="T572" s="13"/>
      <c r="U572" s="13"/>
      <c r="V572" s="30"/>
      <c r="W572" s="30"/>
      <c r="X572" s="30"/>
      <c r="Y572" s="30"/>
      <c r="Z572" s="30"/>
      <c r="AA572" s="30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  <c r="CE572" s="45"/>
      <c r="CF572" s="45"/>
      <c r="CG572" s="45"/>
      <c r="CI572" s="45"/>
      <c r="CJ572" s="45"/>
      <c r="CK572" s="45"/>
    </row>
    <row r="573" spans="2:89" s="28" customFormat="1">
      <c r="B573" s="29"/>
      <c r="C573" s="29"/>
      <c r="D573" s="29"/>
      <c r="E573" s="29"/>
      <c r="F573" s="29"/>
      <c r="G573" s="32"/>
      <c r="H573" s="29"/>
      <c r="I573" s="33"/>
      <c r="J573" s="29"/>
      <c r="K573" s="29"/>
      <c r="L573" s="29"/>
      <c r="M573" s="29"/>
      <c r="N573" s="30"/>
      <c r="O573" s="30"/>
      <c r="P573" s="13"/>
      <c r="Q573" s="13"/>
      <c r="R573" s="13"/>
      <c r="S573" s="13"/>
      <c r="T573" s="13"/>
      <c r="U573" s="13"/>
      <c r="V573" s="30"/>
      <c r="W573" s="30"/>
      <c r="X573" s="30"/>
      <c r="Y573" s="30"/>
      <c r="Z573" s="30"/>
      <c r="AA573" s="30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  <c r="CE573" s="45"/>
      <c r="CF573" s="45"/>
      <c r="CG573" s="45"/>
      <c r="CI573" s="45"/>
      <c r="CJ573" s="45"/>
      <c r="CK573" s="45"/>
    </row>
    <row r="574" spans="2:89" s="28" customFormat="1">
      <c r="B574" s="29"/>
      <c r="C574" s="29"/>
      <c r="D574" s="29"/>
      <c r="E574" s="29"/>
      <c r="F574" s="29"/>
      <c r="G574" s="32"/>
      <c r="H574" s="29"/>
      <c r="I574" s="33"/>
      <c r="J574" s="29"/>
      <c r="K574" s="29"/>
      <c r="L574" s="29"/>
      <c r="M574" s="29"/>
      <c r="N574" s="30"/>
      <c r="O574" s="30"/>
      <c r="P574" s="13"/>
      <c r="Q574" s="13"/>
      <c r="R574" s="13"/>
      <c r="S574" s="13"/>
      <c r="T574" s="13"/>
      <c r="U574" s="13"/>
      <c r="V574" s="30"/>
      <c r="W574" s="30"/>
      <c r="X574" s="30"/>
      <c r="Y574" s="30"/>
      <c r="Z574" s="30"/>
      <c r="AA574" s="30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  <c r="CE574" s="45"/>
      <c r="CF574" s="45"/>
      <c r="CG574" s="45"/>
      <c r="CI574" s="45"/>
      <c r="CJ574" s="45"/>
      <c r="CK574" s="45"/>
    </row>
    <row r="575" spans="2:89" s="28" customFormat="1">
      <c r="B575" s="29"/>
      <c r="C575" s="29"/>
      <c r="D575" s="29"/>
      <c r="E575" s="29"/>
      <c r="F575" s="29"/>
      <c r="G575" s="32"/>
      <c r="H575" s="29"/>
      <c r="I575" s="33"/>
      <c r="J575" s="29"/>
      <c r="K575" s="29"/>
      <c r="L575" s="29"/>
      <c r="M575" s="29"/>
      <c r="N575" s="30"/>
      <c r="O575" s="30"/>
      <c r="P575" s="13"/>
      <c r="Q575" s="13"/>
      <c r="R575" s="13"/>
      <c r="S575" s="13"/>
      <c r="T575" s="13"/>
      <c r="U575" s="13"/>
      <c r="V575" s="30"/>
      <c r="W575" s="30"/>
      <c r="X575" s="30"/>
      <c r="Y575" s="30"/>
      <c r="Z575" s="30"/>
      <c r="AA575" s="30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  <c r="CE575" s="45"/>
      <c r="CF575" s="45"/>
      <c r="CG575" s="45"/>
      <c r="CI575" s="45"/>
      <c r="CJ575" s="45"/>
      <c r="CK575" s="45"/>
    </row>
    <row r="576" spans="2:89" s="28" customFormat="1">
      <c r="B576" s="29"/>
      <c r="C576" s="29"/>
      <c r="D576" s="29"/>
      <c r="E576" s="29"/>
      <c r="F576" s="29"/>
      <c r="G576" s="32"/>
      <c r="H576" s="29"/>
      <c r="I576" s="33"/>
      <c r="J576" s="29"/>
      <c r="K576" s="29"/>
      <c r="L576" s="29"/>
      <c r="M576" s="29"/>
      <c r="N576" s="30"/>
      <c r="O576" s="30"/>
      <c r="P576" s="13"/>
      <c r="Q576" s="13"/>
      <c r="R576" s="13"/>
      <c r="S576" s="13"/>
      <c r="T576" s="13"/>
      <c r="U576" s="13"/>
      <c r="V576" s="30"/>
      <c r="W576" s="30"/>
      <c r="X576" s="30"/>
      <c r="Y576" s="30"/>
      <c r="Z576" s="30"/>
      <c r="AA576" s="30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  <c r="CE576" s="45"/>
      <c r="CF576" s="45"/>
      <c r="CG576" s="45"/>
      <c r="CI576" s="45"/>
      <c r="CJ576" s="45"/>
      <c r="CK576" s="45"/>
    </row>
    <row r="577" spans="2:89" s="28" customFormat="1">
      <c r="B577" s="29"/>
      <c r="C577" s="29"/>
      <c r="D577" s="29"/>
      <c r="E577" s="29"/>
      <c r="F577" s="29"/>
      <c r="G577" s="32"/>
      <c r="H577" s="29"/>
      <c r="I577" s="33"/>
      <c r="J577" s="29"/>
      <c r="K577" s="29"/>
      <c r="L577" s="29"/>
      <c r="M577" s="29"/>
      <c r="N577" s="30"/>
      <c r="O577" s="30"/>
      <c r="P577" s="13"/>
      <c r="Q577" s="13"/>
      <c r="R577" s="13"/>
      <c r="S577" s="13"/>
      <c r="T577" s="13"/>
      <c r="U577" s="13"/>
      <c r="V577" s="30"/>
      <c r="W577" s="30"/>
      <c r="X577" s="30"/>
      <c r="Y577" s="30"/>
      <c r="Z577" s="30"/>
      <c r="AA577" s="30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  <c r="CE577" s="45"/>
      <c r="CF577" s="45"/>
      <c r="CG577" s="45"/>
      <c r="CI577" s="45"/>
      <c r="CJ577" s="45"/>
      <c r="CK577" s="45"/>
    </row>
    <row r="578" spans="2:89" s="28" customFormat="1">
      <c r="B578" s="29"/>
      <c r="C578" s="29"/>
      <c r="D578" s="29"/>
      <c r="E578" s="29"/>
      <c r="F578" s="29"/>
      <c r="G578" s="32"/>
      <c r="H578" s="29"/>
      <c r="I578" s="33"/>
      <c r="J578" s="29"/>
      <c r="K578" s="29"/>
      <c r="L578" s="29"/>
      <c r="M578" s="29"/>
      <c r="N578" s="30"/>
      <c r="O578" s="30"/>
      <c r="P578" s="13"/>
      <c r="Q578" s="13"/>
      <c r="R578" s="13"/>
      <c r="S578" s="13"/>
      <c r="T578" s="13"/>
      <c r="U578" s="13"/>
      <c r="V578" s="30"/>
      <c r="W578" s="30"/>
      <c r="X578" s="30"/>
      <c r="Y578" s="30"/>
      <c r="Z578" s="30"/>
      <c r="AA578" s="30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  <c r="CE578" s="45"/>
      <c r="CF578" s="45"/>
      <c r="CG578" s="45"/>
      <c r="CI578" s="45"/>
      <c r="CJ578" s="45"/>
      <c r="CK578" s="45"/>
    </row>
    <row r="579" spans="2:89" s="28" customFormat="1">
      <c r="B579" s="29"/>
      <c r="C579" s="29"/>
      <c r="D579" s="29"/>
      <c r="E579" s="29"/>
      <c r="F579" s="29"/>
      <c r="G579" s="32"/>
      <c r="H579" s="29"/>
      <c r="I579" s="33"/>
      <c r="J579" s="29"/>
      <c r="K579" s="29"/>
      <c r="L579" s="29"/>
      <c r="M579" s="29"/>
      <c r="N579" s="30"/>
      <c r="O579" s="30"/>
      <c r="P579" s="13"/>
      <c r="Q579" s="13"/>
      <c r="R579" s="13"/>
      <c r="S579" s="13"/>
      <c r="T579" s="13"/>
      <c r="U579" s="13"/>
      <c r="V579" s="30"/>
      <c r="W579" s="30"/>
      <c r="X579" s="30"/>
      <c r="Y579" s="30"/>
      <c r="Z579" s="30"/>
      <c r="AA579" s="30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  <c r="CE579" s="45"/>
      <c r="CF579" s="45"/>
      <c r="CG579" s="45"/>
      <c r="CI579" s="45"/>
      <c r="CJ579" s="45"/>
      <c r="CK579" s="45"/>
    </row>
    <row r="580" spans="2:89" s="28" customFormat="1">
      <c r="B580" s="29"/>
      <c r="C580" s="29"/>
      <c r="D580" s="29"/>
      <c r="E580" s="29"/>
      <c r="F580" s="29"/>
      <c r="G580" s="32"/>
      <c r="H580" s="29"/>
      <c r="I580" s="33"/>
      <c r="J580" s="29"/>
      <c r="K580" s="29"/>
      <c r="L580" s="29"/>
      <c r="M580" s="29"/>
      <c r="N580" s="30"/>
      <c r="O580" s="30"/>
      <c r="P580" s="13"/>
      <c r="Q580" s="13"/>
      <c r="R580" s="13"/>
      <c r="S580" s="13"/>
      <c r="T580" s="13"/>
      <c r="U580" s="13"/>
      <c r="V580" s="30"/>
      <c r="W580" s="30"/>
      <c r="X580" s="30"/>
      <c r="Y580" s="30"/>
      <c r="Z580" s="30"/>
      <c r="AA580" s="30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  <c r="CE580" s="45"/>
      <c r="CF580" s="45"/>
      <c r="CG580" s="45"/>
      <c r="CI580" s="45"/>
      <c r="CJ580" s="45"/>
      <c r="CK580" s="45"/>
    </row>
    <row r="581" spans="2:89" s="28" customFormat="1">
      <c r="B581" s="29"/>
      <c r="C581" s="29"/>
      <c r="D581" s="29"/>
      <c r="E581" s="29"/>
      <c r="F581" s="29"/>
      <c r="G581" s="32"/>
      <c r="H581" s="29"/>
      <c r="I581" s="33"/>
      <c r="J581" s="29"/>
      <c r="K581" s="29"/>
      <c r="L581" s="29"/>
      <c r="M581" s="29"/>
      <c r="N581" s="30"/>
      <c r="O581" s="30"/>
      <c r="P581" s="13"/>
      <c r="Q581" s="13"/>
      <c r="R581" s="13"/>
      <c r="S581" s="13"/>
      <c r="T581" s="13"/>
      <c r="U581" s="13"/>
      <c r="V581" s="30"/>
      <c r="W581" s="30"/>
      <c r="X581" s="30"/>
      <c r="Y581" s="30"/>
      <c r="Z581" s="30"/>
      <c r="AA581" s="30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  <c r="CE581" s="45"/>
      <c r="CF581" s="45"/>
      <c r="CG581" s="45"/>
      <c r="CI581" s="45"/>
      <c r="CJ581" s="45"/>
      <c r="CK581" s="45"/>
    </row>
    <row r="582" spans="2:89" s="28" customFormat="1">
      <c r="B582" s="29"/>
      <c r="C582" s="29"/>
      <c r="D582" s="29"/>
      <c r="E582" s="29"/>
      <c r="F582" s="29"/>
      <c r="G582" s="32"/>
      <c r="H582" s="29"/>
      <c r="I582" s="33"/>
      <c r="J582" s="29"/>
      <c r="K582" s="29"/>
      <c r="L582" s="29"/>
      <c r="M582" s="29"/>
      <c r="N582" s="30"/>
      <c r="O582" s="30"/>
      <c r="P582" s="13"/>
      <c r="Q582" s="13"/>
      <c r="R582" s="13"/>
      <c r="S582" s="13"/>
      <c r="T582" s="13"/>
      <c r="U582" s="13"/>
      <c r="V582" s="30"/>
      <c r="W582" s="30"/>
      <c r="X582" s="30"/>
      <c r="Y582" s="30"/>
      <c r="Z582" s="30"/>
      <c r="AA582" s="30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  <c r="CE582" s="45"/>
      <c r="CF582" s="45"/>
      <c r="CG582" s="45"/>
      <c r="CI582" s="45"/>
      <c r="CJ582" s="45"/>
      <c r="CK582" s="45"/>
    </row>
    <row r="583" spans="2:89" s="28" customFormat="1">
      <c r="B583" s="29"/>
      <c r="C583" s="29"/>
      <c r="D583" s="29"/>
      <c r="E583" s="29"/>
      <c r="F583" s="29"/>
      <c r="G583" s="32"/>
      <c r="H583" s="29"/>
      <c r="I583" s="33"/>
      <c r="J583" s="29"/>
      <c r="K583" s="29"/>
      <c r="L583" s="29"/>
      <c r="M583" s="29"/>
      <c r="N583" s="30"/>
      <c r="O583" s="30"/>
      <c r="P583" s="13"/>
      <c r="Q583" s="13"/>
      <c r="R583" s="13"/>
      <c r="S583" s="13"/>
      <c r="T583" s="13"/>
      <c r="U583" s="13"/>
      <c r="V583" s="30"/>
      <c r="W583" s="30"/>
      <c r="X583" s="30"/>
      <c r="Y583" s="30"/>
      <c r="Z583" s="30"/>
      <c r="AA583" s="30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  <c r="CE583" s="45"/>
      <c r="CF583" s="45"/>
      <c r="CG583" s="45"/>
      <c r="CI583" s="45"/>
      <c r="CJ583" s="45"/>
      <c r="CK583" s="45"/>
    </row>
    <row r="584" spans="2:89" s="28" customFormat="1">
      <c r="B584" s="29"/>
      <c r="C584" s="29"/>
      <c r="D584" s="29"/>
      <c r="E584" s="29"/>
      <c r="F584" s="29"/>
      <c r="G584" s="32"/>
      <c r="H584" s="29"/>
      <c r="I584" s="33"/>
      <c r="J584" s="29"/>
      <c r="K584" s="29"/>
      <c r="L584" s="29"/>
      <c r="M584" s="29"/>
      <c r="N584" s="30"/>
      <c r="O584" s="30"/>
      <c r="P584" s="13"/>
      <c r="Q584" s="13"/>
      <c r="R584" s="13"/>
      <c r="S584" s="13"/>
      <c r="T584" s="13"/>
      <c r="U584" s="13"/>
      <c r="V584" s="30"/>
      <c r="W584" s="30"/>
      <c r="X584" s="30"/>
      <c r="Y584" s="30"/>
      <c r="Z584" s="30"/>
      <c r="AA584" s="30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  <c r="CE584" s="45"/>
      <c r="CF584" s="45"/>
      <c r="CG584" s="45"/>
      <c r="CI584" s="45"/>
      <c r="CJ584" s="45"/>
      <c r="CK584" s="45"/>
    </row>
    <row r="585" spans="2:89" s="28" customFormat="1">
      <c r="B585" s="29"/>
      <c r="C585" s="29"/>
      <c r="D585" s="29"/>
      <c r="E585" s="29"/>
      <c r="F585" s="29"/>
      <c r="G585" s="32"/>
      <c r="H585" s="29"/>
      <c r="I585" s="33"/>
      <c r="J585" s="29"/>
      <c r="K585" s="29"/>
      <c r="L585" s="29"/>
      <c r="M585" s="29"/>
      <c r="N585" s="30"/>
      <c r="O585" s="30"/>
      <c r="P585" s="13"/>
      <c r="Q585" s="13"/>
      <c r="R585" s="13"/>
      <c r="S585" s="13"/>
      <c r="T585" s="13"/>
      <c r="U585" s="13"/>
      <c r="V585" s="30"/>
      <c r="W585" s="30"/>
      <c r="X585" s="30"/>
      <c r="Y585" s="30"/>
      <c r="Z585" s="30"/>
      <c r="AA585" s="30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  <c r="CE585" s="45"/>
      <c r="CF585" s="45"/>
      <c r="CG585" s="45"/>
      <c r="CI585" s="45"/>
      <c r="CJ585" s="45"/>
      <c r="CK585" s="45"/>
    </row>
    <row r="586" spans="2:89" s="28" customFormat="1">
      <c r="B586" s="29"/>
      <c r="C586" s="29"/>
      <c r="D586" s="29"/>
      <c r="E586" s="29"/>
      <c r="F586" s="29"/>
      <c r="G586" s="32"/>
      <c r="H586" s="29"/>
      <c r="I586" s="33"/>
      <c r="J586" s="29"/>
      <c r="K586" s="29"/>
      <c r="L586" s="29"/>
      <c r="M586" s="29"/>
      <c r="N586" s="30"/>
      <c r="O586" s="30"/>
      <c r="P586" s="13"/>
      <c r="Q586" s="13"/>
      <c r="R586" s="13"/>
      <c r="S586" s="13"/>
      <c r="T586" s="13"/>
      <c r="U586" s="13"/>
      <c r="V586" s="30"/>
      <c r="W586" s="30"/>
      <c r="X586" s="30"/>
      <c r="Y586" s="30"/>
      <c r="Z586" s="30"/>
      <c r="AA586" s="30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  <c r="CE586" s="45"/>
      <c r="CF586" s="45"/>
      <c r="CG586" s="45"/>
      <c r="CI586" s="45"/>
      <c r="CJ586" s="45"/>
      <c r="CK586" s="45"/>
    </row>
    <row r="587" spans="2:89" s="28" customFormat="1">
      <c r="B587" s="29"/>
      <c r="C587" s="29"/>
      <c r="D587" s="29"/>
      <c r="E587" s="29"/>
      <c r="F587" s="29"/>
      <c r="G587" s="32"/>
      <c r="H587" s="29"/>
      <c r="I587" s="33"/>
      <c r="J587" s="29"/>
      <c r="K587" s="29"/>
      <c r="L587" s="29"/>
      <c r="M587" s="29"/>
      <c r="N587" s="30"/>
      <c r="O587" s="30"/>
      <c r="P587" s="13"/>
      <c r="Q587" s="13"/>
      <c r="R587" s="13"/>
      <c r="S587" s="13"/>
      <c r="T587" s="13"/>
      <c r="U587" s="13"/>
      <c r="V587" s="30"/>
      <c r="W587" s="30"/>
      <c r="X587" s="30"/>
      <c r="Y587" s="30"/>
      <c r="Z587" s="30"/>
      <c r="AA587" s="30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  <c r="CF587" s="45"/>
      <c r="CG587" s="45"/>
      <c r="CI587" s="45"/>
      <c r="CJ587" s="45"/>
      <c r="CK587" s="45"/>
    </row>
    <row r="588" spans="2:89" s="28" customFormat="1">
      <c r="B588" s="29"/>
      <c r="C588" s="29"/>
      <c r="D588" s="29"/>
      <c r="E588" s="29"/>
      <c r="F588" s="29"/>
      <c r="G588" s="32"/>
      <c r="H588" s="29"/>
      <c r="I588" s="33"/>
      <c r="J588" s="29"/>
      <c r="K588" s="29"/>
      <c r="L588" s="29"/>
      <c r="M588" s="29"/>
      <c r="N588" s="30"/>
      <c r="O588" s="30"/>
      <c r="P588" s="13"/>
      <c r="Q588" s="13"/>
      <c r="R588" s="13"/>
      <c r="S588" s="13"/>
      <c r="T588" s="13"/>
      <c r="U588" s="13"/>
      <c r="V588" s="30"/>
      <c r="W588" s="30"/>
      <c r="X588" s="30"/>
      <c r="Y588" s="30"/>
      <c r="Z588" s="30"/>
      <c r="AA588" s="30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  <c r="CF588" s="45"/>
      <c r="CG588" s="45"/>
      <c r="CI588" s="45"/>
      <c r="CJ588" s="45"/>
      <c r="CK588" s="45"/>
    </row>
    <row r="589" spans="2:89" s="28" customFormat="1">
      <c r="B589" s="29"/>
      <c r="C589" s="29"/>
      <c r="D589" s="29"/>
      <c r="E589" s="29"/>
      <c r="F589" s="29"/>
      <c r="G589" s="32"/>
      <c r="H589" s="29"/>
      <c r="I589" s="33"/>
      <c r="J589" s="29"/>
      <c r="K589" s="29"/>
      <c r="L589" s="29"/>
      <c r="M589" s="29"/>
      <c r="N589" s="30"/>
      <c r="O589" s="30"/>
      <c r="P589" s="13"/>
      <c r="Q589" s="13"/>
      <c r="R589" s="13"/>
      <c r="S589" s="13"/>
      <c r="T589" s="13"/>
      <c r="U589" s="13"/>
      <c r="V589" s="30"/>
      <c r="W589" s="30"/>
      <c r="X589" s="30"/>
      <c r="Y589" s="30"/>
      <c r="Z589" s="30"/>
      <c r="AA589" s="30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  <c r="CF589" s="45"/>
      <c r="CG589" s="45"/>
      <c r="CI589" s="45"/>
      <c r="CJ589" s="45"/>
      <c r="CK589" s="45"/>
    </row>
    <row r="590" spans="2:89" s="28" customFormat="1">
      <c r="B590" s="29"/>
      <c r="C590" s="29"/>
      <c r="D590" s="29"/>
      <c r="E590" s="29"/>
      <c r="F590" s="29"/>
      <c r="G590" s="32"/>
      <c r="H590" s="29"/>
      <c r="I590" s="33"/>
      <c r="J590" s="29"/>
      <c r="K590" s="29"/>
      <c r="L590" s="29"/>
      <c r="M590" s="29"/>
      <c r="N590" s="30"/>
      <c r="O590" s="30"/>
      <c r="P590" s="13"/>
      <c r="Q590" s="13"/>
      <c r="R590" s="13"/>
      <c r="S590" s="13"/>
      <c r="T590" s="13"/>
      <c r="U590" s="13"/>
      <c r="V590" s="30"/>
      <c r="W590" s="30"/>
      <c r="X590" s="30"/>
      <c r="Y590" s="30"/>
      <c r="Z590" s="30"/>
      <c r="AA590" s="30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  <c r="CF590" s="45"/>
      <c r="CG590" s="45"/>
      <c r="CI590" s="45"/>
      <c r="CJ590" s="45"/>
      <c r="CK590" s="45"/>
    </row>
    <row r="591" spans="2:89" s="28" customFormat="1">
      <c r="B591" s="29"/>
      <c r="C591" s="29"/>
      <c r="D591" s="29"/>
      <c r="E591" s="29"/>
      <c r="F591" s="29"/>
      <c r="G591" s="32"/>
      <c r="H591" s="29"/>
      <c r="I591" s="33"/>
      <c r="J591" s="29"/>
      <c r="K591" s="29"/>
      <c r="L591" s="29"/>
      <c r="M591" s="29"/>
      <c r="N591" s="30"/>
      <c r="O591" s="30"/>
      <c r="P591" s="13"/>
      <c r="Q591" s="13"/>
      <c r="R591" s="13"/>
      <c r="S591" s="13"/>
      <c r="T591" s="13"/>
      <c r="U591" s="13"/>
      <c r="V591" s="30"/>
      <c r="W591" s="30"/>
      <c r="X591" s="30"/>
      <c r="Y591" s="30"/>
      <c r="Z591" s="30"/>
      <c r="AA591" s="30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45"/>
      <c r="BU591" s="45"/>
      <c r="BV591" s="45"/>
      <c r="BW591" s="45"/>
      <c r="BX591" s="45"/>
      <c r="BY591" s="45"/>
      <c r="BZ591" s="45"/>
      <c r="CA591" s="45"/>
      <c r="CB591" s="45"/>
      <c r="CC591" s="46"/>
      <c r="CD591" s="45"/>
      <c r="CE591" s="45"/>
      <c r="CF591" s="45"/>
      <c r="CG591" s="45"/>
      <c r="CI591" s="45"/>
      <c r="CJ591" s="45"/>
      <c r="CK591" s="45"/>
    </row>
    <row r="1048557" spans="9:70">
      <c r="I1048557" s="24"/>
      <c r="AP1048557" s="20"/>
      <c r="BR1048557" s="26"/>
    </row>
  </sheetData>
  <autoFilter ref="A6:CK83" xr:uid="{00000000-0009-0000-0000-000000000000}"/>
  <mergeCells count="63">
    <mergeCell ref="CI3:CI4"/>
    <mergeCell ref="CJ3:CJ4"/>
    <mergeCell ref="CK3:CK4"/>
    <mergeCell ref="CD3:CD4"/>
    <mergeCell ref="CE3:CE4"/>
    <mergeCell ref="CF3:CF4"/>
    <mergeCell ref="CG3:CG4"/>
    <mergeCell ref="CH3:CH4"/>
    <mergeCell ref="BY3:BY4"/>
    <mergeCell ref="BZ3:BZ4"/>
    <mergeCell ref="CA3:CA4"/>
    <mergeCell ref="CB3:CB4"/>
    <mergeCell ref="CC3:CC4"/>
    <mergeCell ref="BT3:BT4"/>
    <mergeCell ref="BU3:BU4"/>
    <mergeCell ref="BV3:BV4"/>
    <mergeCell ref="BW3:BW4"/>
    <mergeCell ref="BX3:BX4"/>
    <mergeCell ref="AY3:AY4"/>
    <mergeCell ref="AZ3:AZ4"/>
    <mergeCell ref="BA3:BB3"/>
    <mergeCell ref="BD3:BD4"/>
    <mergeCell ref="BC3:BC4"/>
    <mergeCell ref="BP3:BP4"/>
    <mergeCell ref="BF3:BF4"/>
    <mergeCell ref="BI3:BI4"/>
    <mergeCell ref="BL3:BL4"/>
    <mergeCell ref="BN3:BN4"/>
    <mergeCell ref="BK3:BK4"/>
    <mergeCell ref="BM3:BM4"/>
    <mergeCell ref="BJ3:BJ4"/>
    <mergeCell ref="AP3:AQ3"/>
    <mergeCell ref="A3:A4"/>
    <mergeCell ref="BH3:BH4"/>
    <mergeCell ref="BE3:BE4"/>
    <mergeCell ref="BO3:BO4"/>
    <mergeCell ref="D3:F4"/>
    <mergeCell ref="R3:R4"/>
    <mergeCell ref="T3:U3"/>
    <mergeCell ref="AA3:AA4"/>
    <mergeCell ref="AB3:AC3"/>
    <mergeCell ref="AB4:AC4"/>
    <mergeCell ref="AD3:AE3"/>
    <mergeCell ref="AR3:AS3"/>
    <mergeCell ref="AT3:AU3"/>
    <mergeCell ref="AV3:AV4"/>
    <mergeCell ref="AW3:AX3"/>
    <mergeCell ref="CL3:CL4"/>
    <mergeCell ref="BQ3:BQ4"/>
    <mergeCell ref="BR3:BR4"/>
    <mergeCell ref="BS3:BS4"/>
    <mergeCell ref="B3:B4"/>
    <mergeCell ref="J3:J4"/>
    <mergeCell ref="L3:L4"/>
    <mergeCell ref="M3:M4"/>
    <mergeCell ref="G3:G4"/>
    <mergeCell ref="I3:I4"/>
    <mergeCell ref="C3:C4"/>
    <mergeCell ref="H3:H4"/>
    <mergeCell ref="K3:K4"/>
    <mergeCell ref="BG3:BG4"/>
    <mergeCell ref="AD4:AE4"/>
    <mergeCell ref="S3:S4"/>
  </mergeCells>
  <pageMargins left="0.11810000000000002" right="0" top="0.45320000000000005" bottom="0.29570000000000002" header="0.15750000000000003" footer="0"/>
  <pageSetup paperSize="9" scale="44"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2"/>
  <sheetViews>
    <sheetView zoomScale="90" zoomScaleNormal="90" workbookViewId="0">
      <selection activeCell="B5" sqref="B5:B6"/>
    </sheetView>
  </sheetViews>
  <sheetFormatPr defaultColWidth="9.140625" defaultRowHeight="12.75"/>
  <cols>
    <col min="1" max="1" width="3.7109375" style="1" bestFit="1" customWidth="1"/>
    <col min="2" max="2" width="16" style="1" customWidth="1"/>
    <col min="3" max="5" width="12" style="1" bestFit="1" customWidth="1"/>
    <col min="6" max="16384" width="9.140625" style="1"/>
  </cols>
  <sheetData>
    <row r="2" spans="1:5" ht="13.5" thickBot="1"/>
    <row r="3" spans="1:5">
      <c r="A3" s="121" t="s">
        <v>0</v>
      </c>
      <c r="B3" s="123" t="s">
        <v>1</v>
      </c>
      <c r="C3" s="125" t="s">
        <v>2</v>
      </c>
      <c r="D3" s="125"/>
      <c r="E3" s="126"/>
    </row>
    <row r="4" spans="1:5">
      <c r="A4" s="122"/>
      <c r="B4" s="124"/>
      <c r="C4" s="2" t="s">
        <v>63</v>
      </c>
      <c r="D4" s="2" t="s">
        <v>86</v>
      </c>
      <c r="E4" s="3" t="s">
        <v>88</v>
      </c>
    </row>
    <row r="5" spans="1:5">
      <c r="A5" s="103">
        <v>1</v>
      </c>
      <c r="B5" s="127" t="s">
        <v>3</v>
      </c>
      <c r="C5" s="128" t="s">
        <v>4</v>
      </c>
      <c r="D5" s="128" t="s">
        <v>5</v>
      </c>
      <c r="E5" s="129" t="s">
        <v>4</v>
      </c>
    </row>
    <row r="6" spans="1:5">
      <c r="A6" s="103"/>
      <c r="B6" s="109"/>
      <c r="C6" s="111"/>
      <c r="D6" s="111"/>
      <c r="E6" s="107"/>
    </row>
    <row r="7" spans="1:5">
      <c r="A7" s="103">
        <v>2</v>
      </c>
      <c r="B7" s="108" t="s">
        <v>6</v>
      </c>
      <c r="C7" s="110" t="s">
        <v>7</v>
      </c>
      <c r="D7" s="115" t="s">
        <v>5</v>
      </c>
      <c r="E7" s="119" t="s">
        <v>5</v>
      </c>
    </row>
    <row r="8" spans="1:5">
      <c r="A8" s="103"/>
      <c r="B8" s="109"/>
      <c r="C8" s="111"/>
      <c r="D8" s="116"/>
      <c r="E8" s="120"/>
    </row>
    <row r="9" spans="1:5">
      <c r="A9" s="103">
        <v>3</v>
      </c>
      <c r="B9" s="108" t="s">
        <v>8</v>
      </c>
      <c r="C9" s="110" t="s">
        <v>9</v>
      </c>
      <c r="D9" s="110" t="s">
        <v>10</v>
      </c>
      <c r="E9" s="106" t="s">
        <v>11</v>
      </c>
    </row>
    <row r="10" spans="1:5">
      <c r="A10" s="103"/>
      <c r="B10" s="109"/>
      <c r="C10" s="111"/>
      <c r="D10" s="111"/>
      <c r="E10" s="107"/>
    </row>
    <row r="11" spans="1:5">
      <c r="A11" s="103">
        <v>4</v>
      </c>
      <c r="B11" s="108" t="s">
        <v>12</v>
      </c>
      <c r="C11" s="110" t="s">
        <v>13</v>
      </c>
      <c r="D11" s="110" t="s">
        <v>14</v>
      </c>
      <c r="E11" s="106" t="s">
        <v>15</v>
      </c>
    </row>
    <row r="12" spans="1:5">
      <c r="A12" s="103"/>
      <c r="B12" s="109"/>
      <c r="C12" s="111"/>
      <c r="D12" s="111"/>
      <c r="E12" s="107"/>
    </row>
    <row r="13" spans="1:5">
      <c r="A13" s="103">
        <v>5</v>
      </c>
      <c r="B13" s="108" t="s">
        <v>16</v>
      </c>
      <c r="C13" s="110" t="s">
        <v>13</v>
      </c>
      <c r="D13" s="110" t="s">
        <v>17</v>
      </c>
      <c r="E13" s="106" t="s">
        <v>18</v>
      </c>
    </row>
    <row r="14" spans="1:5">
      <c r="A14" s="103"/>
      <c r="B14" s="109"/>
      <c r="C14" s="111"/>
      <c r="D14" s="111"/>
      <c r="E14" s="107"/>
    </row>
    <row r="15" spans="1:5">
      <c r="A15" s="103">
        <v>6</v>
      </c>
      <c r="B15" s="108" t="s">
        <v>19</v>
      </c>
      <c r="C15" s="110" t="s">
        <v>20</v>
      </c>
      <c r="D15" s="115" t="s">
        <v>5</v>
      </c>
      <c r="E15" s="106" t="s">
        <v>21</v>
      </c>
    </row>
    <row r="16" spans="1:5">
      <c r="A16" s="103"/>
      <c r="B16" s="109"/>
      <c r="C16" s="111"/>
      <c r="D16" s="116"/>
      <c r="E16" s="107"/>
    </row>
    <row r="17" spans="1:5">
      <c r="A17" s="103">
        <v>7</v>
      </c>
      <c r="B17" s="108" t="s">
        <v>22</v>
      </c>
      <c r="C17" s="110" t="s">
        <v>23</v>
      </c>
      <c r="D17" s="110" t="s">
        <v>24</v>
      </c>
      <c r="E17" s="106" t="s">
        <v>25</v>
      </c>
    </row>
    <row r="18" spans="1:5">
      <c r="A18" s="103"/>
      <c r="B18" s="109"/>
      <c r="C18" s="111"/>
      <c r="D18" s="111"/>
      <c r="E18" s="107"/>
    </row>
    <row r="19" spans="1:5">
      <c r="A19" s="103">
        <v>8</v>
      </c>
      <c r="B19" s="108" t="s">
        <v>26</v>
      </c>
      <c r="C19" s="110" t="s">
        <v>27</v>
      </c>
      <c r="D19" s="113" t="s">
        <v>5</v>
      </c>
      <c r="E19" s="106" t="s">
        <v>21</v>
      </c>
    </row>
    <row r="20" spans="1:5">
      <c r="A20" s="103"/>
      <c r="B20" s="109"/>
      <c r="C20" s="111"/>
      <c r="D20" s="114"/>
      <c r="E20" s="107"/>
    </row>
    <row r="21" spans="1:5">
      <c r="A21" s="103">
        <v>9</v>
      </c>
      <c r="B21" s="108" t="s">
        <v>28</v>
      </c>
      <c r="C21" s="110" t="s">
        <v>29</v>
      </c>
      <c r="D21" s="115" t="s">
        <v>5</v>
      </c>
      <c r="E21" s="117" t="s">
        <v>21</v>
      </c>
    </row>
    <row r="22" spans="1:5">
      <c r="A22" s="103"/>
      <c r="B22" s="109"/>
      <c r="C22" s="111"/>
      <c r="D22" s="116"/>
      <c r="E22" s="118"/>
    </row>
    <row r="23" spans="1:5">
      <c r="A23" s="103">
        <v>10</v>
      </c>
      <c r="B23" s="108" t="s">
        <v>30</v>
      </c>
      <c r="C23" s="110" t="s">
        <v>31</v>
      </c>
      <c r="D23" s="110" t="s">
        <v>32</v>
      </c>
      <c r="E23" s="106" t="s">
        <v>33</v>
      </c>
    </row>
    <row r="24" spans="1:5">
      <c r="A24" s="103"/>
      <c r="B24" s="109"/>
      <c r="C24" s="111"/>
      <c r="D24" s="111"/>
      <c r="E24" s="107"/>
    </row>
    <row r="25" spans="1:5">
      <c r="A25" s="103">
        <v>11</v>
      </c>
      <c r="B25" s="104" t="s">
        <v>22</v>
      </c>
      <c r="C25" s="105" t="s">
        <v>23</v>
      </c>
      <c r="D25" s="105" t="s">
        <v>24</v>
      </c>
      <c r="E25" s="112" t="s">
        <v>25</v>
      </c>
    </row>
    <row r="26" spans="1:5">
      <c r="A26" s="103"/>
      <c r="B26" s="104"/>
      <c r="C26" s="105"/>
      <c r="D26" s="105"/>
      <c r="E26" s="112"/>
    </row>
    <row r="27" spans="1:5">
      <c r="A27" s="103">
        <v>12</v>
      </c>
      <c r="B27" s="104" t="s">
        <v>34</v>
      </c>
      <c r="C27" s="105" t="s">
        <v>27</v>
      </c>
      <c r="D27" s="130" t="s">
        <v>5</v>
      </c>
      <c r="E27" s="112" t="s">
        <v>21</v>
      </c>
    </row>
    <row r="28" spans="1:5">
      <c r="A28" s="103"/>
      <c r="B28" s="104"/>
      <c r="C28" s="105"/>
      <c r="D28" s="130"/>
      <c r="E28" s="112"/>
    </row>
    <row r="29" spans="1:5">
      <c r="A29" s="103">
        <v>13</v>
      </c>
      <c r="B29" s="104" t="s">
        <v>121</v>
      </c>
      <c r="C29" s="105" t="s">
        <v>119</v>
      </c>
      <c r="D29" s="105" t="s">
        <v>119</v>
      </c>
      <c r="E29" s="112" t="s">
        <v>120</v>
      </c>
    </row>
    <row r="30" spans="1:5">
      <c r="A30" s="103"/>
      <c r="B30" s="104"/>
      <c r="C30" s="105"/>
      <c r="D30" s="105"/>
      <c r="E30" s="112"/>
    </row>
    <row r="31" spans="1:5">
      <c r="A31" s="103">
        <v>14</v>
      </c>
      <c r="B31" s="104" t="s">
        <v>122</v>
      </c>
      <c r="C31" s="105" t="s">
        <v>123</v>
      </c>
      <c r="D31" s="105" t="s">
        <v>124</v>
      </c>
      <c r="E31" s="106" t="s">
        <v>124</v>
      </c>
    </row>
    <row r="32" spans="1:5">
      <c r="A32" s="103"/>
      <c r="B32" s="104"/>
      <c r="C32" s="105"/>
      <c r="D32" s="105"/>
      <c r="E32" s="107"/>
    </row>
  </sheetData>
  <mergeCells count="73">
    <mergeCell ref="A29:A30"/>
    <mergeCell ref="B29:B30"/>
    <mergeCell ref="C29:C30"/>
    <mergeCell ref="D29:D30"/>
    <mergeCell ref="E29:E30"/>
    <mergeCell ref="A27:A28"/>
    <mergeCell ref="B27:B28"/>
    <mergeCell ref="C27:C28"/>
    <mergeCell ref="D27:D28"/>
    <mergeCell ref="E27:E28"/>
    <mergeCell ref="A3:A4"/>
    <mergeCell ref="B3:B4"/>
    <mergeCell ref="C3:E3"/>
    <mergeCell ref="A5:A6"/>
    <mergeCell ref="B5:B6"/>
    <mergeCell ref="C5:C6"/>
    <mergeCell ref="D5:D6"/>
    <mergeCell ref="E5:E6"/>
    <mergeCell ref="A9:A10"/>
    <mergeCell ref="B9:B10"/>
    <mergeCell ref="C9:C10"/>
    <mergeCell ref="D9:D10"/>
    <mergeCell ref="E9:E10"/>
    <mergeCell ref="A7:A8"/>
    <mergeCell ref="B7:B8"/>
    <mergeCell ref="C7:C8"/>
    <mergeCell ref="D7:D8"/>
    <mergeCell ref="E7:E8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A21:A22"/>
    <mergeCell ref="B21:B22"/>
    <mergeCell ref="C21:C22"/>
    <mergeCell ref="D21:D22"/>
    <mergeCell ref="E21:E22"/>
    <mergeCell ref="A19:A20"/>
    <mergeCell ref="B19:B20"/>
    <mergeCell ref="C19:C20"/>
    <mergeCell ref="D19:D20"/>
    <mergeCell ref="E19:E20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A31:A32"/>
    <mergeCell ref="B31:B32"/>
    <mergeCell ref="C31:C32"/>
    <mergeCell ref="D31:D32"/>
    <mergeCell ref="E31:E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Parameter Setting</vt:lpstr>
      <vt:lpstr>Material Base On TSM</vt:lpstr>
      <vt:lpstr>'Parameter Setting'!Print_Area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HERI14</dc:creator>
  <cp:lastModifiedBy>Dede Piani</cp:lastModifiedBy>
  <dcterms:created xsi:type="dcterms:W3CDTF">2016-01-08T09:11:25Z</dcterms:created>
  <dcterms:modified xsi:type="dcterms:W3CDTF">2026-06-25T04:06:25Z</dcterms:modified>
</cp:coreProperties>
</file>