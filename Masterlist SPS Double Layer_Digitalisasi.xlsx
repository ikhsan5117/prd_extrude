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D33059-B798-4007-A655-239EBF76AD2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terial Base On TSM" sheetId="1" r:id="rId1"/>
    <sheet name="Parameter Setting" sheetId="2" r:id="rId2"/>
    <sheet name="Digitalisasi" sheetId="4" r:id="rId3"/>
    <sheet name="Print" sheetId="3" r:id="rId4"/>
  </sheets>
  <definedNames>
    <definedName name="_xlnm._FilterDatabase" localSheetId="1" hidden="1">'Parameter Setting'!$A$6:$AX$67</definedName>
    <definedName name="_xlnm.Print_Area" localSheetId="1">'Parameter Setting'!$B$1:$AP$2</definedName>
    <definedName name="_xlnm.Print_Area" localSheetId="3">Print!$A$1:$AY$44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4" l="1"/>
  <c r="H13" i="4"/>
  <c r="H16" i="4"/>
  <c r="A16" i="4"/>
  <c r="H15" i="4"/>
  <c r="A15" i="4"/>
  <c r="H14" i="4"/>
  <c r="A14" i="4"/>
  <c r="H12" i="4"/>
  <c r="A12" i="4"/>
  <c r="H11" i="4"/>
  <c r="A11" i="4"/>
  <c r="H10" i="4"/>
  <c r="A10" i="4"/>
  <c r="H9" i="4"/>
  <c r="A9" i="4"/>
  <c r="H8" i="4"/>
  <c r="A8" i="4"/>
  <c r="H7" i="4"/>
  <c r="A7" i="4"/>
  <c r="AX67" i="2"/>
  <c r="AW67" i="2"/>
  <c r="H67" i="2"/>
  <c r="A67" i="2"/>
  <c r="H66" i="2"/>
  <c r="A66" i="2"/>
  <c r="H65" i="2"/>
  <c r="A65" i="2"/>
  <c r="H64" i="2"/>
  <c r="A64" i="2"/>
  <c r="H63" i="2"/>
  <c r="A63" i="2"/>
  <c r="H62" i="2"/>
  <c r="A62" i="2"/>
  <c r="H61" i="2"/>
  <c r="A61" i="2"/>
  <c r="H60" i="2"/>
  <c r="A60" i="2"/>
  <c r="H59" i="2"/>
  <c r="A59" i="2"/>
  <c r="H58" i="2"/>
  <c r="A58" i="2"/>
  <c r="H57" i="2"/>
  <c r="A57" i="2"/>
  <c r="H56" i="2"/>
  <c r="A56" i="2"/>
  <c r="AW55" i="2"/>
  <c r="H54" i="2"/>
  <c r="A54" i="2"/>
  <c r="A53" i="2"/>
  <c r="H53" i="2"/>
  <c r="H52" i="2"/>
  <c r="A52" i="2"/>
  <c r="H51" i="2"/>
  <c r="A51" i="2"/>
  <c r="A10" i="2"/>
  <c r="H50" i="2"/>
  <c r="A50" i="2"/>
  <c r="H49" i="2"/>
  <c r="A49" i="2"/>
  <c r="H60" i="3"/>
  <c r="A60" i="3"/>
  <c r="H59" i="3"/>
  <c r="A59" i="3"/>
  <c r="H58" i="3"/>
  <c r="A58" i="3"/>
  <c r="H57" i="3"/>
  <c r="A57" i="3"/>
  <c r="H56" i="3"/>
  <c r="A56" i="3"/>
  <c r="H55" i="3"/>
  <c r="A55" i="3"/>
  <c r="H54" i="3"/>
  <c r="A54" i="3"/>
  <c r="H53" i="3"/>
  <c r="A53" i="3"/>
  <c r="H52" i="3"/>
  <c r="A52" i="3"/>
  <c r="H51" i="3"/>
  <c r="A51" i="3"/>
  <c r="H50" i="3"/>
  <c r="A50" i="3"/>
  <c r="H49" i="3"/>
  <c r="A49" i="3"/>
  <c r="H48" i="3"/>
  <c r="A48" i="3"/>
  <c r="H47" i="3"/>
  <c r="A47" i="3"/>
  <c r="H46" i="3"/>
  <c r="A46" i="3"/>
  <c r="H45" i="3"/>
  <c r="A45" i="3"/>
  <c r="H44" i="3"/>
  <c r="A44" i="3"/>
  <c r="H43" i="3"/>
  <c r="A43" i="3"/>
  <c r="H42" i="3"/>
  <c r="A42" i="3"/>
  <c r="H41" i="3"/>
  <c r="A41" i="3"/>
  <c r="H40" i="3"/>
  <c r="A40" i="3"/>
  <c r="H39" i="3"/>
  <c r="A39" i="3"/>
  <c r="H38" i="3"/>
  <c r="A38" i="3"/>
  <c r="H37" i="3"/>
  <c r="A37" i="3"/>
  <c r="H36" i="3"/>
  <c r="A36" i="3"/>
  <c r="H35" i="3"/>
  <c r="A35" i="3"/>
  <c r="H34" i="3"/>
  <c r="A34" i="3"/>
  <c r="H33" i="3"/>
  <c r="A33" i="3"/>
  <c r="H32" i="3"/>
  <c r="A32" i="3"/>
  <c r="H31" i="3"/>
  <c r="A31" i="3"/>
  <c r="H30" i="3"/>
  <c r="A30" i="3"/>
  <c r="H29" i="3"/>
  <c r="A29" i="3"/>
  <c r="H28" i="3"/>
  <c r="A28" i="3"/>
  <c r="H27" i="3"/>
  <c r="A27" i="3"/>
  <c r="H26" i="3"/>
  <c r="A26" i="3"/>
  <c r="H25" i="3"/>
  <c r="A25" i="3"/>
  <c r="H24" i="3"/>
  <c r="A24" i="3"/>
  <c r="H23" i="3"/>
  <c r="A23" i="3"/>
  <c r="H22" i="3"/>
  <c r="A22" i="3"/>
  <c r="H21" i="3"/>
  <c r="A21" i="3"/>
  <c r="H20" i="3"/>
  <c r="A20" i="3"/>
  <c r="H19" i="3"/>
  <c r="A19" i="3"/>
  <c r="H18" i="3"/>
  <c r="A18" i="3"/>
  <c r="H17" i="3"/>
  <c r="A17" i="3"/>
  <c r="H16" i="3"/>
  <c r="A16" i="3"/>
  <c r="H15" i="3"/>
  <c r="A15" i="3"/>
  <c r="H14" i="3"/>
  <c r="A14" i="3"/>
  <c r="H13" i="3"/>
  <c r="A13" i="3"/>
  <c r="H12" i="3"/>
  <c r="A12" i="3"/>
  <c r="H11" i="3"/>
  <c r="A11" i="3"/>
  <c r="H10" i="3"/>
  <c r="H9" i="3"/>
  <c r="A9" i="3"/>
  <c r="H8" i="3"/>
  <c r="A8" i="3"/>
  <c r="H7" i="3"/>
  <c r="A7" i="3"/>
  <c r="H48" i="2"/>
  <c r="A48" i="2"/>
  <c r="A55" i="2"/>
  <c r="H55" i="2"/>
  <c r="H47" i="2"/>
  <c r="A47" i="2"/>
  <c r="H46" i="2"/>
  <c r="A46" i="2"/>
  <c r="H45" i="2"/>
  <c r="A45" i="2"/>
  <c r="H37" i="2"/>
  <c r="A37" i="2"/>
  <c r="H44" i="2"/>
  <c r="A44" i="2"/>
  <c r="H18" i="2"/>
  <c r="H41" i="2"/>
  <c r="H42" i="2"/>
  <c r="A41" i="2"/>
  <c r="A42" i="2"/>
  <c r="H40" i="2"/>
  <c r="A40" i="2"/>
  <c r="H38" i="2"/>
  <c r="H39" i="2"/>
  <c r="A38" i="2"/>
  <c r="A39" i="2"/>
  <c r="H36" i="2"/>
  <c r="A36" i="2"/>
  <c r="H35" i="2"/>
  <c r="A35" i="2"/>
  <c r="A8" i="2"/>
  <c r="A9" i="2"/>
  <c r="A11" i="2"/>
  <c r="A12" i="2"/>
  <c r="A13" i="2"/>
  <c r="A14" i="2"/>
  <c r="A15" i="2"/>
  <c r="A16" i="2"/>
  <c r="A17" i="2"/>
  <c r="A43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7" i="2"/>
  <c r="H22" i="2"/>
  <c r="H33" i="2"/>
  <c r="H29" i="2"/>
  <c r="H31" i="2"/>
  <c r="H25" i="2"/>
  <c r="H28" i="2"/>
  <c r="H43" i="2"/>
  <c r="H27" i="2"/>
  <c r="H26" i="2"/>
  <c r="H30" i="2"/>
  <c r="H32" i="2"/>
  <c r="H24" i="2"/>
  <c r="H14" i="2"/>
  <c r="H34" i="2"/>
  <c r="H13" i="2"/>
  <c r="H15" i="2"/>
  <c r="H8" i="2"/>
  <c r="H7" i="2"/>
  <c r="H20" i="2"/>
  <c r="H9" i="2"/>
  <c r="H21" i="2"/>
  <c r="H10" i="2"/>
  <c r="H17" i="2"/>
  <c r="H16" i="2"/>
  <c r="H23" i="2"/>
  <c r="H12" i="2"/>
  <c r="H11" i="2"/>
  <c r="H19" i="2"/>
</calcChain>
</file>

<file path=xl/sharedStrings.xml><?xml version="1.0" encoding="utf-8"?>
<sst xmlns="http://schemas.openxmlformats.org/spreadsheetml/2006/main" count="5838" uniqueCount="775">
  <si>
    <t>No.</t>
  </si>
  <si>
    <t>Standard</t>
  </si>
  <si>
    <t>Combinasi Compound</t>
  </si>
  <si>
    <t>Compound 1</t>
  </si>
  <si>
    <t>Compound 2</t>
  </si>
  <si>
    <t>Compound 3</t>
  </si>
  <si>
    <t>TSB5501G-1E</t>
  </si>
  <si>
    <t>E1690</t>
  </si>
  <si>
    <t>-</t>
  </si>
  <si>
    <t>TSM1656G-2</t>
  </si>
  <si>
    <t>PE1755</t>
  </si>
  <si>
    <t>TSM1652G-6</t>
  </si>
  <si>
    <t>N1774</t>
  </si>
  <si>
    <t>H1607</t>
  </si>
  <si>
    <t>C1653</t>
  </si>
  <si>
    <t>TSM1652G-6A</t>
  </si>
  <si>
    <t>N1752</t>
  </si>
  <si>
    <t>C1651</t>
  </si>
  <si>
    <t>C1654</t>
  </si>
  <si>
    <t>TSM1652G-7</t>
  </si>
  <si>
    <t>K1652</t>
  </si>
  <si>
    <t>K1653</t>
  </si>
  <si>
    <t>TSM1651G-2</t>
  </si>
  <si>
    <t>N1715</t>
  </si>
  <si>
    <t>H1603</t>
  </si>
  <si>
    <t>TSM1644G-7</t>
  </si>
  <si>
    <t>N1791</t>
  </si>
  <si>
    <t>N1780</t>
  </si>
  <si>
    <t>K1638</t>
  </si>
  <si>
    <t>TSM1671G-1A</t>
  </si>
  <si>
    <t>N1663</t>
  </si>
  <si>
    <t>TSM1649G-1</t>
  </si>
  <si>
    <t>K1654</t>
  </si>
  <si>
    <t>TSM1644G-5</t>
  </si>
  <si>
    <t>F1735</t>
  </si>
  <si>
    <t>N1760</t>
  </si>
  <si>
    <t>K1708</t>
  </si>
  <si>
    <t>TSM1670G-1A</t>
  </si>
  <si>
    <t>No</t>
  </si>
  <si>
    <t>Formulasi</t>
  </si>
  <si>
    <t>Machine</t>
  </si>
  <si>
    <t>No. Document</t>
  </si>
  <si>
    <t>Revision Date</t>
  </si>
  <si>
    <t>(Ømm)</t>
  </si>
  <si>
    <t>#tube</t>
  </si>
  <si>
    <t>#Outer</t>
  </si>
  <si>
    <t>(rpm)</t>
  </si>
  <si>
    <t>(mpa)</t>
  </si>
  <si>
    <t>Use limits of the material</t>
  </si>
  <si>
    <t>#Inner</t>
  </si>
  <si>
    <t>(mm)</t>
  </si>
  <si>
    <t>#material 1</t>
  </si>
  <si>
    <t>#material 2</t>
  </si>
  <si>
    <t>OD sensor</t>
  </si>
  <si>
    <t>Marking Colour</t>
  </si>
  <si>
    <t>#material</t>
  </si>
  <si>
    <t>± Inner</t>
  </si>
  <si>
    <t>± Outer</t>
  </si>
  <si>
    <t>Tebal Inner</t>
  </si>
  <si>
    <t>Tebal Outer</t>
  </si>
  <si>
    <t>Tebal Total</t>
  </si>
  <si>
    <t>Selisih tebal</t>
  </si>
  <si>
    <t>Kuning</t>
  </si>
  <si>
    <t>NON-CHS Single/Double Layer Parameter Setting</t>
  </si>
  <si>
    <t>Dimensi</t>
  </si>
  <si>
    <t>Material</t>
  </si>
  <si>
    <t>#cover</t>
  </si>
  <si>
    <t>Nipple</t>
  </si>
  <si>
    <t>Tube Die</t>
  </si>
  <si>
    <t>Cover Die</t>
  </si>
  <si>
    <t>Mesh screen</t>
  </si>
  <si>
    <t>Text marking mt'l</t>
  </si>
  <si>
    <t>Customer</t>
  </si>
  <si>
    <t>Hose Type</t>
  </si>
  <si>
    <t>Screw Speed</t>
  </si>
  <si>
    <t>TSM</t>
  </si>
  <si>
    <t>(Ømm)-(Ømm)</t>
  </si>
  <si>
    <t>Inner</t>
  </si>
  <si>
    <t>Outer</t>
  </si>
  <si>
    <t>compound</t>
  </si>
  <si>
    <t>Head Temp.</t>
  </si>
  <si>
    <t>Cylinder 1</t>
  </si>
  <si>
    <t>Cylinder 2</t>
  </si>
  <si>
    <t>Screw Temp.</t>
  </si>
  <si>
    <t>FEED</t>
  </si>
  <si>
    <t>Pressure</t>
  </si>
  <si>
    <t>Hose, Fuel</t>
  </si>
  <si>
    <t>DTSM1651G-2</t>
  </si>
  <si>
    <t>Chiller water temp.</t>
  </si>
  <si>
    <t>No. Rev.</t>
  </si>
  <si>
    <t>Marking Sort</t>
  </si>
  <si>
    <t>Cutting speed</t>
  </si>
  <si>
    <t>Am meter</t>
  </si>
  <si>
    <t>A</t>
  </si>
  <si>
    <t>(m/min)</t>
  </si>
  <si>
    <t>Take up conveyor speed</t>
  </si>
  <si>
    <t>Non-CHS (DL)</t>
  </si>
  <si>
    <t>PT. ADM</t>
  </si>
  <si>
    <t>19-05-17</t>
  </si>
  <si>
    <t>N-1718</t>
  </si>
  <si>
    <t>H-1605</t>
  </si>
  <si>
    <t>From mixing: Within 14 days</t>
  </si>
  <si>
    <t>5-8</t>
  </si>
  <si>
    <t>70±5</t>
  </si>
  <si>
    <t>65±5</t>
  </si>
  <si>
    <t>14±0.1</t>
  </si>
  <si>
    <t>Roll</t>
  </si>
  <si>
    <t>6.8±0.1</t>
  </si>
  <si>
    <t>13.6±0.1</t>
  </si>
  <si>
    <t>3.2±0.1</t>
  </si>
  <si>
    <t>3.4±0.1</t>
  </si>
  <si>
    <t>Non-CHS (SL)</t>
  </si>
  <si>
    <t>Hose, Reservoir</t>
  </si>
  <si>
    <t>Ø 8.5 mm × 16.6 mm</t>
  </si>
  <si>
    <t>Ø 7 mm × 14 mm</t>
  </si>
  <si>
    <t>DTSM1650G-1</t>
  </si>
  <si>
    <t>E-1776</t>
  </si>
  <si>
    <t>6-9</t>
  </si>
  <si>
    <t>60±5</t>
  </si>
  <si>
    <t>16.4±0.3</t>
  </si>
  <si>
    <t>8.3±0.1</t>
  </si>
  <si>
    <t>15.9±0.1</t>
  </si>
  <si>
    <t>3.7±0.1</t>
  </si>
  <si>
    <t>PT. TMMIN</t>
  </si>
  <si>
    <t>Hose, Breather</t>
  </si>
  <si>
    <t>Ø 3.5 mm × 7.5 mm</t>
  </si>
  <si>
    <t>K-1649</t>
  </si>
  <si>
    <t>H-1603</t>
  </si>
  <si>
    <t>2-5</t>
  </si>
  <si>
    <t>7.2±0.2</t>
  </si>
  <si>
    <t>7.3±0.1</t>
  </si>
  <si>
    <t>Hijau</t>
  </si>
  <si>
    <t>1.8±0.1</t>
  </si>
  <si>
    <t>1.9±0.1</t>
  </si>
  <si>
    <t>Hose, Clutch</t>
  </si>
  <si>
    <t>Ø 8.5 mm × 17 mm</t>
  </si>
  <si>
    <t>TSM1650G-1</t>
  </si>
  <si>
    <t>Ø96, #40</t>
  </si>
  <si>
    <t>80±5</t>
  </si>
  <si>
    <t>16.8±0.1</t>
  </si>
  <si>
    <t>8.4±0.1</t>
  </si>
  <si>
    <t>4.0±0.2</t>
  </si>
  <si>
    <t>PE-1755</t>
  </si>
  <si>
    <t>5.4±0.1</t>
  </si>
  <si>
    <t>85±5</t>
  </si>
  <si>
    <t>75±5</t>
  </si>
  <si>
    <t>N-1715</t>
  </si>
  <si>
    <t>3.3±0.1</t>
  </si>
  <si>
    <t>Ø 7 mm × 12 mm</t>
  </si>
  <si>
    <t>9.5±0.2</t>
  </si>
  <si>
    <t>12±0.1</t>
  </si>
  <si>
    <t>2.3±0.1</t>
  </si>
  <si>
    <t>2.4±0.1</t>
  </si>
  <si>
    <t>Hose, Ventilation</t>
  </si>
  <si>
    <t>Ø 9 mm × 17 mm</t>
  </si>
  <si>
    <t>N-1663</t>
  </si>
  <si>
    <t>15.4±0.1</t>
  </si>
  <si>
    <t>8.6±0.1</t>
  </si>
  <si>
    <t>3.5±0.1</t>
  </si>
  <si>
    <t>Ø 5.4 mm × 10.4 mm</t>
  </si>
  <si>
    <t>3-6</t>
  </si>
  <si>
    <t>8.4±0.2</t>
  </si>
  <si>
    <t>10.4±0.1</t>
  </si>
  <si>
    <t>5.2±0.1</t>
  </si>
  <si>
    <t>PT. HMMI</t>
  </si>
  <si>
    <t>Hose, Vacuum</t>
  </si>
  <si>
    <t>K-1785</t>
  </si>
  <si>
    <t>5.3±0.2</t>
  </si>
  <si>
    <t>40±5</t>
  </si>
  <si>
    <t>1.7±0.1</t>
  </si>
  <si>
    <t>Ø 15 mm × 22 mm</t>
  </si>
  <si>
    <t>TSM1670G-1B</t>
  </si>
  <si>
    <t>10-14</t>
  </si>
  <si>
    <t>17±0.1</t>
  </si>
  <si>
    <t>15±0.2</t>
  </si>
  <si>
    <t>55±5</t>
  </si>
  <si>
    <t>20±1</t>
  </si>
  <si>
    <t>3.3±0.2</t>
  </si>
  <si>
    <t>Hose, Air</t>
  </si>
  <si>
    <t>Ø 18 mm × 25 mm</t>
  </si>
  <si>
    <t>13.5-16</t>
  </si>
  <si>
    <t>19±0.2</t>
  </si>
  <si>
    <t>Ø40, #40</t>
  </si>
  <si>
    <t>25±0.2</t>
  </si>
  <si>
    <t>17.4±0.1</t>
  </si>
  <si>
    <t>23.6±0.1</t>
  </si>
  <si>
    <t>3.1±0.1</t>
  </si>
  <si>
    <t>18-24</t>
  </si>
  <si>
    <t>22.8±0.2</t>
  </si>
  <si>
    <t>31.5±0.2</t>
  </si>
  <si>
    <t>22.7±0.1</t>
  </si>
  <si>
    <t>31.5±0.1</t>
  </si>
  <si>
    <t>Ø 24.5 mm × 31.5 mm</t>
  </si>
  <si>
    <t>DTSM1670G-1</t>
  </si>
  <si>
    <t>22±0.2</t>
  </si>
  <si>
    <t>20.6±0.1</t>
  </si>
  <si>
    <t>20-05-17</t>
  </si>
  <si>
    <t>EPDM Solid</t>
  </si>
  <si>
    <t>Ø 15.5 mm × 19.5 mm</t>
  </si>
  <si>
    <t>TSM1500G-N708</t>
  </si>
  <si>
    <t>E-1707</t>
  </si>
  <si>
    <t>13-16</t>
  </si>
  <si>
    <t>18.2±0.3</t>
  </si>
  <si>
    <t>14.8±0.1</t>
  </si>
  <si>
    <t>18.2±0.1</t>
  </si>
  <si>
    <t>Ø 15 mm × 19 mm</t>
  </si>
  <si>
    <t>DTSM1500G-N708</t>
  </si>
  <si>
    <t>19±0.1</t>
  </si>
  <si>
    <t>14.3±0.1</t>
  </si>
  <si>
    <t>17.7±0.1</t>
  </si>
  <si>
    <t>Ø 23 mm × 27 mm</t>
  </si>
  <si>
    <t>20-27</t>
  </si>
  <si>
    <t>23±0.2</t>
  </si>
  <si>
    <t>27±0.1</t>
  </si>
  <si>
    <t>21.8±0.1</t>
  </si>
  <si>
    <t>25.2±0.1</t>
  </si>
  <si>
    <t>Ø 17 mm × 20 mm</t>
  </si>
  <si>
    <t>17.4±0.2</t>
  </si>
  <si>
    <t>20±0.1</t>
  </si>
  <si>
    <t>15.8±0.1</t>
  </si>
  <si>
    <t>19.4±0.1</t>
  </si>
  <si>
    <t>Hose, Fuel Tank</t>
  </si>
  <si>
    <t>Ø 34 mm × 42 mm</t>
  </si>
  <si>
    <t>DTSM1647G-1C</t>
  </si>
  <si>
    <t>25.8-35.5</t>
  </si>
  <si>
    <t>34.5±0.2</t>
  </si>
  <si>
    <t>40.2±0.3</t>
  </si>
  <si>
    <t>IP &gt;NBR-PVC&lt; DATE</t>
  </si>
  <si>
    <t>Putih</t>
  </si>
  <si>
    <t>32.8±0.1</t>
  </si>
  <si>
    <t>40.2±0.1</t>
  </si>
  <si>
    <t>16.5±0.3</t>
  </si>
  <si>
    <t>16.4±0.1</t>
  </si>
  <si>
    <t>3.9±0.1</t>
  </si>
  <si>
    <t>Ø 13.5 mm × 21.5 mm</t>
  </si>
  <si>
    <t>N-1733</t>
  </si>
  <si>
    <t>16±0.1</t>
  </si>
  <si>
    <t>21.5±0.3</t>
  </si>
  <si>
    <t>12.5±0.1</t>
  </si>
  <si>
    <t>3.8±0.1</t>
  </si>
  <si>
    <t>8.5±0.2</t>
  </si>
  <si>
    <t>5.3±0.1</t>
  </si>
  <si>
    <t>10.3±0.1</t>
  </si>
  <si>
    <t>DTSE7351G-1</t>
  </si>
  <si>
    <t>25-35</t>
  </si>
  <si>
    <t>33±0.2</t>
  </si>
  <si>
    <t>40.5±0.1</t>
  </si>
  <si>
    <t>ID</t>
  </si>
  <si>
    <t>39.2±3</t>
  </si>
  <si>
    <t>6.1±2</t>
  </si>
  <si>
    <t>6±2</t>
  </si>
  <si>
    <t>17.2±3</t>
  </si>
  <si>
    <t>17.5±3</t>
  </si>
  <si>
    <t>20.2±3</t>
  </si>
  <si>
    <t>6.4±2</t>
  </si>
  <si>
    <t>17.9±3</t>
  </si>
  <si>
    <t>13.5±3</t>
  </si>
  <si>
    <t>18.1±3</t>
  </si>
  <si>
    <t>28.8±3</t>
  </si>
  <si>
    <t>29.2±3</t>
  </si>
  <si>
    <t>30.6±3</t>
  </si>
  <si>
    <t>21.3±3</t>
  </si>
  <si>
    <t>15.3±3</t>
  </si>
  <si>
    <t>8.3±2</t>
  </si>
  <si>
    <t>12.7±3</t>
  </si>
  <si>
    <t>17.1±3</t>
  </si>
  <si>
    <t>25.2±3</t>
  </si>
  <si>
    <t>14±3</t>
  </si>
  <si>
    <t>17.4±3</t>
  </si>
  <si>
    <t>27.4±3</t>
  </si>
  <si>
    <t>18±3</t>
  </si>
  <si>
    <t>24.2±3</t>
  </si>
  <si>
    <t>26.4±3</t>
  </si>
  <si>
    <t>21.5±3</t>
  </si>
  <si>
    <t>31.1±3</t>
  </si>
  <si>
    <t>7.1±2</t>
  </si>
  <si>
    <t>5.3±2</t>
  </si>
  <si>
    <t>9.1±2</t>
  </si>
  <si>
    <t>0.9±0.5</t>
  </si>
  <si>
    <t>1.3±0.5</t>
  </si>
  <si>
    <t>1.5±0.5</t>
  </si>
  <si>
    <t>1.9±0.5</t>
  </si>
  <si>
    <t>3.9±1</t>
  </si>
  <si>
    <t>4.7±1</t>
  </si>
  <si>
    <t>2.7±0.1</t>
  </si>
  <si>
    <t>5.0±0.2</t>
  </si>
  <si>
    <t>3.0±0.2</t>
  </si>
  <si>
    <t>1.6±0.2</t>
  </si>
  <si>
    <t>3.5±0.2</t>
  </si>
  <si>
    <t>2.5±0.2</t>
  </si>
  <si>
    <t>0.10±0.02</t>
  </si>
  <si>
    <t>0.20±0.02</t>
  </si>
  <si>
    <t>0.30±0.02</t>
  </si>
  <si>
    <t>07-08-17</t>
  </si>
  <si>
    <r>
      <t>(</t>
    </r>
    <r>
      <rPr>
        <sz val="28"/>
        <rFont val="Arial"/>
        <family val="2"/>
      </rPr>
      <t>◦</t>
    </r>
    <r>
      <rPr>
        <sz val="10"/>
        <rFont val="Arial"/>
        <family val="2"/>
      </rPr>
      <t>C)</t>
    </r>
  </si>
  <si>
    <t>20±6</t>
  </si>
  <si>
    <t>22.7±6</t>
  </si>
  <si>
    <t>4.0±1.0</t>
  </si>
  <si>
    <t>2.4±1.0</t>
  </si>
  <si>
    <t>20.1±0.1</t>
  </si>
  <si>
    <t>PT. KTB</t>
  </si>
  <si>
    <t>14-07-17</t>
  </si>
  <si>
    <t>Ø 7.5 mm × 14.5 mm</t>
  </si>
  <si>
    <t>PE-1772</t>
  </si>
  <si>
    <t>5-7</t>
  </si>
  <si>
    <t>11.45±0.2</t>
  </si>
  <si>
    <t>12.3±3</t>
  </si>
  <si>
    <t>13±3</t>
  </si>
  <si>
    <t>14.5±0.1</t>
  </si>
  <si>
    <t>VIN &gt;PE&lt; DATE</t>
  </si>
  <si>
    <t>5±0.2</t>
  </si>
  <si>
    <t>7±0.1</t>
  </si>
  <si>
    <t>13.8±0.2</t>
  </si>
  <si>
    <t>PT. AHI</t>
  </si>
  <si>
    <t>18-10-17</t>
  </si>
  <si>
    <t>TSM1647G-1C</t>
  </si>
  <si>
    <t>N-1728</t>
  </si>
  <si>
    <t>34±0.2</t>
  </si>
  <si>
    <t>31.4±3</t>
  </si>
  <si>
    <t>15.5±3</t>
  </si>
  <si>
    <t>40.6±0.5</t>
  </si>
  <si>
    <t>Biru</t>
  </si>
  <si>
    <t>1.9±0.2</t>
  </si>
  <si>
    <t>31±0.1</t>
  </si>
  <si>
    <t>4.7±0.1</t>
  </si>
  <si>
    <t>VIN &gt;NBR-PVC&lt; DATE</t>
  </si>
  <si>
    <t>Ø 9 mm × 14 mm</t>
  </si>
  <si>
    <t>13.6±0.2</t>
  </si>
  <si>
    <t>11.4±0.2</t>
  </si>
  <si>
    <t>10.5±3</t>
  </si>
  <si>
    <t>1.7±1</t>
  </si>
  <si>
    <t>7.4±2</t>
  </si>
  <si>
    <t>13.8±0.3</t>
  </si>
  <si>
    <t>12.7±0.2</t>
  </si>
  <si>
    <t>8.9±0.1</t>
  </si>
  <si>
    <t>13.9±0.1</t>
  </si>
  <si>
    <t>2.5±0.1</t>
  </si>
  <si>
    <t>Ø 34 mm × 44 mm</t>
  </si>
  <si>
    <t>34.6±0.2</t>
  </si>
  <si>
    <t>29-11-17</t>
  </si>
  <si>
    <t>35.5±3</t>
  </si>
  <si>
    <t>42.3±0.2</t>
  </si>
  <si>
    <t>1.8±0.2</t>
  </si>
  <si>
    <t>31.5±0.5</t>
  </si>
  <si>
    <t>PT. TGSSI</t>
  </si>
  <si>
    <t>TSM1648G-3</t>
  </si>
  <si>
    <t>N-1740</t>
  </si>
  <si>
    <t>H-1604</t>
  </si>
  <si>
    <t>11.5±0.2</t>
  </si>
  <si>
    <t>11.3±0.2</t>
  </si>
  <si>
    <t>14±0.2</t>
  </si>
  <si>
    <t>0.2±0.1</t>
  </si>
  <si>
    <t>21.2±0.2</t>
  </si>
  <si>
    <t>0.4±0.1</t>
  </si>
  <si>
    <t>20-12-17</t>
  </si>
  <si>
    <t>15,8±3</t>
  </si>
  <si>
    <t>1,4±1</t>
  </si>
  <si>
    <t>11,4±3</t>
  </si>
  <si>
    <t>6,2±3</t>
  </si>
  <si>
    <t>13±0.1</t>
  </si>
  <si>
    <t>21.2±0.3</t>
  </si>
  <si>
    <t>3.6±0.1</t>
  </si>
  <si>
    <t>4,0±0.1</t>
  </si>
  <si>
    <t>10,7±3</t>
  </si>
  <si>
    <t>2,2±2</t>
  </si>
  <si>
    <t>12,8±3</t>
  </si>
  <si>
    <t>6,8±3</t>
  </si>
  <si>
    <t>23-01-18</t>
  </si>
  <si>
    <t>21-03-18</t>
  </si>
  <si>
    <t>39.2±20</t>
  </si>
  <si>
    <t>30.6±20</t>
  </si>
  <si>
    <t>6.8±0.2</t>
  </si>
  <si>
    <t>SPS</t>
  </si>
  <si>
    <t>EPR PARAMETER</t>
  </si>
  <si>
    <t>EPR DIMENSI</t>
  </si>
  <si>
    <t>04-07-18</t>
  </si>
  <si>
    <t>37±0.2</t>
  </si>
  <si>
    <r>
      <t xml:space="preserve">VIN &gt;CSM, </t>
    </r>
    <r>
      <rPr>
        <u/>
        <sz val="10"/>
        <color theme="0"/>
        <rFont val="Arial"/>
        <family val="2"/>
      </rPr>
      <t>NBR</t>
    </r>
    <r>
      <rPr>
        <sz val="10"/>
        <color theme="0"/>
        <rFont val="Arial"/>
        <family val="2"/>
      </rPr>
      <t>&lt; DATE</t>
    </r>
  </si>
  <si>
    <r>
      <t xml:space="preserve">Max. 15 </t>
    </r>
    <r>
      <rPr>
        <sz val="10"/>
        <color theme="0"/>
        <rFont val="Arial"/>
        <family val="2"/>
      </rPr>
      <t>°C</t>
    </r>
  </si>
  <si>
    <t>10.7±3</t>
  </si>
  <si>
    <t>1.7±3</t>
  </si>
  <si>
    <r>
      <t>11.3</t>
    </r>
    <r>
      <rPr>
        <sz val="10"/>
        <color theme="0"/>
        <rFont val="Arial"/>
        <family val="2"/>
      </rPr>
      <t>±0.2</t>
    </r>
  </si>
  <si>
    <t>PT. TMMIN/TGSSI</t>
  </si>
  <si>
    <t>10.4±3</t>
  </si>
  <si>
    <t>2.2±2</t>
  </si>
  <si>
    <t>01-10-18</t>
  </si>
  <si>
    <t>35±5</t>
  </si>
  <si>
    <t>31.5±5</t>
  </si>
  <si>
    <t>33.5±0.2</t>
  </si>
  <si>
    <t>31.1±5</t>
  </si>
  <si>
    <t>09-10-24</t>
  </si>
  <si>
    <t>Hose, Actuator</t>
  </si>
  <si>
    <t>DTSM1649G-1</t>
  </si>
  <si>
    <t>9.4±3</t>
  </si>
  <si>
    <t>Ø 3.5 mm × 8.5mm</t>
  </si>
  <si>
    <t>K1649</t>
  </si>
  <si>
    <t>From mixing: Within 3 days</t>
  </si>
  <si>
    <t>7.2±0.1</t>
  </si>
  <si>
    <t>1.0±3</t>
  </si>
  <si>
    <t>Max 50</t>
  </si>
  <si>
    <t>Max 40</t>
  </si>
  <si>
    <t>8.8±0.3</t>
  </si>
  <si>
    <t>VIN &gt; CSM GECO &lt; DATE</t>
  </si>
  <si>
    <t>4-7</t>
  </si>
  <si>
    <t>8.5±0.1</t>
  </si>
  <si>
    <t>2.2±0.1</t>
  </si>
  <si>
    <t>No. Doc.:</t>
  </si>
  <si>
    <r>
      <t xml:space="preserve">IP &gt;CSM, </t>
    </r>
    <r>
      <rPr>
        <u/>
        <sz val="10"/>
        <color theme="0"/>
        <rFont val="Arial"/>
        <family val="2"/>
      </rPr>
      <t>GECO</t>
    </r>
    <r>
      <rPr>
        <sz val="10"/>
        <color theme="0"/>
        <rFont val="Arial"/>
        <family val="2"/>
      </rPr>
      <t>&lt; DATE</t>
    </r>
  </si>
  <si>
    <r>
      <t>27.5</t>
    </r>
    <r>
      <rPr>
        <sz val="10"/>
        <color theme="0"/>
        <rFont val="Arial"/>
        <family val="2"/>
      </rPr>
      <t>±3</t>
    </r>
  </si>
  <si>
    <r>
      <t xml:space="preserve">VIN &gt;CSM, </t>
    </r>
    <r>
      <rPr>
        <u/>
        <sz val="10"/>
        <color theme="0"/>
        <rFont val="Arial"/>
        <family val="2"/>
      </rPr>
      <t>GECO</t>
    </r>
    <r>
      <rPr>
        <sz val="10"/>
        <color theme="0"/>
        <rFont val="Arial"/>
        <family val="2"/>
      </rPr>
      <t>&lt; DATE</t>
    </r>
  </si>
  <si>
    <r>
      <t xml:space="preserve">IP &gt;CSM, </t>
    </r>
    <r>
      <rPr>
        <u/>
        <sz val="10"/>
        <color theme="0"/>
        <rFont val="Arial"/>
        <family val="2"/>
      </rPr>
      <t>NBR</t>
    </r>
    <r>
      <rPr>
        <sz val="10"/>
        <color theme="0"/>
        <rFont val="Arial"/>
        <family val="2"/>
      </rPr>
      <t>&lt; DATE</t>
    </r>
  </si>
  <si>
    <r>
      <t>11.7</t>
    </r>
    <r>
      <rPr>
        <sz val="10"/>
        <color theme="0"/>
        <rFont val="Arial"/>
        <family val="2"/>
      </rPr>
      <t>±0.2</t>
    </r>
  </si>
  <si>
    <r>
      <t>11.2</t>
    </r>
    <r>
      <rPr>
        <sz val="10"/>
        <color theme="0"/>
        <rFont val="Arial"/>
        <family val="2"/>
      </rPr>
      <t>±0.2</t>
    </r>
  </si>
  <si>
    <r>
      <t>11</t>
    </r>
    <r>
      <rPr>
        <sz val="10"/>
        <color theme="0"/>
        <rFont val="Arial"/>
        <family val="2"/>
      </rPr>
      <t>±0.2</t>
    </r>
  </si>
  <si>
    <r>
      <t>13</t>
    </r>
    <r>
      <rPr>
        <sz val="10"/>
        <color theme="0"/>
        <rFont val="Arial"/>
        <family val="2"/>
      </rPr>
      <t>±0.2</t>
    </r>
  </si>
  <si>
    <r>
      <t>14</t>
    </r>
    <r>
      <rPr>
        <sz val="10"/>
        <color theme="0"/>
        <rFont val="Arial"/>
        <family val="2"/>
      </rPr>
      <t>±0.2</t>
    </r>
  </si>
  <si>
    <r>
      <t>13.3</t>
    </r>
    <r>
      <rPr>
        <sz val="10"/>
        <color theme="0"/>
        <rFont val="Arial"/>
        <family val="2"/>
      </rPr>
      <t>±0.2</t>
    </r>
  </si>
  <si>
    <r>
      <t>11.5</t>
    </r>
    <r>
      <rPr>
        <sz val="10"/>
        <color theme="0"/>
        <rFont val="Arial"/>
        <family val="2"/>
      </rPr>
      <t>±0.2</t>
    </r>
  </si>
  <si>
    <r>
      <t>16.7</t>
    </r>
    <r>
      <rPr>
        <sz val="10"/>
        <color theme="0"/>
        <rFont val="Arial"/>
        <family val="2"/>
      </rPr>
      <t>±0.2</t>
    </r>
  </si>
  <si>
    <r>
      <t>17.4</t>
    </r>
    <r>
      <rPr>
        <sz val="10"/>
        <color theme="0"/>
        <rFont val="Arial"/>
        <family val="2"/>
      </rPr>
      <t>±0.2</t>
    </r>
  </si>
  <si>
    <r>
      <t>20.9</t>
    </r>
    <r>
      <rPr>
        <sz val="10"/>
        <color theme="0"/>
        <rFont val="Arial"/>
        <family val="2"/>
      </rPr>
      <t>±0.2</t>
    </r>
  </si>
  <si>
    <r>
      <t>27</t>
    </r>
    <r>
      <rPr>
        <sz val="10"/>
        <color theme="0"/>
        <rFont val="Arial"/>
        <family val="2"/>
      </rPr>
      <t>±0.2</t>
    </r>
  </si>
  <si>
    <r>
      <t xml:space="preserve">VIN &gt;CSM, </t>
    </r>
    <r>
      <rPr>
        <sz val="10"/>
        <color theme="0"/>
        <rFont val="Arial"/>
        <family val="2"/>
      </rPr>
      <t>NBR&lt; DATE</t>
    </r>
  </si>
  <si>
    <r>
      <t xml:space="preserve">Max. 9 </t>
    </r>
    <r>
      <rPr>
        <sz val="10"/>
        <color theme="0"/>
        <rFont val="Arial"/>
        <family val="2"/>
      </rPr>
      <t>°C</t>
    </r>
  </si>
  <si>
    <t>ITEM</t>
  </si>
  <si>
    <t>20±3</t>
  </si>
  <si>
    <t>5±2</t>
  </si>
  <si>
    <t>Max 30</t>
  </si>
  <si>
    <t>19.5±0.2</t>
  </si>
  <si>
    <t>VIN&gt;CSM, NBR&lt;DATE</t>
  </si>
  <si>
    <t>7±2</t>
  </si>
  <si>
    <t>0.7±0.2</t>
  </si>
  <si>
    <t>2.9±0.2</t>
  </si>
  <si>
    <t>2.8±0.1</t>
  </si>
  <si>
    <t>SOP/PROD/HOSE/SPS/24/10/01</t>
  </si>
  <si>
    <t>SOP/PROD/HOSE/SPS/24/10/02</t>
  </si>
  <si>
    <t>SOP/PROD/HOSE/SPS/24/10/03</t>
  </si>
  <si>
    <t>SOP/PROD/HOSE/SPS/24/10/04</t>
  </si>
  <si>
    <t>SOP/PROD/HOSE/SPS/24/10/05</t>
  </si>
  <si>
    <t>SOP/PROD/HOSE/SPS/24/10/06</t>
  </si>
  <si>
    <t>SOP/PROD/HOSE/SPS/24/10/07</t>
  </si>
  <si>
    <t>SOP/PROD/HOSE/SPS/24/10/08</t>
  </si>
  <si>
    <t>SOP/PROD/HOSE/SPS/24/10/09</t>
  </si>
  <si>
    <t>SOP/PROD/HOSE/SPS/24/10/10</t>
  </si>
  <si>
    <t>SOP/PROD/HOSE/SPS/24/10/11</t>
  </si>
  <si>
    <t>SOP/PROD/HOSE/SPS/24/10/12</t>
  </si>
  <si>
    <t>SOP/PROD/HOSE/SPS/24/10/13</t>
  </si>
  <si>
    <t>SOP/PROD/HOSE/SPS/24/10/14</t>
  </si>
  <si>
    <t>SOP/PROD/HOSE/SPS/24/10/15</t>
  </si>
  <si>
    <t>SOP/PROD/HOSE/SPS/24/10/16</t>
  </si>
  <si>
    <t>SOP/PROD/HOSE/SPS/24/10/17</t>
  </si>
  <si>
    <t>SOP/PROD/HOSE/SPS/24/10/18</t>
  </si>
  <si>
    <t>SOP/PROD/HOSE/SPS/24/10/19</t>
  </si>
  <si>
    <t>SOP/PROD/HOSE/SPS/24/10/20</t>
  </si>
  <si>
    <t>SOP/PROD/HOSE/SPS/24/10/21</t>
  </si>
  <si>
    <t>SOP/PROD/HOSE/SPS/24/10/22</t>
  </si>
  <si>
    <t>SOP/PROD/HOSE/SPS/24/10/23</t>
  </si>
  <si>
    <t>SOP/PROD/HOSE/SPS/24/10/24</t>
  </si>
  <si>
    <t>SOP/PROD/HOSE/SPS/24/10/25</t>
  </si>
  <si>
    <t>SOP/PROD/HOSE/SPS/24/10/26</t>
  </si>
  <si>
    <t>SOP/PROD/HOSE/SPS/24/10/27</t>
  </si>
  <si>
    <t>SOP/PROD/HOSE/SPS/24/10/28</t>
  </si>
  <si>
    <t>SOP/PROD/HOSE/SPS/24/10/29</t>
  </si>
  <si>
    <t>SOP/PROD/HOSE/SPS/24/10/30</t>
  </si>
  <si>
    <t>SOP/PROD/HOSE/SPS/24/10/31</t>
  </si>
  <si>
    <t>SOP/PROD/HOSE/SPS/24/10/32</t>
  </si>
  <si>
    <t>SOP/PROD/HOSE/SPS/24/10/33</t>
  </si>
  <si>
    <t>SOP/PROD/HOSE/SPS/24/10/34</t>
  </si>
  <si>
    <t>SOP/PROD/HOSE/SPS/24/10/35</t>
  </si>
  <si>
    <t>SOP/PROD/HOSE/SPS/24/10/36</t>
  </si>
  <si>
    <t>SOP/PROD/HOSE/SPS/24/10/37</t>
  </si>
  <si>
    <t>SOP/PROD/HOSE/EPR/24/10/01</t>
  </si>
  <si>
    <t>SOP/PROD/HOSE/EPR/24/10/02</t>
  </si>
  <si>
    <t>SOP/PROD/HOSE/EPR/24/10/03</t>
  </si>
  <si>
    <t>SOP/PROD/HOSE/EPR/24/10/04</t>
  </si>
  <si>
    <t>SOP/PROD/HOSE/EPR/24/10/05</t>
  </si>
  <si>
    <t>SOP/PROD/HOSE/EPR/24/10/06</t>
  </si>
  <si>
    <t>SOP/PROD/HOSE/EPR/24/10/07</t>
  </si>
  <si>
    <t>SOP/PROD/HOSE/EPR/24/10/08</t>
  </si>
  <si>
    <t>SOP/PROD/HOSE/EPR/24/10/09</t>
  </si>
  <si>
    <t>SOP/PROD/HOSE/EPR/24/10/10</t>
  </si>
  <si>
    <t>SOP/PROD/HOSE/EPR/24/10/11</t>
  </si>
  <si>
    <t>SOP/PROD/HOSE/EPR/24/10/12</t>
  </si>
  <si>
    <t>SOP/PROD/HOSE/EPR/24/10/13</t>
  </si>
  <si>
    <t>SOP/PROD/HOSE/EPR/24/10/14</t>
  </si>
  <si>
    <t>SOP/PROD/HOSE/EPR/24/10/15</t>
  </si>
  <si>
    <t>SOP/PROD/HOSE/EPR/24/10/16</t>
  </si>
  <si>
    <t>SOP/PROD/HOSE/EPR/24/10/17</t>
  </si>
  <si>
    <t>SOP/PROD/HOSE/EPR/24/10/18</t>
  </si>
  <si>
    <t>SOP/PROD/HOSE/EPR/24/10/19</t>
  </si>
  <si>
    <t>SOP/PROD/HOSE/EPR/24/10/20</t>
  </si>
  <si>
    <t>SOP/PROD/HOSE/EPR/24/10/21</t>
  </si>
  <si>
    <t>SOP/PROD/HOSE/EPR/24/10/22</t>
  </si>
  <si>
    <t>SOP/PROD/HOSE/EPR/24/10/23</t>
  </si>
  <si>
    <t>SOP/PROD/HOSE/EPR/24/10/24</t>
  </si>
  <si>
    <t>SOP/PROD/HOSE/EPR/24/10/25</t>
  </si>
  <si>
    <t>SOP/PROD/HOSE/EPR/24/10/26</t>
  </si>
  <si>
    <t>SOP/PROD/HOSE/EPR/24/10/27</t>
  </si>
  <si>
    <t>SOP/PROD/HOSE/EPR/24/10/28</t>
  </si>
  <si>
    <t>SOP/PROD/HOSE/EPR/24/10/29</t>
  </si>
  <si>
    <t>SOP/PROD/HOSE/EPR/24/10/30</t>
  </si>
  <si>
    <t>SOP/PROD/HOSE/EPR/24/10/31</t>
  </si>
  <si>
    <t>SOP/PROD/HOSE/EPR/24/10/32</t>
  </si>
  <si>
    <t>SOP/PROD/HOSE/EPR/24/10/33</t>
  </si>
  <si>
    <t>SOP/PROD/HOSE/EPR/24/10/34</t>
  </si>
  <si>
    <t>SOP/PROD/HOSE/EPR/24/10/35</t>
  </si>
  <si>
    <t>SOP/PROD/HOSE/EPR/24/10/36</t>
  </si>
  <si>
    <t>SOP/PROD/HOSE/EPR/24/10/37</t>
  </si>
  <si>
    <t>SOP/PROD/HOSE/EPRD/24/10/01</t>
  </si>
  <si>
    <t>SOP/PROD/HOSE/EPRD/24/10/02</t>
  </si>
  <si>
    <t>SOP/PROD/HOSE/EPRD/24/10/03</t>
  </si>
  <si>
    <t>SOP/PROD/HOSE/EPRD/24/10/04</t>
  </si>
  <si>
    <t>SOP/PROD/HOSE/EPRD/24/10/05</t>
  </si>
  <si>
    <t>SOP/PROD/HOSE/EPRD/24/10/06</t>
  </si>
  <si>
    <t>SOP/PROD/HOSE/EPRD/24/10/07</t>
  </si>
  <si>
    <t>SOP/PROD/HOSE/EPRD/24/10/08</t>
  </si>
  <si>
    <t>SOP/PROD/HOSE/EPRD/24/10/09</t>
  </si>
  <si>
    <t>SOP/PROD/HOSE/EPRD/24/10/10</t>
  </si>
  <si>
    <t>SOP/PROD/HOSE/EPRD/24/10/11</t>
  </si>
  <si>
    <t>SOP/PROD/HOSE/EPRD/24/10/12</t>
  </si>
  <si>
    <t>SOP/PROD/HOSE/EPRD/24/10/13</t>
  </si>
  <si>
    <t>SOP/PROD/HOSE/EPRD/24/10/14</t>
  </si>
  <si>
    <t>SOP/PROD/HOSE/EPRD/24/10/15</t>
  </si>
  <si>
    <t>SOP/PROD/HOSE/EPRD/24/10/16</t>
  </si>
  <si>
    <t>SOP/PROD/HOSE/EPRD/24/10/17</t>
  </si>
  <si>
    <t>SOP/PROD/HOSE/EPRD/24/10/18</t>
  </si>
  <si>
    <t>SOP/PROD/HOSE/EPRD/24/10/19</t>
  </si>
  <si>
    <t>SOP/PROD/HOSE/EPRD/24/10/20</t>
  </si>
  <si>
    <t>SOP/PROD/HOSE/EPRD/24/10/21</t>
  </si>
  <si>
    <t>SOP/PROD/HOSE/EPRD/24/10/22</t>
  </si>
  <si>
    <t>SOP/PROD/HOSE/EPRD/24/10/23</t>
  </si>
  <si>
    <t>SOP/PROD/HOSE/EPRD/24/10/24</t>
  </si>
  <si>
    <t>SOP/PROD/HOSE/EPRD/24/10/25</t>
  </si>
  <si>
    <t>SOP/PROD/HOSE/EPRD/24/10/26</t>
  </si>
  <si>
    <t>SOP/PROD/HOSE/EPRD/24/10/27</t>
  </si>
  <si>
    <t>SOP/PROD/HOSE/EPRD/24/10/28</t>
  </si>
  <si>
    <t>SOP/PROD/HOSE/EPRD/24/10/29</t>
  </si>
  <si>
    <t>SOP/PROD/HOSE/EPRD/24/10/30</t>
  </si>
  <si>
    <t>SOP/PROD/HOSE/EPRD/24/10/31</t>
  </si>
  <si>
    <t>SOP/PROD/HOSE/EPRD/24/10/32</t>
  </si>
  <si>
    <t>SOP/PROD/HOSE/EPRD/24/10/33</t>
  </si>
  <si>
    <t>SOP/PROD/HOSE/EPRD/24/10/34</t>
  </si>
  <si>
    <t>SOP/PROD/HOSE/EPRD/24/10/35</t>
  </si>
  <si>
    <t>SOP/PROD/HOSE/EPRD/24/10/36</t>
  </si>
  <si>
    <t>SOP/PROD/HOSE/EPRD/24/10/37</t>
  </si>
  <si>
    <r>
      <t>(</t>
    </r>
    <r>
      <rPr>
        <sz val="20"/>
        <rFont val="Arial"/>
        <family val="2"/>
      </rPr>
      <t>◦C)</t>
    </r>
  </si>
  <si>
    <r>
      <t xml:space="preserve">IP &gt;CSM, </t>
    </r>
    <r>
      <rPr>
        <u/>
        <sz val="20"/>
        <rFont val="Arial"/>
        <family val="2"/>
      </rPr>
      <t>GECO</t>
    </r>
    <r>
      <rPr>
        <sz val="20"/>
        <rFont val="Arial"/>
        <family val="2"/>
      </rPr>
      <t>&lt; DATE</t>
    </r>
  </si>
  <si>
    <r>
      <t xml:space="preserve">Max. 15 </t>
    </r>
    <r>
      <rPr>
        <sz val="20"/>
        <rFont val="Arial"/>
        <family val="2"/>
      </rPr>
      <t>°C</t>
    </r>
  </si>
  <si>
    <r>
      <t>27.5</t>
    </r>
    <r>
      <rPr>
        <sz val="20"/>
        <rFont val="Arial"/>
        <family val="2"/>
      </rPr>
      <t>±3</t>
    </r>
  </si>
  <si>
    <r>
      <t xml:space="preserve">VIN &gt;CSM, </t>
    </r>
    <r>
      <rPr>
        <u/>
        <sz val="20"/>
        <rFont val="Arial"/>
        <family val="2"/>
      </rPr>
      <t>GECO</t>
    </r>
    <r>
      <rPr>
        <sz val="20"/>
        <rFont val="Arial"/>
        <family val="2"/>
      </rPr>
      <t>&lt; DATE</t>
    </r>
  </si>
  <si>
    <r>
      <t>11.3</t>
    </r>
    <r>
      <rPr>
        <sz val="20"/>
        <rFont val="Arial"/>
        <family val="2"/>
      </rPr>
      <t>±0.2</t>
    </r>
  </si>
  <si>
    <r>
      <t xml:space="preserve">IP &gt;CSM, </t>
    </r>
    <r>
      <rPr>
        <u/>
        <sz val="20"/>
        <rFont val="Arial"/>
        <family val="2"/>
      </rPr>
      <t>NBR</t>
    </r>
    <r>
      <rPr>
        <sz val="20"/>
        <rFont val="Arial"/>
        <family val="2"/>
      </rPr>
      <t>&lt; DATE</t>
    </r>
  </si>
  <si>
    <r>
      <t>11.7</t>
    </r>
    <r>
      <rPr>
        <sz val="20"/>
        <rFont val="Arial"/>
        <family val="2"/>
      </rPr>
      <t>±0.2</t>
    </r>
  </si>
  <si>
    <r>
      <t>11.2</t>
    </r>
    <r>
      <rPr>
        <sz val="20"/>
        <rFont val="Arial"/>
        <family val="2"/>
      </rPr>
      <t>±0.2</t>
    </r>
  </si>
  <si>
    <r>
      <t>11</t>
    </r>
    <r>
      <rPr>
        <sz val="20"/>
        <rFont val="Arial"/>
        <family val="2"/>
      </rPr>
      <t>±0.2</t>
    </r>
  </si>
  <si>
    <r>
      <t>13</t>
    </r>
    <r>
      <rPr>
        <sz val="20"/>
        <rFont val="Arial"/>
        <family val="2"/>
      </rPr>
      <t>±0.2</t>
    </r>
  </si>
  <si>
    <r>
      <t>14</t>
    </r>
    <r>
      <rPr>
        <sz val="20"/>
        <rFont val="Arial"/>
        <family val="2"/>
      </rPr>
      <t>±0.2</t>
    </r>
  </si>
  <si>
    <r>
      <t>13.3</t>
    </r>
    <r>
      <rPr>
        <sz val="20"/>
        <rFont val="Arial"/>
        <family val="2"/>
      </rPr>
      <t>±0.2</t>
    </r>
  </si>
  <si>
    <r>
      <t>11.5</t>
    </r>
    <r>
      <rPr>
        <sz val="20"/>
        <rFont val="Arial"/>
        <family val="2"/>
      </rPr>
      <t>±0.2</t>
    </r>
  </si>
  <si>
    <r>
      <t>16.7</t>
    </r>
    <r>
      <rPr>
        <sz val="20"/>
        <rFont val="Arial"/>
        <family val="2"/>
      </rPr>
      <t>±0.2</t>
    </r>
  </si>
  <si>
    <r>
      <t>17.4</t>
    </r>
    <r>
      <rPr>
        <sz val="20"/>
        <rFont val="Arial"/>
        <family val="2"/>
      </rPr>
      <t>±0.2</t>
    </r>
  </si>
  <si>
    <r>
      <t>20.9</t>
    </r>
    <r>
      <rPr>
        <sz val="20"/>
        <rFont val="Arial"/>
        <family val="2"/>
      </rPr>
      <t>±0.2</t>
    </r>
  </si>
  <si>
    <r>
      <t>27</t>
    </r>
    <r>
      <rPr>
        <sz val="20"/>
        <rFont val="Arial"/>
        <family val="2"/>
      </rPr>
      <t>±0.2</t>
    </r>
  </si>
  <si>
    <r>
      <t xml:space="preserve">VIN &gt;CSM, </t>
    </r>
    <r>
      <rPr>
        <u/>
        <sz val="20"/>
        <rFont val="Arial"/>
        <family val="2"/>
      </rPr>
      <t>NBR</t>
    </r>
    <r>
      <rPr>
        <sz val="20"/>
        <rFont val="Arial"/>
        <family val="2"/>
      </rPr>
      <t>&lt; DATE</t>
    </r>
  </si>
  <si>
    <r>
      <t xml:space="preserve">VIN &gt;CSM, </t>
    </r>
    <r>
      <rPr>
        <sz val="20"/>
        <rFont val="Arial"/>
        <family val="2"/>
      </rPr>
      <t>NBR&lt; DATE</t>
    </r>
  </si>
  <si>
    <r>
      <t xml:space="preserve">Max. 9 </t>
    </r>
    <r>
      <rPr>
        <sz val="20"/>
        <rFont val="Arial"/>
        <family val="2"/>
      </rPr>
      <t>°C</t>
    </r>
  </si>
  <si>
    <t>Merah</t>
  </si>
  <si>
    <t>Ø100, #40</t>
  </si>
  <si>
    <t>Ø100, #10</t>
  </si>
  <si>
    <r>
      <t>13.5</t>
    </r>
    <r>
      <rPr>
        <sz val="10"/>
        <color theme="0"/>
        <rFont val="Arial"/>
        <family val="2"/>
      </rPr>
      <t>±0.2</t>
    </r>
  </si>
  <si>
    <r>
      <t>12</t>
    </r>
    <r>
      <rPr>
        <sz val="10"/>
        <color theme="0"/>
        <rFont val="Arial"/>
        <family val="2"/>
      </rPr>
      <t>±0.2</t>
    </r>
  </si>
  <si>
    <t>3.6±3</t>
  </si>
  <si>
    <t>15.8±0.3</t>
  </si>
  <si>
    <t>8.0±0.2</t>
  </si>
  <si>
    <t>0.8±0.2</t>
  </si>
  <si>
    <t>NA3311, NA3312</t>
  </si>
  <si>
    <t>8.8±0.2</t>
  </si>
  <si>
    <t>Ø100,#10 #40</t>
  </si>
  <si>
    <t>16-12-24</t>
  </si>
  <si>
    <t>25±5</t>
  </si>
  <si>
    <t>5.0±2.0</t>
  </si>
  <si>
    <t>45±5</t>
  </si>
  <si>
    <t>0.6±0.2</t>
  </si>
  <si>
    <t>VIN&gt;NBR-PVC&lt; DATE</t>
  </si>
  <si>
    <t>EMBOSS</t>
  </si>
  <si>
    <t>12.5±0.2</t>
  </si>
  <si>
    <t>20.5±0.5</t>
  </si>
  <si>
    <t>NA-2910</t>
  </si>
  <si>
    <t>16±0.2</t>
  </si>
  <si>
    <t>16.9</t>
  </si>
  <si>
    <t>NA-1650, NA-2110</t>
  </si>
  <si>
    <t>SOP/PROD/HOSE/SPS/24/12/38</t>
  </si>
  <si>
    <t>SOP/PROD/HOSE/EPR/24/12/38</t>
  </si>
  <si>
    <t>SOP/PROD/HOSE/SPS/24/12/39</t>
  </si>
  <si>
    <t>SOP/PROD/HOSE/EPR/24/12/39</t>
  </si>
  <si>
    <t>22-01-25</t>
  </si>
  <si>
    <r>
      <t>36.9</t>
    </r>
    <r>
      <rPr>
        <sz val="20"/>
        <color theme="0"/>
        <rFont val="Calibri"/>
        <family val="2"/>
      </rPr>
      <t>±0.2</t>
    </r>
  </si>
  <si>
    <t xml:space="preserve"> -</t>
  </si>
  <si>
    <t>25±10</t>
  </si>
  <si>
    <t>Max 80</t>
  </si>
  <si>
    <t>43.3±0.3</t>
  </si>
  <si>
    <t>3.0±1</t>
  </si>
  <si>
    <r>
      <t>0.3</t>
    </r>
    <r>
      <rPr>
        <sz val="20"/>
        <color theme="0"/>
        <rFont val="Calibri"/>
        <family val="2"/>
      </rPr>
      <t>±0.2</t>
    </r>
  </si>
  <si>
    <t>4.9 +0,4 / -0,3</t>
  </si>
  <si>
    <t>TA-0570</t>
  </si>
  <si>
    <t>13.5±0.2</t>
  </si>
  <si>
    <t>12±0.2</t>
  </si>
  <si>
    <t>IP &gt;CSM, NBR&lt; DATE</t>
  </si>
  <si>
    <t>Max. 15 °C</t>
  </si>
  <si>
    <t>Ø 9.5 mm × 17.5 mm</t>
  </si>
  <si>
    <t>DTSZ0001G</t>
  </si>
  <si>
    <t>TA-3030</t>
  </si>
  <si>
    <t>PT. ADM &amp; PT. TMMIN</t>
  </si>
  <si>
    <t>SOP/ENG/25/02/13</t>
  </si>
  <si>
    <t>19-02-25</t>
  </si>
  <si>
    <t>21±3</t>
  </si>
  <si>
    <t>7.0±2</t>
  </si>
  <si>
    <t>8.8±0.1</t>
  </si>
  <si>
    <t>3.7±0.2</t>
  </si>
  <si>
    <t>SOP/ENG/25/02/14</t>
  </si>
  <si>
    <t>15.2±0.1</t>
  </si>
  <si>
    <t>20.5±0.3</t>
  </si>
  <si>
    <t>3.2±0.2</t>
  </si>
  <si>
    <t>PT ASUKA</t>
  </si>
  <si>
    <t>10-07-25</t>
  </si>
  <si>
    <t>Hose Tube Fuel</t>
  </si>
  <si>
    <t>Ø 5.3 mm × 10.3 mm</t>
  </si>
  <si>
    <t>HES B044-10 FT-B2</t>
  </si>
  <si>
    <t>N-1724</t>
  </si>
  <si>
    <t>H-1606</t>
  </si>
  <si>
    <t>6.5±0.1</t>
  </si>
  <si>
    <t>7.5±0.1</t>
  </si>
  <si>
    <t>1.9±1</t>
  </si>
  <si>
    <t>10±0.3</t>
  </si>
  <si>
    <t>Pink</t>
  </si>
  <si>
    <t>7.0±1</t>
  </si>
  <si>
    <t>2.4±0.2</t>
  </si>
  <si>
    <t>5.1±0.1</t>
  </si>
  <si>
    <t>2.1±0.1</t>
  </si>
  <si>
    <t>0.20±0.01</t>
  </si>
  <si>
    <t>FM1450, FM1940</t>
  </si>
  <si>
    <t>9.1±0.2</t>
  </si>
  <si>
    <r>
      <t xml:space="preserve">13.5 </t>
    </r>
    <r>
      <rPr>
        <sz val="20"/>
        <color theme="0"/>
        <rFont val="Calibri"/>
        <family val="2"/>
      </rPr>
      <t>±</t>
    </r>
    <r>
      <rPr>
        <sz val="20"/>
        <color theme="0"/>
        <rFont val="Arial"/>
        <family val="2"/>
      </rPr>
      <t xml:space="preserve"> </t>
    </r>
    <r>
      <rPr>
        <sz val="20"/>
        <color theme="0"/>
        <rFont val="Calibri"/>
        <family val="2"/>
        <scheme val="minor"/>
      </rPr>
      <t>0.2</t>
    </r>
  </si>
  <si>
    <r>
      <t xml:space="preserve">12 </t>
    </r>
    <r>
      <rPr>
        <sz val="20"/>
        <color theme="0"/>
        <rFont val="Calibri"/>
        <family val="2"/>
      </rPr>
      <t>±</t>
    </r>
    <r>
      <rPr>
        <sz val="8"/>
        <color theme="0"/>
        <rFont val="Calibri"/>
        <family val="2"/>
      </rPr>
      <t xml:space="preserve"> </t>
    </r>
    <r>
      <rPr>
        <sz val="20"/>
        <color theme="0"/>
        <rFont val="Calibri"/>
        <family val="2"/>
        <scheme val="minor"/>
      </rPr>
      <t>0.2</t>
    </r>
  </si>
  <si>
    <t>3±2</t>
  </si>
  <si>
    <r>
      <t xml:space="preserve">IP &gt;CSM, </t>
    </r>
    <r>
      <rPr>
        <u/>
        <sz val="20"/>
        <color theme="0"/>
        <rFont val="Calibri"/>
        <family val="2"/>
        <scheme val="minor"/>
      </rPr>
      <t>NBR</t>
    </r>
    <r>
      <rPr>
        <sz val="20"/>
        <color theme="0"/>
        <rFont val="Calibri"/>
        <family val="2"/>
        <scheme val="minor"/>
      </rPr>
      <t>&lt; DATE</t>
    </r>
  </si>
  <si>
    <t>20.2±5</t>
  </si>
  <si>
    <t>3.6±0.2</t>
  </si>
  <si>
    <t>50±5</t>
  </si>
  <si>
    <t>30±10</t>
  </si>
  <si>
    <t>40.5±0.5</t>
  </si>
  <si>
    <t>Laser Emboss</t>
  </si>
  <si>
    <t>3.5±2</t>
  </si>
  <si>
    <t>0.4±0.2</t>
  </si>
  <si>
    <t>32.6±0.2</t>
  </si>
  <si>
    <t>4±0.2</t>
  </si>
  <si>
    <t>08-11-25</t>
  </si>
  <si>
    <t>5±0.3</t>
  </si>
  <si>
    <t>NA1570,TA-3040</t>
  </si>
  <si>
    <t>21±8</t>
  </si>
  <si>
    <t>16±0.3</t>
  </si>
  <si>
    <t>35.8±0.2</t>
  </si>
  <si>
    <t>25±8</t>
  </si>
  <si>
    <t>41.5±0.5</t>
  </si>
  <si>
    <t>NA1640</t>
  </si>
  <si>
    <t>8.0±2</t>
  </si>
  <si>
    <t>NA 204, NA 205</t>
  </si>
  <si>
    <t>15.2±0.2</t>
  </si>
  <si>
    <r>
      <t>21.2</t>
    </r>
    <r>
      <rPr>
        <sz val="10"/>
        <color theme="0"/>
        <rFont val="Arial"/>
        <family val="2"/>
      </rPr>
      <t>±0.2</t>
    </r>
  </si>
  <si>
    <t>18.2±0.2</t>
  </si>
  <si>
    <t>23±5</t>
  </si>
  <si>
    <t>23.5±0.3</t>
  </si>
  <si>
    <r>
      <t>6.0</t>
    </r>
    <r>
      <rPr>
        <sz val="20"/>
        <color theme="0"/>
        <rFont val="Calibri"/>
        <family val="2"/>
      </rPr>
      <t>±</t>
    </r>
    <r>
      <rPr>
        <sz val="11"/>
        <color theme="0"/>
        <rFont val="Calibri"/>
        <family val="2"/>
      </rPr>
      <t>2</t>
    </r>
  </si>
  <si>
    <t xml:space="preserve">PT. ADM </t>
  </si>
  <si>
    <t>TA-1180,TA1220</t>
  </si>
  <si>
    <t>24-11-25</t>
  </si>
  <si>
    <t>3.4±0.2</t>
  </si>
  <si>
    <t>PT. IAMI</t>
  </si>
  <si>
    <t>28-11-25</t>
  </si>
  <si>
    <t>E-1690</t>
  </si>
  <si>
    <t>Hose, Drain Staight</t>
  </si>
  <si>
    <t>13.3±0.3</t>
  </si>
  <si>
    <t>VIN &gt;EPDM&lt; DATE</t>
  </si>
  <si>
    <r>
      <t>0.4</t>
    </r>
    <r>
      <rPr>
        <sz val="20"/>
        <color theme="0"/>
        <rFont val="Calibri"/>
        <family val="2"/>
      </rPr>
      <t>±0.2</t>
    </r>
  </si>
  <si>
    <t>4.0±2</t>
  </si>
  <si>
    <t>TA-PM1460</t>
  </si>
  <si>
    <t>5.6±2.5</t>
  </si>
  <si>
    <r>
      <t xml:space="preserve">11.4 </t>
    </r>
    <r>
      <rPr>
        <sz val="20"/>
        <color theme="0"/>
        <rFont val="Calibri"/>
        <family val="2"/>
      </rPr>
      <t>±</t>
    </r>
    <r>
      <rPr>
        <sz val="20"/>
        <color theme="0"/>
        <rFont val="Arial"/>
        <family val="2"/>
      </rPr>
      <t xml:space="preserve"> </t>
    </r>
    <r>
      <rPr>
        <sz val="20"/>
        <color theme="0"/>
        <rFont val="Calibri"/>
        <family val="2"/>
        <scheme val="minor"/>
      </rPr>
      <t>0.2</t>
    </r>
  </si>
  <si>
    <t>17-12-25</t>
  </si>
  <si>
    <t>Hose, Clutch Reservoir</t>
  </si>
  <si>
    <t>DTSM1650G</t>
  </si>
  <si>
    <t>E-1766</t>
  </si>
  <si>
    <r>
      <t>12.5</t>
    </r>
    <r>
      <rPr>
        <sz val="20"/>
        <color theme="0"/>
        <rFont val="Calibri"/>
        <family val="2"/>
      </rPr>
      <t>±</t>
    </r>
    <r>
      <rPr>
        <sz val="20"/>
        <color theme="0"/>
        <rFont val="Arial"/>
        <family val="2"/>
      </rPr>
      <t xml:space="preserve"> </t>
    </r>
    <r>
      <rPr>
        <sz val="20"/>
        <color theme="0"/>
        <rFont val="Calibri"/>
        <family val="2"/>
        <scheme val="minor"/>
      </rPr>
      <t>0.1</t>
    </r>
  </si>
  <si>
    <t>13.2±0.3</t>
  </si>
  <si>
    <t>16.6±0.2</t>
  </si>
  <si>
    <t>(4±0.2)</t>
  </si>
  <si>
    <t>NA3220, NA3230, NA3240,
NA3250,NA3260</t>
  </si>
  <si>
    <t>MC</t>
  </si>
  <si>
    <t>DL1</t>
  </si>
  <si>
    <t>DL2</t>
  </si>
  <si>
    <t>DL1/2</t>
  </si>
  <si>
    <t>DL3/2</t>
  </si>
  <si>
    <t>DL2/3</t>
  </si>
  <si>
    <t>NA2900,NA1580,NA1610</t>
  </si>
  <si>
    <t>TA-1860</t>
  </si>
  <si>
    <t>TA-0590</t>
  </si>
  <si>
    <t>TA0580,TA1700</t>
  </si>
  <si>
    <t>TA1080,TA0320</t>
  </si>
  <si>
    <t>TA1760</t>
  </si>
  <si>
    <t>NA1661,NA1662,NA1671,NA1672,NA1821,NA1822,NA1270,NA1280,NA1360,NA1370</t>
  </si>
  <si>
    <t>NA2033,TA1230,TA1750</t>
  </si>
  <si>
    <t>TA0640</t>
  </si>
  <si>
    <t>TA1400,TA1530,TA1840</t>
  </si>
  <si>
    <t>NA2820,NA1560,NA2662,NA1690,NA1630</t>
  </si>
  <si>
    <t>TA1710,TA1520,TA2510,TA2500</t>
  </si>
  <si>
    <t>TA1180,TA1220</t>
  </si>
  <si>
    <t>TA1060,TA1140</t>
  </si>
  <si>
    <t>NA2110,NA1650</t>
  </si>
  <si>
    <t>TA0630</t>
  </si>
  <si>
    <t>TA0570</t>
  </si>
  <si>
    <t>MS0800,MS0090,MS0100,MS0110,MS0120</t>
  </si>
  <si>
    <t>NA2040,NA2050</t>
  </si>
  <si>
    <t>TA1820,TA2040,TA3040</t>
  </si>
  <si>
    <t>NA-1570</t>
  </si>
  <si>
    <t>NA1680,NA2780,NA1410,NA1600</t>
  </si>
  <si>
    <t>NA1600,NA1680,NA2780,NA1410</t>
  </si>
  <si>
    <t>TA166B,TA2990</t>
  </si>
  <si>
    <t>17-0</t>
  </si>
  <si>
    <t xml:space="preserve">Hose, Ventilation; Ø 9 mm × 17 mm; TSM1671G-1A </t>
  </si>
  <si>
    <t>29-0</t>
  </si>
  <si>
    <t xml:space="preserve">Hose, Vacuum; Ø 7.5 mm × 14.5 mm; - </t>
  </si>
  <si>
    <t>31-0</t>
  </si>
  <si>
    <t xml:space="preserve">Hose, Fuel; Ø 7 mm × 12 mm; TSM1651G-2 </t>
  </si>
  <si>
    <t>32-0</t>
  </si>
  <si>
    <t xml:space="preserve">Hose, Fuel; Ø 9 mm × 14 mm; TSM1651G-2 </t>
  </si>
  <si>
    <t xml:space="preserve">Hose, Fuel; Ø 7 mm × 14 mm; TSM1651G-2 </t>
  </si>
  <si>
    <t>35-0</t>
  </si>
  <si>
    <t xml:space="preserve">Hose, Fuel Tank; Ø 13.5 mm × 21.5 mm; TSM1648G-3 </t>
  </si>
  <si>
    <t>36-1</t>
  </si>
  <si>
    <t xml:space="preserve">Hose, Actuator; Ø 3.5 mm × 8.5mm; DTSM1649G-1 </t>
  </si>
  <si>
    <t>44-0</t>
  </si>
  <si>
    <t xml:space="preserve">Hose Tube Fuel; Ø 5.3 mm × 10.3 mm; HES B044-10 FT-B2 </t>
  </si>
  <si>
    <t>37-1</t>
  </si>
  <si>
    <t xml:space="preserve">Hose, Ventilation; Ø 9 mm × 17 mm; DTSM1670G-1 </t>
  </si>
  <si>
    <t>16-3</t>
  </si>
  <si>
    <t>45-0</t>
  </si>
  <si>
    <t xml:space="preserve">Hose, Drain Staight; Ø 9 mm × 14 mm;  - </t>
  </si>
  <si>
    <t>46-0</t>
  </si>
  <si>
    <t xml:space="preserve">Hose, Clutch Reservoir; Ø 8.5 mm × 16.6 mm; DTSM1650G </t>
  </si>
  <si>
    <r>
      <t>(</t>
    </r>
    <r>
      <rPr>
        <sz val="28"/>
        <color rgb="FFFFFF00"/>
        <rFont val="Arial"/>
        <family val="2"/>
      </rPr>
      <t>◦</t>
    </r>
    <r>
      <rPr>
        <sz val="10"/>
        <color rgb="FFFFFF00"/>
        <rFont val="Arial"/>
        <family val="2"/>
      </rPr>
      <t>C)</t>
    </r>
  </si>
  <si>
    <t>VHFUNC-TA1760-EH</t>
  </si>
  <si>
    <t>VHFUNC-TA1080-EH, VHFUNC-TA0320-EH</t>
  </si>
  <si>
    <t>VHFUNC-HN0270-EH, VHFUNC-HN0280-EH, VHFUNC-HN0290-EH, VHFUNC-HN0400-EH</t>
  </si>
  <si>
    <t>VHFUNC-NA2033-EH, VHFUNC-TA1230-EH, VHFUNC-TA1750-EH</t>
  </si>
  <si>
    <t>VHFUNC-NA1661, VHFUNC-NA1662, VHFUNC-NA1671, VHFUNC-NA1672, VHFUNC-NA1821-EH, VHFUNC-NA1822-EH, VHFUNC-NA1270-EH, VHFUNC-NA1280-EH, VHFUNC-NA1360-EH, VHFUNC-NA1370-EH</t>
  </si>
  <si>
    <t>VHFUNC-TA1400-EH, VHFUNC-TA1530-EH, VHFUNC-TA1840-EH</t>
  </si>
  <si>
    <t>VHFUNC-TA1710-EH, VHFUNC-TA1520-EH, VHFUNC-TA2510-EH, VHFUNC-TA2500-EH</t>
  </si>
  <si>
    <t>VHFUNC-NA2820-EH, VHFUNC-NA1560-EH, VHFUNC-NA2662-EH, VHFUNC-NA1690-EH, VHFUNC-NA1630-EH</t>
  </si>
  <si>
    <t>VHFUNC-TA0590-EH</t>
  </si>
  <si>
    <t>VHFUNC-TA1860-EH</t>
  </si>
  <si>
    <t>VHFUNC-TA166B-EH, VHFUNC-TA2990-EH</t>
  </si>
  <si>
    <t>VHFUNC-MS0800-EH, VHFUNC-MS0090-EH, VHFUNC-MS0100-EH, VHFUNC-MS0110-EH, VHFUNC-MS0120-EH</t>
  </si>
  <si>
    <t>VHFUNC-TA0640-EH</t>
  </si>
  <si>
    <t>VHFUNC-TA0630-EH</t>
  </si>
  <si>
    <t>VHFUNC-TA0580-EH, VHFUNC-TA1700-EH</t>
  </si>
  <si>
    <t>VHFUNC-FM1450-EH, VHFUNC-FM1940-EH</t>
  </si>
  <si>
    <t>VHFUNC-NA3311-EH, VHFUNC-NA3312-EH</t>
  </si>
  <si>
    <t>VHFUNC-NA1600-EH, VHFUNC-NA1680-EH, VHFUNC-NA2780-EH, VHFUNC-NA1410-EH</t>
  </si>
  <si>
    <t>VHFUNC-PM1460-EH</t>
  </si>
  <si>
    <t>VHFUNC-NA3220-EH, VHFUNC-NA3230-EH, VHFUNC-NA3240-EH, VHFUNC-NA3250-EH, VHFUNC-NA3260-EH</t>
  </si>
  <si>
    <t>;</t>
  </si>
  <si>
    <t>SOP/PROD/HOSE/SPS/24/10/40</t>
  </si>
  <si>
    <t>SOP/PROD/HOSE/SPS/24/10/41</t>
  </si>
  <si>
    <t>SOP/PROD/HOSE/SPS/24/10/42</t>
  </si>
  <si>
    <t>SOP/PROD/HOSE/SPS/24/10/43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</si>
</sst>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&quot; &quot;;[Red]&quot;(&quot;0.0&quot;)&quot;"/>
    <numFmt numFmtId="165" formatCode="[$$-409]#,##0.00;[Red]&quot;-&quot;[$$-409]#,##0.00"/>
    <numFmt numFmtId="166" formatCode="0;[Red]0"/>
    <numFmt numFmtId="167" formatCode="dd/mm/yyyy;@"/>
    <numFmt numFmtId="168" formatCode="0.0"/>
  </numFmts>
  <fonts count="43">
    <font>
      <sz val="10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0"/>
      <color indexed="8"/>
      <name val="ＭＳ Ｐゴシック"/>
      <family val="3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u/>
      <sz val="11"/>
      <color rgb="FF000000"/>
      <name val="Calibri"/>
      <family val="2"/>
    </font>
    <font>
      <sz val="28"/>
      <name val="Arial"/>
      <family val="2"/>
    </font>
    <font>
      <sz val="11"/>
      <color theme="0"/>
      <name val="Calibri"/>
      <family val="2"/>
      <scheme val="minor"/>
    </font>
    <font>
      <b/>
      <u/>
      <sz val="36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2"/>
      <color rgb="FFFFFF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20"/>
      <color theme="0"/>
      <name val="Calibri"/>
      <family val="2"/>
    </font>
    <font>
      <sz val="20"/>
      <color rgb="FFFF0000"/>
      <name val="Calibri"/>
      <family val="2"/>
      <scheme val="minor"/>
    </font>
    <font>
      <sz val="20"/>
      <color theme="0" tint="-0.499984740745262"/>
      <name val="Calibri"/>
      <family val="2"/>
      <scheme val="minor"/>
    </font>
    <font>
      <sz val="20"/>
      <color rgb="FFFFC000"/>
      <name val="Calibri"/>
      <family val="2"/>
      <scheme val="minor"/>
    </font>
    <font>
      <u/>
      <sz val="10"/>
      <color theme="0"/>
      <name val="Arial"/>
      <family val="2"/>
    </font>
    <font>
      <sz val="10"/>
      <color theme="0"/>
      <name val="Arial"/>
      <family val="2"/>
    </font>
    <font>
      <b/>
      <sz val="20"/>
      <name val="Calibri"/>
      <family val="2"/>
      <scheme val="minor"/>
    </font>
    <font>
      <sz val="20"/>
      <name val="Calibri"/>
      <family val="2"/>
      <scheme val="minor"/>
    </font>
    <font>
      <sz val="20"/>
      <name val="Calibri"/>
      <family val="2"/>
    </font>
    <font>
      <sz val="11"/>
      <name val="Calibri"/>
      <family val="2"/>
      <scheme val="minor"/>
    </font>
    <font>
      <b/>
      <u/>
      <sz val="3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sz val="20"/>
      <name val="Arial"/>
      <family val="2"/>
    </font>
    <font>
      <u/>
      <sz val="20"/>
      <name val="Arial"/>
      <family val="2"/>
    </font>
    <font>
      <sz val="20"/>
      <color theme="0"/>
      <name val="Arial"/>
      <family val="2"/>
    </font>
    <font>
      <sz val="8"/>
      <color theme="0"/>
      <name val="Calibri"/>
      <family val="2"/>
    </font>
    <font>
      <u/>
      <sz val="20"/>
      <color theme="0"/>
      <name val="Calibri"/>
      <family val="2"/>
      <scheme val="minor"/>
    </font>
    <font>
      <sz val="11"/>
      <color theme="0"/>
      <name val="Calibri"/>
      <family val="2"/>
    </font>
    <font>
      <sz val="20"/>
      <color rgb="FFFFFF00"/>
      <name val="Calibri"/>
      <family val="2"/>
      <scheme val="minor"/>
    </font>
    <font>
      <sz val="28"/>
      <color rgb="FFFFFF00"/>
      <name val="Arial"/>
      <family val="2"/>
    </font>
    <font>
      <sz val="10"/>
      <color rgb="FFFFFF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0" fontId="6" fillId="0" borderId="0" applyBorder="0" applyProtection="0">
      <alignment vertical="center"/>
    </xf>
    <xf numFmtId="0" fontId="7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9" fillId="0" borderId="0"/>
    <xf numFmtId="165" fontId="9" fillId="0" borderId="0"/>
  </cellStyleXfs>
  <cellXfs count="190">
    <xf numFmtId="0" fontId="0" fillId="0" borderId="0" xfId="0"/>
    <xf numFmtId="0" fontId="1" fillId="0" borderId="0" xfId="0" applyFont="1"/>
    <xf numFmtId="0" fontId="2" fillId="2" borderId="5" xfId="0" applyFont="1" applyFill="1" applyBorder="1"/>
    <xf numFmtId="0" fontId="2" fillId="2" borderId="6" xfId="0" applyFont="1" applyFill="1" applyBorder="1"/>
    <xf numFmtId="0" fontId="11" fillId="3" borderId="0" xfId="3" applyFont="1" applyFill="1" applyAlignment="1">
      <alignment vertical="center"/>
    </xf>
    <xf numFmtId="0" fontId="12" fillId="3" borderId="0" xfId="3" applyFont="1" applyFill="1" applyAlignment="1">
      <alignment horizontal="left" vertical="center"/>
    </xf>
    <xf numFmtId="0" fontId="13" fillId="3" borderId="0" xfId="3" applyFont="1" applyFill="1" applyAlignment="1">
      <alignment vertical="center"/>
    </xf>
    <xf numFmtId="164" fontId="14" fillId="3" borderId="0" xfId="3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0" fontId="16" fillId="3" borderId="0" xfId="3" applyFont="1" applyFill="1" applyAlignment="1">
      <alignment horizontal="left" vertical="center"/>
    </xf>
    <xf numFmtId="164" fontId="14" fillId="3" borderId="0" xfId="3" applyNumberFormat="1" applyFont="1" applyFill="1" applyAlignment="1">
      <alignment horizontal="center" vertical="center" wrapText="1"/>
    </xf>
    <xf numFmtId="164" fontId="15" fillId="3" borderId="0" xfId="0" applyNumberFormat="1" applyFont="1" applyFill="1" applyAlignment="1">
      <alignment horizontal="center"/>
    </xf>
    <xf numFmtId="0" fontId="17" fillId="3" borderId="5" xfId="3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19" fillId="3" borderId="0" xfId="3" applyFont="1" applyFill="1"/>
    <xf numFmtId="0" fontId="18" fillId="3" borderId="5" xfId="0" applyFont="1" applyFill="1" applyBorder="1" applyAlignment="1">
      <alignment horizontal="center" vertical="center"/>
    </xf>
    <xf numFmtId="0" fontId="19" fillId="3" borderId="5" xfId="3" applyFont="1" applyFill="1" applyBorder="1"/>
    <xf numFmtId="0" fontId="18" fillId="3" borderId="5" xfId="3" applyFont="1" applyFill="1" applyBorder="1"/>
    <xf numFmtId="0" fontId="18" fillId="3" borderId="5" xfId="3" applyFont="1" applyFill="1" applyBorder="1" applyAlignment="1">
      <alignment horizontal="center" vertical="center"/>
    </xf>
    <xf numFmtId="0" fontId="18" fillId="3" borderId="0" xfId="3" applyFont="1" applyFill="1"/>
    <xf numFmtId="0" fontId="15" fillId="3" borderId="5" xfId="3" applyFont="1" applyFill="1" applyBorder="1"/>
    <xf numFmtId="0" fontId="15" fillId="3" borderId="5" xfId="3" applyFont="1" applyFill="1" applyBorder="1" applyAlignment="1">
      <alignment horizontal="center" vertical="center"/>
    </xf>
    <xf numFmtId="164" fontId="15" fillId="3" borderId="5" xfId="3" applyNumberFormat="1" applyFont="1" applyFill="1" applyBorder="1" applyAlignment="1">
      <alignment horizontal="center" vertical="center"/>
    </xf>
    <xf numFmtId="166" fontId="15" fillId="3" borderId="5" xfId="3" applyNumberFormat="1" applyFont="1" applyFill="1" applyBorder="1" applyAlignment="1">
      <alignment horizontal="center" vertical="center"/>
    </xf>
    <xf numFmtId="164" fontId="15" fillId="3" borderId="5" xfId="3" applyNumberFormat="1" applyFont="1" applyFill="1" applyBorder="1" applyAlignment="1">
      <alignment horizontal="left" vertical="center"/>
    </xf>
    <xf numFmtId="167" fontId="15" fillId="3" borderId="5" xfId="3" quotePrefix="1" applyNumberFormat="1" applyFont="1" applyFill="1" applyBorder="1" applyAlignment="1">
      <alignment horizontal="center" vertical="center"/>
    </xf>
    <xf numFmtId="164" fontId="15" fillId="3" borderId="13" xfId="0" applyNumberFormat="1" applyFont="1" applyFill="1" applyBorder="1" applyAlignment="1">
      <alignment horizontal="center" vertical="center"/>
    </xf>
    <xf numFmtId="164" fontId="15" fillId="3" borderId="5" xfId="3" quotePrefix="1" applyNumberFormat="1" applyFont="1" applyFill="1" applyBorder="1" applyAlignment="1">
      <alignment horizontal="center" vertical="center"/>
    </xf>
    <xf numFmtId="164" fontId="20" fillId="3" borderId="5" xfId="3" applyNumberFormat="1" applyFont="1" applyFill="1" applyBorder="1" applyAlignment="1">
      <alignment horizontal="center" vertical="center"/>
    </xf>
    <xf numFmtId="168" fontId="15" fillId="3" borderId="5" xfId="3" applyNumberFormat="1" applyFont="1" applyFill="1" applyBorder="1" applyAlignment="1">
      <alignment horizontal="center" vertical="center"/>
    </xf>
    <xf numFmtId="0" fontId="15" fillId="3" borderId="0" xfId="3" applyFont="1" applyFill="1"/>
    <xf numFmtId="0" fontId="15" fillId="3" borderId="5" xfId="3" applyFont="1" applyFill="1" applyBorder="1" applyAlignment="1">
      <alignment horizontal="left" vertical="center"/>
    </xf>
    <xf numFmtId="164" fontId="15" fillId="3" borderId="0" xfId="3" applyNumberFormat="1" applyFont="1" applyFill="1" applyAlignment="1">
      <alignment horizontal="center"/>
    </xf>
    <xf numFmtId="9" fontId="15" fillId="3" borderId="5" xfId="3" applyNumberFormat="1" applyFont="1" applyFill="1" applyBorder="1" applyAlignment="1">
      <alignment horizontal="center" vertical="center"/>
    </xf>
    <xf numFmtId="0" fontId="15" fillId="3" borderId="5" xfId="3" applyFont="1" applyFill="1" applyBorder="1" applyAlignment="1">
      <alignment horizontal="center"/>
    </xf>
    <xf numFmtId="167" fontId="15" fillId="3" borderId="0" xfId="3" applyNumberFormat="1" applyFont="1" applyFill="1"/>
    <xf numFmtId="0" fontId="11" fillId="3" borderId="0" xfId="3" applyFont="1" applyFill="1"/>
    <xf numFmtId="0" fontId="13" fillId="3" borderId="0" xfId="3" applyFont="1" applyFill="1"/>
    <xf numFmtId="164" fontId="14" fillId="3" borderId="0" xfId="3" applyNumberFormat="1" applyFont="1" applyFill="1" applyAlignment="1">
      <alignment horizontal="center"/>
    </xf>
    <xf numFmtId="167" fontId="11" fillId="3" borderId="0" xfId="3" applyNumberFormat="1" applyFont="1" applyFill="1"/>
    <xf numFmtId="164" fontId="15" fillId="3" borderId="5" xfId="3" applyNumberFormat="1" applyFont="1" applyFill="1" applyBorder="1" applyAlignment="1">
      <alignment horizontal="center"/>
    </xf>
    <xf numFmtId="164" fontId="15" fillId="3" borderId="5" xfId="0" applyNumberFormat="1" applyFont="1" applyFill="1" applyBorder="1" applyAlignment="1">
      <alignment horizontal="center" vertical="center"/>
    </xf>
    <xf numFmtId="164" fontId="15" fillId="3" borderId="5" xfId="3" quotePrefix="1" applyNumberFormat="1" applyFont="1" applyFill="1" applyBorder="1" applyAlignment="1">
      <alignment horizontal="center"/>
    </xf>
    <xf numFmtId="0" fontId="17" fillId="3" borderId="20" xfId="3" applyFont="1" applyFill="1" applyBorder="1" applyAlignment="1">
      <alignment horizontal="center" vertical="center"/>
    </xf>
    <xf numFmtId="0" fontId="17" fillId="3" borderId="21" xfId="3" applyFont="1" applyFill="1" applyBorder="1" applyAlignment="1">
      <alignment horizontal="center" vertical="center"/>
    </xf>
    <xf numFmtId="0" fontId="21" fillId="3" borderId="0" xfId="3" applyFont="1" applyFill="1"/>
    <xf numFmtId="0" fontId="22" fillId="3" borderId="0" xfId="3" applyFont="1" applyFill="1"/>
    <xf numFmtId="0" fontId="23" fillId="3" borderId="0" xfId="3" applyFont="1" applyFill="1"/>
    <xf numFmtId="0" fontId="12" fillId="3" borderId="0" xfId="3" applyFont="1" applyFill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0" fontId="15" fillId="3" borderId="0" xfId="3" applyFont="1" applyFill="1" applyAlignment="1">
      <alignment horizontal="center"/>
    </xf>
    <xf numFmtId="0" fontId="11" fillId="3" borderId="0" xfId="3" applyFont="1" applyFill="1" applyAlignment="1">
      <alignment horizontal="center"/>
    </xf>
    <xf numFmtId="0" fontId="15" fillId="3" borderId="11" xfId="3" applyFont="1" applyFill="1" applyBorder="1"/>
    <xf numFmtId="0" fontId="15" fillId="3" borderId="11" xfId="3" applyFont="1" applyFill="1" applyBorder="1" applyAlignment="1">
      <alignment horizontal="center" vertical="center"/>
    </xf>
    <xf numFmtId="164" fontId="15" fillId="3" borderId="11" xfId="3" applyNumberFormat="1" applyFont="1" applyFill="1" applyBorder="1" applyAlignment="1">
      <alignment horizontal="center" vertical="center"/>
    </xf>
    <xf numFmtId="166" fontId="15" fillId="3" borderId="11" xfId="3" applyNumberFormat="1" applyFont="1" applyFill="1" applyBorder="1" applyAlignment="1">
      <alignment horizontal="center" vertical="center"/>
    </xf>
    <xf numFmtId="164" fontId="15" fillId="3" borderId="11" xfId="3" applyNumberFormat="1" applyFont="1" applyFill="1" applyBorder="1" applyAlignment="1">
      <alignment horizontal="left" vertical="center"/>
    </xf>
    <xf numFmtId="167" fontId="15" fillId="3" borderId="11" xfId="3" quotePrefix="1" applyNumberFormat="1" applyFont="1" applyFill="1" applyBorder="1" applyAlignment="1">
      <alignment horizontal="center" vertical="center"/>
    </xf>
    <xf numFmtId="0" fontId="15" fillId="3" borderId="11" xfId="3" applyFont="1" applyFill="1" applyBorder="1" applyAlignment="1">
      <alignment horizontal="left" vertical="center"/>
    </xf>
    <xf numFmtId="164" fontId="15" fillId="3" borderId="14" xfId="0" applyNumberFormat="1" applyFont="1" applyFill="1" applyBorder="1" applyAlignment="1">
      <alignment horizontal="center" vertical="center"/>
    </xf>
    <xf numFmtId="164" fontId="15" fillId="3" borderId="11" xfId="3" quotePrefix="1" applyNumberFormat="1" applyFont="1" applyFill="1" applyBorder="1" applyAlignment="1">
      <alignment horizontal="center" vertical="center"/>
    </xf>
    <xf numFmtId="164" fontId="20" fillId="3" borderId="11" xfId="3" applyNumberFormat="1" applyFont="1" applyFill="1" applyBorder="1" applyAlignment="1">
      <alignment horizontal="center" vertical="center"/>
    </xf>
    <xf numFmtId="168" fontId="15" fillId="3" borderId="11" xfId="3" applyNumberFormat="1" applyFont="1" applyFill="1" applyBorder="1" applyAlignment="1">
      <alignment horizontal="center" vertical="center"/>
    </xf>
    <xf numFmtId="164" fontId="15" fillId="3" borderId="5" xfId="0" applyNumberFormat="1" applyFont="1" applyFill="1" applyBorder="1" applyAlignment="1">
      <alignment horizontal="center"/>
    </xf>
    <xf numFmtId="0" fontId="17" fillId="4" borderId="5" xfId="3" applyFont="1" applyFill="1" applyBorder="1" applyAlignment="1">
      <alignment horizontal="center" vertical="center"/>
    </xf>
    <xf numFmtId="0" fontId="17" fillId="4" borderId="19" xfId="3" applyFont="1" applyFill="1" applyBorder="1" applyAlignment="1">
      <alignment horizontal="center" vertical="center"/>
    </xf>
    <xf numFmtId="166" fontId="15" fillId="3" borderId="5" xfId="3" applyNumberFormat="1" applyFont="1" applyFill="1" applyBorder="1" applyAlignment="1">
      <alignment horizontal="center"/>
    </xf>
    <xf numFmtId="166" fontId="15" fillId="3" borderId="0" xfId="3" applyNumberFormat="1" applyFont="1" applyFill="1" applyAlignment="1">
      <alignment horizontal="center"/>
    </xf>
    <xf numFmtId="166" fontId="11" fillId="3" borderId="0" xfId="3" applyNumberFormat="1" applyFont="1" applyFill="1" applyAlignment="1">
      <alignment horizontal="center"/>
    </xf>
    <xf numFmtId="168" fontId="15" fillId="3" borderId="5" xfId="3" quotePrefix="1" applyNumberFormat="1" applyFont="1" applyFill="1" applyBorder="1" applyAlignment="1">
      <alignment horizontal="center" vertical="center"/>
    </xf>
    <xf numFmtId="0" fontId="11" fillId="3" borderId="0" xfId="3" applyFont="1" applyFill="1" applyAlignment="1">
      <alignment horizontal="center" vertical="center"/>
    </xf>
    <xf numFmtId="0" fontId="15" fillId="3" borderId="5" xfId="3" quotePrefix="1" applyFont="1" applyFill="1" applyBorder="1" applyAlignment="1">
      <alignment horizontal="center"/>
    </xf>
    <xf numFmtId="164" fontId="15" fillId="3" borderId="11" xfId="3" applyNumberFormat="1" applyFont="1" applyFill="1" applyBorder="1" applyAlignment="1">
      <alignment horizontal="center"/>
    </xf>
    <xf numFmtId="9" fontId="15" fillId="3" borderId="11" xfId="3" applyNumberFormat="1" applyFont="1" applyFill="1" applyBorder="1" applyAlignment="1">
      <alignment horizontal="center" vertical="center"/>
    </xf>
    <xf numFmtId="0" fontId="18" fillId="3" borderId="19" xfId="3" applyFont="1" applyFill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/>
    </xf>
    <xf numFmtId="0" fontId="19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5" fillId="3" borderId="5" xfId="3" applyFont="1" applyFill="1" applyBorder="1" applyAlignment="1">
      <alignment horizontal="center" wrapText="1"/>
    </xf>
    <xf numFmtId="0" fontId="22" fillId="3" borderId="5" xfId="3" applyFont="1" applyFill="1" applyBorder="1" applyAlignment="1">
      <alignment horizont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26" fillId="0" borderId="5" xfId="3" applyFont="1" applyBorder="1"/>
    <xf numFmtId="0" fontId="26" fillId="0" borderId="5" xfId="3" applyFont="1" applyBorder="1" applyAlignment="1">
      <alignment horizontal="center" vertical="center"/>
    </xf>
    <xf numFmtId="0" fontId="26" fillId="0" borderId="19" xfId="3" applyFont="1" applyBorder="1" applyAlignment="1">
      <alignment horizontal="center" vertical="center"/>
    </xf>
    <xf numFmtId="0" fontId="27" fillId="0" borderId="5" xfId="3" applyFont="1" applyBorder="1"/>
    <xf numFmtId="0" fontId="27" fillId="0" borderId="5" xfId="3" applyFont="1" applyBorder="1" applyAlignment="1">
      <alignment horizontal="center" vertical="center"/>
    </xf>
    <xf numFmtId="164" fontId="27" fillId="0" borderId="5" xfId="3" applyNumberFormat="1" applyFont="1" applyBorder="1" applyAlignment="1">
      <alignment horizontal="center" vertical="center"/>
    </xf>
    <xf numFmtId="166" fontId="27" fillId="0" borderId="5" xfId="3" applyNumberFormat="1" applyFont="1" applyBorder="1" applyAlignment="1">
      <alignment horizontal="center" vertical="center"/>
    </xf>
    <xf numFmtId="164" fontId="27" fillId="0" borderId="5" xfId="3" applyNumberFormat="1" applyFont="1" applyBorder="1" applyAlignment="1">
      <alignment horizontal="left" vertical="center"/>
    </xf>
    <xf numFmtId="167" fontId="27" fillId="0" borderId="5" xfId="3" quotePrefix="1" applyNumberFormat="1" applyFont="1" applyBorder="1" applyAlignment="1">
      <alignment horizontal="center" vertical="center"/>
    </xf>
    <xf numFmtId="164" fontId="27" fillId="0" borderId="13" xfId="0" applyNumberFormat="1" applyFont="1" applyBorder="1" applyAlignment="1">
      <alignment horizontal="center" vertical="center"/>
    </xf>
    <xf numFmtId="164" fontId="27" fillId="0" borderId="5" xfId="3" quotePrefix="1" applyNumberFormat="1" applyFont="1" applyBorder="1" applyAlignment="1">
      <alignment horizontal="center" vertical="center"/>
    </xf>
    <xf numFmtId="164" fontId="28" fillId="0" borderId="5" xfId="3" applyNumberFormat="1" applyFont="1" applyBorder="1" applyAlignment="1">
      <alignment horizontal="center" vertical="center"/>
    </xf>
    <xf numFmtId="168" fontId="27" fillId="0" borderId="5" xfId="3" applyNumberFormat="1" applyFont="1" applyBorder="1" applyAlignment="1">
      <alignment horizontal="center" vertical="center"/>
    </xf>
    <xf numFmtId="0" fontId="27" fillId="0" borderId="19" xfId="3" applyFont="1" applyBorder="1" applyAlignment="1">
      <alignment horizontal="center" vertical="center"/>
    </xf>
    <xf numFmtId="0" fontId="27" fillId="0" borderId="5" xfId="3" applyFont="1" applyBorder="1" applyAlignment="1">
      <alignment horizontal="center" wrapText="1"/>
    </xf>
    <xf numFmtId="0" fontId="28" fillId="0" borderId="5" xfId="3" applyFont="1" applyBorder="1"/>
    <xf numFmtId="0" fontId="27" fillId="0" borderId="5" xfId="3" applyFont="1" applyBorder="1" applyAlignment="1">
      <alignment horizontal="left" vertical="center"/>
    </xf>
    <xf numFmtId="0" fontId="27" fillId="0" borderId="11" xfId="3" applyFont="1" applyBorder="1"/>
    <xf numFmtId="164" fontId="27" fillId="0" borderId="11" xfId="3" applyNumberFormat="1" applyFont="1" applyBorder="1" applyAlignment="1">
      <alignment horizontal="center"/>
    </xf>
    <xf numFmtId="164" fontId="27" fillId="0" borderId="14" xfId="0" applyNumberFormat="1" applyFont="1" applyBorder="1" applyAlignment="1">
      <alignment horizontal="center" vertical="center"/>
    </xf>
    <xf numFmtId="164" fontId="27" fillId="0" borderId="11" xfId="3" quotePrefix="1" applyNumberFormat="1" applyFont="1" applyBorder="1" applyAlignment="1">
      <alignment horizontal="center" vertical="center"/>
    </xf>
    <xf numFmtId="164" fontId="28" fillId="0" borderId="11" xfId="3" applyNumberFormat="1" applyFont="1" applyBorder="1" applyAlignment="1">
      <alignment horizontal="center" vertical="center"/>
    </xf>
    <xf numFmtId="0" fontId="27" fillId="0" borderId="11" xfId="3" applyFont="1" applyBorder="1" applyAlignment="1">
      <alignment horizontal="center" vertical="center"/>
    </xf>
    <xf numFmtId="9" fontId="27" fillId="0" borderId="11" xfId="3" applyNumberFormat="1" applyFont="1" applyBorder="1" applyAlignment="1">
      <alignment horizontal="center" vertical="center"/>
    </xf>
    <xf numFmtId="168" fontId="27" fillId="0" borderId="11" xfId="3" applyNumberFormat="1" applyFont="1" applyBorder="1" applyAlignment="1">
      <alignment horizontal="center" vertical="center"/>
    </xf>
    <xf numFmtId="164" fontId="27" fillId="0" borderId="5" xfId="3" applyNumberFormat="1" applyFont="1" applyBorder="1" applyAlignment="1">
      <alignment horizontal="center"/>
    </xf>
    <xf numFmtId="164" fontId="27" fillId="0" borderId="5" xfId="0" applyNumberFormat="1" applyFont="1" applyBorder="1" applyAlignment="1">
      <alignment horizontal="center" vertical="center"/>
    </xf>
    <xf numFmtId="9" fontId="27" fillId="0" borderId="5" xfId="3" applyNumberFormat="1" applyFont="1" applyBorder="1" applyAlignment="1">
      <alignment horizontal="center" vertical="center"/>
    </xf>
    <xf numFmtId="0" fontId="27" fillId="0" borderId="5" xfId="3" applyFont="1" applyBorder="1" applyAlignment="1">
      <alignment horizontal="center"/>
    </xf>
    <xf numFmtId="0" fontId="27" fillId="0" borderId="0" xfId="3" applyFont="1"/>
    <xf numFmtId="164" fontId="27" fillId="0" borderId="5" xfId="3" quotePrefix="1" applyNumberFormat="1" applyFont="1" applyBorder="1" applyAlignment="1">
      <alignment horizontal="center"/>
    </xf>
    <xf numFmtId="164" fontId="27" fillId="0" borderId="11" xfId="3" applyNumberFormat="1" applyFont="1" applyBorder="1" applyAlignment="1">
      <alignment horizontal="center" vertical="center"/>
    </xf>
    <xf numFmtId="164" fontId="27" fillId="0" borderId="11" xfId="3" applyNumberFormat="1" applyFont="1" applyBorder="1" applyAlignment="1">
      <alignment horizontal="left" vertical="center"/>
    </xf>
    <xf numFmtId="167" fontId="27" fillId="0" borderId="11" xfId="3" quotePrefix="1" applyNumberFormat="1" applyFont="1" applyBorder="1" applyAlignment="1">
      <alignment horizontal="center" vertical="center"/>
    </xf>
    <xf numFmtId="166" fontId="27" fillId="0" borderId="5" xfId="3" applyNumberFormat="1" applyFont="1" applyBorder="1" applyAlignment="1">
      <alignment horizontal="center"/>
    </xf>
    <xf numFmtId="168" fontId="27" fillId="0" borderId="5" xfId="3" quotePrefix="1" applyNumberFormat="1" applyFont="1" applyBorder="1" applyAlignment="1">
      <alignment horizontal="center" vertical="center"/>
    </xf>
    <xf numFmtId="0" fontId="27" fillId="0" borderId="5" xfId="3" quotePrefix="1" applyFont="1" applyBorder="1" applyAlignment="1">
      <alignment horizontal="center"/>
    </xf>
    <xf numFmtId="167" fontId="27" fillId="0" borderId="5" xfId="3" applyNumberFormat="1" applyFont="1" applyBorder="1"/>
    <xf numFmtId="164" fontId="27" fillId="0" borderId="5" xfId="0" applyNumberFormat="1" applyFont="1" applyBorder="1" applyAlignment="1">
      <alignment horizontal="center"/>
    </xf>
    <xf numFmtId="0" fontId="27" fillId="0" borderId="19" xfId="3" applyFont="1" applyBorder="1"/>
    <xf numFmtId="0" fontId="29" fillId="0" borderId="0" xfId="3" applyFont="1" applyAlignment="1">
      <alignment vertical="center"/>
    </xf>
    <xf numFmtId="0" fontId="29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33" fillId="0" borderId="0" xfId="3" applyFont="1" applyAlignment="1">
      <alignment horizontal="left" vertical="center"/>
    </xf>
    <xf numFmtId="0" fontId="31" fillId="0" borderId="0" xfId="3" applyFont="1" applyAlignment="1">
      <alignment vertical="center"/>
    </xf>
    <xf numFmtId="164" fontId="32" fillId="0" borderId="0" xfId="3" applyNumberFormat="1" applyFont="1" applyAlignment="1">
      <alignment horizontal="center" vertical="center" wrapText="1"/>
    </xf>
    <xf numFmtId="164" fontId="27" fillId="0" borderId="0" xfId="0" applyNumberFormat="1" applyFont="1" applyAlignment="1">
      <alignment horizontal="center"/>
    </xf>
    <xf numFmtId="0" fontId="26" fillId="0" borderId="5" xfId="3" applyFont="1" applyBorder="1" applyAlignment="1">
      <alignment horizontal="center"/>
    </xf>
    <xf numFmtId="0" fontId="26" fillId="0" borderId="20" xfId="3" applyFont="1" applyBorder="1" applyAlignment="1">
      <alignment horizontal="center" vertical="center"/>
    </xf>
    <xf numFmtId="0" fontId="15" fillId="3" borderId="5" xfId="3" quotePrefix="1" applyFont="1" applyFill="1" applyBorder="1" applyAlignment="1">
      <alignment horizontal="center" wrapText="1"/>
    </xf>
    <xf numFmtId="0" fontId="15" fillId="3" borderId="19" xfId="3" applyFont="1" applyFill="1" applyBorder="1" applyAlignment="1">
      <alignment horizontal="center"/>
    </xf>
    <xf numFmtId="0" fontId="15" fillId="3" borderId="5" xfId="3" applyFont="1" applyFill="1" applyBorder="1" applyAlignment="1">
      <alignment horizontal="center" vertical="center" wrapText="1"/>
    </xf>
    <xf numFmtId="0" fontId="15" fillId="3" borderId="0" xfId="3" applyFont="1" applyFill="1" applyAlignment="1">
      <alignment horizontal="center" vertical="center"/>
    </xf>
    <xf numFmtId="0" fontId="15" fillId="3" borderId="5" xfId="3" applyFont="1" applyFill="1" applyBorder="1" applyAlignment="1">
      <alignment horizontal="left"/>
    </xf>
    <xf numFmtId="0" fontId="18" fillId="3" borderId="0" xfId="3" applyFont="1" applyFill="1" applyAlignment="1">
      <alignment horizontal="center" vertical="center"/>
    </xf>
    <xf numFmtId="0" fontId="40" fillId="3" borderId="0" xfId="3" applyFont="1" applyFill="1" applyAlignment="1">
      <alignment horizontal="left"/>
    </xf>
    <xf numFmtId="0" fontId="40" fillId="3" borderId="0" xfId="3" applyFont="1" applyFill="1" applyAlignment="1">
      <alignment horizontal="left" vertical="center"/>
    </xf>
    <xf numFmtId="0" fontId="15" fillId="3" borderId="0" xfId="3" applyFont="1" applyFill="1" applyAlignment="1">
      <alignment horizontal="left"/>
    </xf>
    <xf numFmtId="0" fontId="19" fillId="3" borderId="5" xfId="3" applyFont="1" applyFill="1" applyBorder="1" applyAlignment="1">
      <alignment horizontal="center" vertical="center"/>
    </xf>
    <xf numFmtId="0" fontId="15" fillId="3" borderId="5" xfId="3" quotePrefix="1" applyFont="1" applyFill="1" applyBorder="1" applyAlignment="1">
      <alignment horizontal="center" vertical="center" wrapText="1"/>
    </xf>
    <xf numFmtId="0" fontId="15" fillId="3" borderId="5" xfId="3" quotePrefix="1" applyFont="1" applyFill="1" applyBorder="1" applyAlignment="1">
      <alignment horizontal="center" vertical="center"/>
    </xf>
    <xf numFmtId="0" fontId="40" fillId="3" borderId="5" xfId="3" applyFont="1" applyFill="1" applyBorder="1" applyAlignment="1">
      <alignment horizontal="center" vertical="center" wrapText="1"/>
    </xf>
    <xf numFmtId="0" fontId="17" fillId="3" borderId="19" xfId="3" applyFont="1" applyFill="1" applyBorder="1" applyAlignment="1">
      <alignment horizontal="center" vertical="center"/>
    </xf>
    <xf numFmtId="0" fontId="0" fillId="3" borderId="0" xfId="0" applyFill="1"/>
    <xf numFmtId="0" fontId="18" fillId="3" borderId="5" xfId="3" applyFont="1" applyFill="1" applyBorder="1" applyAlignment="1">
      <alignment horizontal="center" vertical="center" wrapText="1"/>
    </xf>
    <xf numFmtId="0" fontId="17" fillId="3" borderId="11" xfId="3" applyFont="1" applyFill="1" applyBorder="1" applyAlignment="1">
      <alignment horizontal="center" vertical="center"/>
    </xf>
    <xf numFmtId="0" fontId="17" fillId="3" borderId="9" xfId="3" applyFont="1" applyFill="1" applyBorder="1" applyAlignment="1">
      <alignment horizontal="center" vertical="center"/>
    </xf>
    <xf numFmtId="0" fontId="17" fillId="3" borderId="5" xfId="3" applyFont="1" applyFill="1" applyBorder="1" applyAlignment="1">
      <alignment horizontal="center" vertical="center"/>
    </xf>
    <xf numFmtId="0" fontId="17" fillId="3" borderId="15" xfId="3" applyFont="1" applyFill="1" applyBorder="1" applyAlignment="1">
      <alignment horizontal="center" vertical="center"/>
    </xf>
    <xf numFmtId="0" fontId="17" fillId="3" borderId="17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1" xfId="0" quotePrefix="1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quotePrefix="1" applyFont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17" fillId="3" borderId="16" xfId="3" applyFont="1" applyFill="1" applyBorder="1" applyAlignment="1">
      <alignment horizontal="center" vertical="center"/>
    </xf>
    <xf numFmtId="0" fontId="17" fillId="3" borderId="18" xfId="3" applyFont="1" applyFill="1" applyBorder="1" applyAlignment="1">
      <alignment horizontal="center" vertical="center"/>
    </xf>
    <xf numFmtId="0" fontId="26" fillId="0" borderId="11" xfId="3" applyFont="1" applyBorder="1" applyAlignment="1">
      <alignment horizontal="center" vertical="center"/>
    </xf>
    <xf numFmtId="0" fontId="26" fillId="0" borderId="9" xfId="3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/>
    </xf>
    <xf numFmtId="0" fontId="26" fillId="0" borderId="17" xfId="3" applyFont="1" applyBorder="1" applyAlignment="1">
      <alignment horizontal="center" vertical="center"/>
    </xf>
    <xf numFmtId="0" fontId="26" fillId="0" borderId="22" xfId="3" applyFont="1" applyBorder="1" applyAlignment="1">
      <alignment horizontal="center" vertical="center"/>
    </xf>
    <xf numFmtId="0" fontId="26" fillId="0" borderId="23" xfId="3" applyFont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26" fillId="0" borderId="7" xfId="3" applyFont="1" applyBorder="1" applyAlignment="1">
      <alignment horizontal="center" vertical="center"/>
    </xf>
  </cellXfs>
  <cellStyles count="8">
    <cellStyle name="Excel Built-in Normal" xfId="1" xr:uid="{00000000-0005-0000-0000-000000000000}"/>
    <cellStyle name="Heading" xfId="4" xr:uid="{00000000-0005-0000-0000-000001000000}"/>
    <cellStyle name="Heading1" xfId="5" xr:uid="{00000000-0005-0000-0000-000002000000}"/>
    <cellStyle name="Normal" xfId="0" builtinId="0"/>
    <cellStyle name="Normal 2" xfId="2" xr:uid="{00000000-0005-0000-0000-000004000000}"/>
    <cellStyle name="Normal 3" xfId="3" xr:uid="{00000000-0005-0000-0000-000005000000}"/>
    <cellStyle name="Result" xfId="6" xr:uid="{00000000-0005-0000-0000-000006000000}"/>
    <cellStyle name="Result2" xfId="7" xr:uid="{00000000-0005-0000-0000-000007000000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E28"/>
  <sheetViews>
    <sheetView topLeftCell="A4" zoomScale="90" zoomScaleNormal="90" workbookViewId="0">
      <selection activeCell="E35" sqref="E35"/>
    </sheetView>
  </sheetViews>
  <sheetFormatPr defaultColWidth="9.109375" defaultRowHeight="13.2"/>
  <cols>
    <col min="1" max="1" width="3.6640625" style="1" bestFit="1" customWidth="1"/>
    <col min="2" max="2" width="16" style="1" customWidth="1"/>
    <col min="3" max="5" width="12" style="1" bestFit="1" customWidth="1"/>
    <col min="6" max="16384" width="9.109375" style="1"/>
  </cols>
  <sheetData>
    <row r="2" spans="1:5" ht="13.8" thickBot="1"/>
    <row r="3" spans="1:5">
      <c r="A3" s="152" t="s">
        <v>0</v>
      </c>
      <c r="B3" s="154" t="s">
        <v>1</v>
      </c>
      <c r="C3" s="156" t="s">
        <v>2</v>
      </c>
      <c r="D3" s="156"/>
      <c r="E3" s="157"/>
    </row>
    <row r="4" spans="1:5">
      <c r="A4" s="153"/>
      <c r="B4" s="155"/>
      <c r="C4" s="2" t="s">
        <v>3</v>
      </c>
      <c r="D4" s="2" t="s">
        <v>4</v>
      </c>
      <c r="E4" s="3" t="s">
        <v>5</v>
      </c>
    </row>
    <row r="5" spans="1:5">
      <c r="A5" s="158">
        <v>1</v>
      </c>
      <c r="B5" s="159" t="s">
        <v>6</v>
      </c>
      <c r="C5" s="161" t="s">
        <v>7</v>
      </c>
      <c r="D5" s="161" t="s">
        <v>8</v>
      </c>
      <c r="E5" s="163" t="s">
        <v>7</v>
      </c>
    </row>
    <row r="6" spans="1:5">
      <c r="A6" s="158"/>
      <c r="B6" s="160"/>
      <c r="C6" s="162"/>
      <c r="D6" s="162"/>
      <c r="E6" s="164"/>
    </row>
    <row r="7" spans="1:5">
      <c r="A7" s="158">
        <v>2</v>
      </c>
      <c r="B7" s="165" t="s">
        <v>9</v>
      </c>
      <c r="C7" s="166" t="s">
        <v>10</v>
      </c>
      <c r="D7" s="168" t="s">
        <v>8</v>
      </c>
      <c r="E7" s="170" t="s">
        <v>8</v>
      </c>
    </row>
    <row r="8" spans="1:5">
      <c r="A8" s="158"/>
      <c r="B8" s="160"/>
      <c r="C8" s="162"/>
      <c r="D8" s="169"/>
      <c r="E8" s="171"/>
    </row>
    <row r="9" spans="1:5">
      <c r="A9" s="158">
        <v>3</v>
      </c>
      <c r="B9" s="165" t="s">
        <v>11</v>
      </c>
      <c r="C9" s="166" t="s">
        <v>12</v>
      </c>
      <c r="D9" s="166" t="s">
        <v>13</v>
      </c>
      <c r="E9" s="167" t="s">
        <v>14</v>
      </c>
    </row>
    <row r="10" spans="1:5">
      <c r="A10" s="158"/>
      <c r="B10" s="160"/>
      <c r="C10" s="162"/>
      <c r="D10" s="162"/>
      <c r="E10" s="164"/>
    </row>
    <row r="11" spans="1:5">
      <c r="A11" s="158">
        <v>4</v>
      </c>
      <c r="B11" s="165" t="s">
        <v>15</v>
      </c>
      <c r="C11" s="166" t="s">
        <v>16</v>
      </c>
      <c r="D11" s="166" t="s">
        <v>17</v>
      </c>
      <c r="E11" s="167" t="s">
        <v>18</v>
      </c>
    </row>
    <row r="12" spans="1:5">
      <c r="A12" s="158"/>
      <c r="B12" s="160"/>
      <c r="C12" s="162"/>
      <c r="D12" s="162"/>
      <c r="E12" s="164"/>
    </row>
    <row r="13" spans="1:5">
      <c r="A13" s="158">
        <v>5</v>
      </c>
      <c r="B13" s="165" t="s">
        <v>19</v>
      </c>
      <c r="C13" s="166" t="s">
        <v>16</v>
      </c>
      <c r="D13" s="166" t="s">
        <v>20</v>
      </c>
      <c r="E13" s="167" t="s">
        <v>21</v>
      </c>
    </row>
    <row r="14" spans="1:5">
      <c r="A14" s="158"/>
      <c r="B14" s="160"/>
      <c r="C14" s="162"/>
      <c r="D14" s="162"/>
      <c r="E14" s="164"/>
    </row>
    <row r="15" spans="1:5">
      <c r="A15" s="158">
        <v>6</v>
      </c>
      <c r="B15" s="165" t="s">
        <v>22</v>
      </c>
      <c r="C15" s="166" t="s">
        <v>23</v>
      </c>
      <c r="D15" s="168" t="s">
        <v>8</v>
      </c>
      <c r="E15" s="167" t="s">
        <v>24</v>
      </c>
    </row>
    <row r="16" spans="1:5">
      <c r="A16" s="158"/>
      <c r="B16" s="160"/>
      <c r="C16" s="162"/>
      <c r="D16" s="169"/>
      <c r="E16" s="164"/>
    </row>
    <row r="17" spans="1:5">
      <c r="A17" s="158">
        <v>7</v>
      </c>
      <c r="B17" s="165" t="s">
        <v>25</v>
      </c>
      <c r="C17" s="166" t="s">
        <v>26</v>
      </c>
      <c r="D17" s="166" t="s">
        <v>27</v>
      </c>
      <c r="E17" s="167" t="s">
        <v>28</v>
      </c>
    </row>
    <row r="18" spans="1:5">
      <c r="A18" s="158"/>
      <c r="B18" s="160"/>
      <c r="C18" s="162"/>
      <c r="D18" s="162"/>
      <c r="E18" s="164"/>
    </row>
    <row r="19" spans="1:5">
      <c r="A19" s="158">
        <v>8</v>
      </c>
      <c r="B19" s="165" t="s">
        <v>29</v>
      </c>
      <c r="C19" s="166" t="s">
        <v>30</v>
      </c>
      <c r="D19" s="174" t="s">
        <v>8</v>
      </c>
      <c r="E19" s="167" t="s">
        <v>24</v>
      </c>
    </row>
    <row r="20" spans="1:5">
      <c r="A20" s="158"/>
      <c r="B20" s="160"/>
      <c r="C20" s="162"/>
      <c r="D20" s="175"/>
      <c r="E20" s="164"/>
    </row>
    <row r="21" spans="1:5">
      <c r="A21" s="158">
        <v>9</v>
      </c>
      <c r="B21" s="165" t="s">
        <v>31</v>
      </c>
      <c r="C21" s="166" t="s">
        <v>32</v>
      </c>
      <c r="D21" s="168" t="s">
        <v>8</v>
      </c>
      <c r="E21" s="172" t="s">
        <v>24</v>
      </c>
    </row>
    <row r="22" spans="1:5">
      <c r="A22" s="158"/>
      <c r="B22" s="160"/>
      <c r="C22" s="162"/>
      <c r="D22" s="169"/>
      <c r="E22" s="173"/>
    </row>
    <row r="23" spans="1:5">
      <c r="A23" s="158">
        <v>10</v>
      </c>
      <c r="B23" s="165" t="s">
        <v>33</v>
      </c>
      <c r="C23" s="166" t="s">
        <v>34</v>
      </c>
      <c r="D23" s="166" t="s">
        <v>35</v>
      </c>
      <c r="E23" s="167" t="s">
        <v>36</v>
      </c>
    </row>
    <row r="24" spans="1:5">
      <c r="A24" s="158"/>
      <c r="B24" s="160"/>
      <c r="C24" s="162"/>
      <c r="D24" s="162"/>
      <c r="E24" s="164"/>
    </row>
    <row r="25" spans="1:5">
      <c r="A25" s="158">
        <v>11</v>
      </c>
      <c r="B25" s="176" t="s">
        <v>25</v>
      </c>
      <c r="C25" s="177" t="s">
        <v>26</v>
      </c>
      <c r="D25" s="177" t="s">
        <v>27</v>
      </c>
      <c r="E25" s="178" t="s">
        <v>28</v>
      </c>
    </row>
    <row r="26" spans="1:5">
      <c r="A26" s="158"/>
      <c r="B26" s="176"/>
      <c r="C26" s="177"/>
      <c r="D26" s="177"/>
      <c r="E26" s="178"/>
    </row>
    <row r="27" spans="1:5">
      <c r="A27" s="158">
        <v>12</v>
      </c>
      <c r="B27" s="176" t="s">
        <v>37</v>
      </c>
      <c r="C27" s="177" t="s">
        <v>30</v>
      </c>
      <c r="D27" s="179" t="s">
        <v>8</v>
      </c>
      <c r="E27" s="178" t="s">
        <v>24</v>
      </c>
    </row>
    <row r="28" spans="1:5">
      <c r="A28" s="158"/>
      <c r="B28" s="176"/>
      <c r="C28" s="177"/>
      <c r="D28" s="179"/>
      <c r="E28" s="178"/>
    </row>
  </sheetData>
  <mergeCells count="63">
    <mergeCell ref="A27:A28"/>
    <mergeCell ref="B27:B28"/>
    <mergeCell ref="C27:C28"/>
    <mergeCell ref="D27:D28"/>
    <mergeCell ref="E27:E28"/>
    <mergeCell ref="A23:A24"/>
    <mergeCell ref="B23:B24"/>
    <mergeCell ref="C23:C24"/>
    <mergeCell ref="D23:D24"/>
    <mergeCell ref="E23:E24"/>
    <mergeCell ref="A25:A26"/>
    <mergeCell ref="B25:B26"/>
    <mergeCell ref="C25:C26"/>
    <mergeCell ref="D25:D26"/>
    <mergeCell ref="E25:E26"/>
    <mergeCell ref="A19:A20"/>
    <mergeCell ref="B19:B20"/>
    <mergeCell ref="C19:C20"/>
    <mergeCell ref="D19:D20"/>
    <mergeCell ref="E19:E20"/>
    <mergeCell ref="A21:A22"/>
    <mergeCell ref="B21:B22"/>
    <mergeCell ref="C21:C22"/>
    <mergeCell ref="D21:D22"/>
    <mergeCell ref="E21:E22"/>
    <mergeCell ref="A15:A16"/>
    <mergeCell ref="B15:B16"/>
    <mergeCell ref="C15:C16"/>
    <mergeCell ref="D15:D16"/>
    <mergeCell ref="E15:E16"/>
    <mergeCell ref="A17:A18"/>
    <mergeCell ref="B17:B18"/>
    <mergeCell ref="C17:C18"/>
    <mergeCell ref="D17:D18"/>
    <mergeCell ref="E17:E18"/>
    <mergeCell ref="A11:A12"/>
    <mergeCell ref="B11:B12"/>
    <mergeCell ref="C11:C12"/>
    <mergeCell ref="D11:D12"/>
    <mergeCell ref="E11:E12"/>
    <mergeCell ref="A13:A14"/>
    <mergeCell ref="B13:B14"/>
    <mergeCell ref="C13:C14"/>
    <mergeCell ref="D13:D14"/>
    <mergeCell ref="E13:E14"/>
    <mergeCell ref="A7:A8"/>
    <mergeCell ref="B7:B8"/>
    <mergeCell ref="C7:C8"/>
    <mergeCell ref="D7:D8"/>
    <mergeCell ref="E7:E8"/>
    <mergeCell ref="A9:A10"/>
    <mergeCell ref="B9:B10"/>
    <mergeCell ref="C9:C10"/>
    <mergeCell ref="D9:D10"/>
    <mergeCell ref="E9:E10"/>
    <mergeCell ref="A3:A4"/>
    <mergeCell ref="B3:B4"/>
    <mergeCell ref="C3:E3"/>
    <mergeCell ref="A5:A6"/>
    <mergeCell ref="B5:B6"/>
    <mergeCell ref="C5:C6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Z1048575"/>
  <sheetViews>
    <sheetView topLeftCell="A32" zoomScale="55" zoomScaleNormal="55" workbookViewId="0">
      <selection activeCell="H67" sqref="H67"/>
    </sheetView>
  </sheetViews>
  <sheetFormatPr defaultColWidth="4.6640625" defaultRowHeight="25.8"/>
  <cols>
    <col min="1" max="1" width="26.88671875" style="36" customWidth="1"/>
    <col min="2" max="2" width="10.5546875" style="51" customWidth="1"/>
    <col min="3" max="3" width="24.88671875" style="36" customWidth="1"/>
    <col min="4" max="4" width="59.88671875" style="36" customWidth="1"/>
    <col min="5" max="5" width="17.6640625" style="68" customWidth="1"/>
    <col min="6" max="6" width="13.109375" style="36" customWidth="1"/>
    <col min="7" max="7" width="18.33203125" style="39" customWidth="1"/>
    <col min="8" max="8" width="49.109375" style="36" customWidth="1"/>
    <col min="9" max="9" width="33" style="36" customWidth="1"/>
    <col min="10" max="10" width="40.109375" style="37" bestFit="1" customWidth="1"/>
    <col min="11" max="11" width="34.44140625" style="36" bestFit="1" customWidth="1"/>
    <col min="12" max="13" width="21.33203125" style="38" bestFit="1" customWidth="1"/>
    <col min="14" max="15" width="52.6640625" style="11" customWidth="1"/>
    <col min="16" max="18" width="20.33203125" style="38" customWidth="1"/>
    <col min="19" max="20" width="25.44140625" style="36" customWidth="1"/>
    <col min="21" max="22" width="24.88671875" style="36" customWidth="1"/>
    <col min="23" max="28" width="23.44140625" style="36" customWidth="1"/>
    <col min="29" max="29" width="26.33203125" style="36" customWidth="1"/>
    <col min="30" max="30" width="40.33203125" style="36" customWidth="1"/>
    <col min="31" max="32" width="25.6640625" style="36" customWidth="1"/>
    <col min="33" max="34" width="23.44140625" style="36" customWidth="1"/>
    <col min="35" max="35" width="20.6640625" style="36" customWidth="1"/>
    <col min="36" max="36" width="21.33203125" style="36" customWidth="1"/>
    <col min="37" max="37" width="26.33203125" style="36" customWidth="1"/>
    <col min="38" max="38" width="41.33203125" style="36" customWidth="1"/>
    <col min="39" max="39" width="30.44140625" style="36" customWidth="1"/>
    <col min="40" max="40" width="38" style="36" customWidth="1"/>
    <col min="41" max="41" width="27.33203125" style="36" customWidth="1"/>
    <col min="42" max="42" width="47.33203125" style="36" customWidth="1"/>
    <col min="43" max="44" width="18" style="36" customWidth="1"/>
    <col min="45" max="45" width="22.88671875" style="36" customWidth="1"/>
    <col min="46" max="46" width="23.6640625" style="36" customWidth="1"/>
    <col min="47" max="47" width="22.88671875" style="36" customWidth="1"/>
    <col min="48" max="48" width="24.88671875" style="51" customWidth="1"/>
    <col min="49" max="49" width="57.6640625" style="36" customWidth="1"/>
    <col min="50" max="50" width="60.109375" style="36" customWidth="1"/>
    <col min="51" max="51" width="107.6640625" style="51" bestFit="1" customWidth="1"/>
    <col min="52" max="52" width="19" style="36" customWidth="1"/>
    <col min="53" max="71" width="18.109375" style="36" customWidth="1"/>
    <col min="72" max="16384" width="4.6640625" style="36"/>
  </cols>
  <sheetData>
    <row r="1" spans="1:52" s="4" customFormat="1" ht="46.2">
      <c r="B1" s="48" t="s">
        <v>63</v>
      </c>
      <c r="C1" s="5"/>
      <c r="D1" s="5"/>
      <c r="E1" s="48"/>
      <c r="F1" s="5"/>
      <c r="G1" s="5"/>
      <c r="H1" s="5"/>
      <c r="I1" s="5"/>
      <c r="J1" s="6"/>
      <c r="K1" s="5"/>
      <c r="L1" s="7"/>
      <c r="M1" s="7"/>
      <c r="N1" s="8"/>
      <c r="O1" s="8"/>
      <c r="P1" s="7"/>
      <c r="Q1" s="7"/>
      <c r="R1" s="7"/>
      <c r="AV1" s="70"/>
      <c r="AW1" s="5"/>
      <c r="AX1" s="5"/>
      <c r="AY1" s="70"/>
    </row>
    <row r="2" spans="1:52" s="4" customFormat="1">
      <c r="B2" s="49"/>
      <c r="C2" s="9"/>
      <c r="D2" s="9"/>
      <c r="E2" s="49"/>
      <c r="F2" s="9"/>
      <c r="G2" s="9"/>
      <c r="H2" s="9"/>
      <c r="I2" s="9"/>
      <c r="J2" s="6"/>
      <c r="K2" s="9"/>
      <c r="L2" s="10"/>
      <c r="M2" s="10"/>
      <c r="N2" s="11"/>
      <c r="O2" s="11"/>
      <c r="P2" s="10"/>
      <c r="Q2" s="10"/>
      <c r="R2" s="10"/>
      <c r="AV2" s="70"/>
      <c r="AW2" s="9"/>
      <c r="AX2" s="9"/>
      <c r="AY2" s="70"/>
    </row>
    <row r="3" spans="1:52" s="14" customFormat="1" ht="28.5" customHeight="1">
      <c r="A3" s="147" t="s">
        <v>247</v>
      </c>
      <c r="B3" s="147" t="s">
        <v>38</v>
      </c>
      <c r="C3" s="147" t="s">
        <v>40</v>
      </c>
      <c r="D3" s="150" t="s">
        <v>41</v>
      </c>
      <c r="E3" s="147" t="s">
        <v>89</v>
      </c>
      <c r="F3" s="147" t="s">
        <v>72</v>
      </c>
      <c r="G3" s="147" t="s">
        <v>42</v>
      </c>
      <c r="H3" s="147" t="s">
        <v>39</v>
      </c>
      <c r="I3" s="147" t="s">
        <v>73</v>
      </c>
      <c r="J3" s="147" t="s">
        <v>64</v>
      </c>
      <c r="K3" s="147" t="s">
        <v>65</v>
      </c>
      <c r="L3" s="12" t="s">
        <v>77</v>
      </c>
      <c r="M3" s="12" t="s">
        <v>78</v>
      </c>
      <c r="N3" s="13" t="s">
        <v>48</v>
      </c>
      <c r="O3" s="13" t="s">
        <v>48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70</v>
      </c>
      <c r="U3" s="12" t="s">
        <v>80</v>
      </c>
      <c r="V3" s="12" t="s">
        <v>80</v>
      </c>
      <c r="W3" s="12" t="s">
        <v>81</v>
      </c>
      <c r="X3" s="12" t="s">
        <v>81</v>
      </c>
      <c r="Y3" s="12" t="s">
        <v>82</v>
      </c>
      <c r="Z3" s="12" t="s">
        <v>82</v>
      </c>
      <c r="AA3" s="12" t="s">
        <v>84</v>
      </c>
      <c r="AB3" s="12" t="s">
        <v>84</v>
      </c>
      <c r="AC3" s="12" t="s">
        <v>83</v>
      </c>
      <c r="AD3" s="12" t="s">
        <v>83</v>
      </c>
      <c r="AE3" s="12" t="s">
        <v>74</v>
      </c>
      <c r="AF3" s="12" t="s">
        <v>74</v>
      </c>
      <c r="AG3" s="12" t="s">
        <v>85</v>
      </c>
      <c r="AH3" s="12" t="s">
        <v>85</v>
      </c>
      <c r="AI3" s="147" t="s">
        <v>92</v>
      </c>
      <c r="AJ3" s="147" t="s">
        <v>53</v>
      </c>
      <c r="AK3" s="147" t="s">
        <v>90</v>
      </c>
      <c r="AL3" s="147" t="s">
        <v>71</v>
      </c>
      <c r="AM3" s="147" t="s">
        <v>54</v>
      </c>
      <c r="AN3" s="147" t="s">
        <v>88</v>
      </c>
      <c r="AO3" s="147" t="s">
        <v>91</v>
      </c>
      <c r="AP3" s="147" t="s">
        <v>95</v>
      </c>
      <c r="AQ3" s="147" t="s">
        <v>56</v>
      </c>
      <c r="AR3" s="147" t="s">
        <v>57</v>
      </c>
      <c r="AS3" s="147" t="s">
        <v>58</v>
      </c>
      <c r="AT3" s="147" t="s">
        <v>59</v>
      </c>
      <c r="AU3" s="147" t="s">
        <v>60</v>
      </c>
      <c r="AV3" s="147" t="s">
        <v>61</v>
      </c>
      <c r="AW3" s="150" t="s">
        <v>41</v>
      </c>
      <c r="AX3" s="180"/>
      <c r="AY3" s="76"/>
    </row>
    <row r="4" spans="1:52" s="14" customFormat="1" ht="28.5" customHeight="1">
      <c r="A4" s="148"/>
      <c r="B4" s="148"/>
      <c r="C4" s="148"/>
      <c r="D4" s="151"/>
      <c r="E4" s="148"/>
      <c r="F4" s="148"/>
      <c r="G4" s="148"/>
      <c r="H4" s="148"/>
      <c r="I4" s="148"/>
      <c r="J4" s="148"/>
      <c r="K4" s="148"/>
      <c r="L4" s="12" t="s">
        <v>44</v>
      </c>
      <c r="M4" s="12" t="s">
        <v>66</v>
      </c>
      <c r="N4" s="15" t="s">
        <v>49</v>
      </c>
      <c r="O4" s="15" t="s">
        <v>45</v>
      </c>
      <c r="P4" s="12" t="s">
        <v>55</v>
      </c>
      <c r="Q4" s="12" t="s">
        <v>55</v>
      </c>
      <c r="R4" s="12" t="s">
        <v>55</v>
      </c>
      <c r="S4" s="12" t="s">
        <v>51</v>
      </c>
      <c r="T4" s="12" t="s">
        <v>52</v>
      </c>
      <c r="U4" s="12" t="s">
        <v>51</v>
      </c>
      <c r="V4" s="12" t="s">
        <v>52</v>
      </c>
      <c r="W4" s="12" t="s">
        <v>51</v>
      </c>
      <c r="X4" s="12" t="s">
        <v>52</v>
      </c>
      <c r="Y4" s="12" t="s">
        <v>51</v>
      </c>
      <c r="Z4" s="12" t="s">
        <v>52</v>
      </c>
      <c r="AA4" s="12" t="s">
        <v>51</v>
      </c>
      <c r="AB4" s="12" t="s">
        <v>52</v>
      </c>
      <c r="AC4" s="12" t="s">
        <v>51</v>
      </c>
      <c r="AD4" s="12" t="s">
        <v>52</v>
      </c>
      <c r="AE4" s="12" t="s">
        <v>51</v>
      </c>
      <c r="AF4" s="12" t="s">
        <v>52</v>
      </c>
      <c r="AG4" s="12" t="s">
        <v>51</v>
      </c>
      <c r="AH4" s="12" t="s">
        <v>52</v>
      </c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51"/>
      <c r="AX4" s="181"/>
      <c r="AY4" s="76"/>
    </row>
    <row r="5" spans="1:52" s="14" customFormat="1" ht="34.799999999999997">
      <c r="A5" s="16"/>
      <c r="B5" s="64"/>
      <c r="C5" s="64"/>
      <c r="D5" s="65" t="s">
        <v>372</v>
      </c>
      <c r="E5" s="64"/>
      <c r="F5" s="64"/>
      <c r="G5" s="64"/>
      <c r="H5" s="12"/>
      <c r="I5" s="64"/>
      <c r="J5" s="64" t="s">
        <v>76</v>
      </c>
      <c r="K5" s="64" t="s">
        <v>75</v>
      </c>
      <c r="L5" s="64" t="s">
        <v>79</v>
      </c>
      <c r="M5" s="12" t="s">
        <v>79</v>
      </c>
      <c r="N5" s="15"/>
      <c r="O5" s="15"/>
      <c r="P5" s="12" t="s">
        <v>43</v>
      </c>
      <c r="Q5" s="12" t="s">
        <v>43</v>
      </c>
      <c r="R5" s="12" t="s">
        <v>43</v>
      </c>
      <c r="S5" s="12" t="s">
        <v>50</v>
      </c>
      <c r="T5" s="12" t="s">
        <v>50</v>
      </c>
      <c r="U5" s="12" t="s">
        <v>294</v>
      </c>
      <c r="V5" s="12" t="s">
        <v>294</v>
      </c>
      <c r="W5" s="12" t="s">
        <v>294</v>
      </c>
      <c r="X5" s="12" t="s">
        <v>294</v>
      </c>
      <c r="Y5" s="12" t="s">
        <v>294</v>
      </c>
      <c r="Z5" s="12" t="s">
        <v>294</v>
      </c>
      <c r="AA5" s="12" t="s">
        <v>294</v>
      </c>
      <c r="AB5" s="12" t="s">
        <v>294</v>
      </c>
      <c r="AC5" s="12" t="s">
        <v>294</v>
      </c>
      <c r="AD5" s="12" t="s">
        <v>294</v>
      </c>
      <c r="AE5" s="12" t="s">
        <v>46</v>
      </c>
      <c r="AF5" s="12" t="s">
        <v>46</v>
      </c>
      <c r="AG5" s="12" t="s">
        <v>47</v>
      </c>
      <c r="AH5" s="12" t="s">
        <v>47</v>
      </c>
      <c r="AI5" s="12" t="s">
        <v>93</v>
      </c>
      <c r="AJ5" s="12" t="s">
        <v>50</v>
      </c>
      <c r="AK5" s="12"/>
      <c r="AL5" s="12"/>
      <c r="AM5" s="12"/>
      <c r="AN5" s="12" t="s">
        <v>294</v>
      </c>
      <c r="AO5" s="12" t="s">
        <v>94</v>
      </c>
      <c r="AP5" s="12" t="s">
        <v>94</v>
      </c>
      <c r="AQ5" s="12" t="s">
        <v>50</v>
      </c>
      <c r="AR5" s="12" t="s">
        <v>50</v>
      </c>
      <c r="AS5" s="12" t="s">
        <v>50</v>
      </c>
      <c r="AT5" s="12" t="s">
        <v>50</v>
      </c>
      <c r="AU5" s="12" t="s">
        <v>50</v>
      </c>
      <c r="AV5" s="12" t="s">
        <v>50</v>
      </c>
      <c r="AW5" s="43" t="s">
        <v>373</v>
      </c>
      <c r="AX5" s="44" t="s">
        <v>374</v>
      </c>
      <c r="AY5" s="77" t="s">
        <v>424</v>
      </c>
    </row>
    <row r="6" spans="1:52" s="19" customFormat="1">
      <c r="A6" s="17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8">
        <v>13</v>
      </c>
      <c r="N6" s="18">
        <v>14</v>
      </c>
      <c r="O6" s="18">
        <v>15</v>
      </c>
      <c r="P6" s="18">
        <v>16</v>
      </c>
      <c r="Q6" s="18">
        <v>17</v>
      </c>
      <c r="R6" s="18">
        <v>18</v>
      </c>
      <c r="S6" s="18">
        <v>19</v>
      </c>
      <c r="T6" s="18">
        <v>20</v>
      </c>
      <c r="U6" s="18">
        <v>21</v>
      </c>
      <c r="V6" s="18">
        <v>22</v>
      </c>
      <c r="W6" s="18">
        <v>23</v>
      </c>
      <c r="X6" s="18">
        <v>24</v>
      </c>
      <c r="Y6" s="18">
        <v>25</v>
      </c>
      <c r="Z6" s="18">
        <v>26</v>
      </c>
      <c r="AA6" s="18">
        <v>27</v>
      </c>
      <c r="AB6" s="18">
        <v>28</v>
      </c>
      <c r="AC6" s="18">
        <v>29</v>
      </c>
      <c r="AD6" s="18">
        <v>30</v>
      </c>
      <c r="AE6" s="18">
        <v>31</v>
      </c>
      <c r="AF6" s="18">
        <v>32</v>
      </c>
      <c r="AG6" s="18">
        <v>33</v>
      </c>
      <c r="AH6" s="18">
        <v>34</v>
      </c>
      <c r="AI6" s="18">
        <v>35</v>
      </c>
      <c r="AJ6" s="18">
        <v>36</v>
      </c>
      <c r="AK6" s="18">
        <v>37</v>
      </c>
      <c r="AL6" s="18">
        <v>38</v>
      </c>
      <c r="AM6" s="18">
        <v>39</v>
      </c>
      <c r="AN6" s="18">
        <v>40</v>
      </c>
      <c r="AO6" s="18">
        <v>41</v>
      </c>
      <c r="AP6" s="18">
        <v>42</v>
      </c>
      <c r="AQ6" s="18">
        <v>43</v>
      </c>
      <c r="AR6" s="18">
        <v>44</v>
      </c>
      <c r="AS6" s="18">
        <v>45</v>
      </c>
      <c r="AT6" s="18">
        <v>46</v>
      </c>
      <c r="AU6" s="18">
        <v>47</v>
      </c>
      <c r="AV6" s="18">
        <v>48</v>
      </c>
      <c r="AW6" s="18">
        <v>49</v>
      </c>
      <c r="AX6" s="74">
        <v>50</v>
      </c>
      <c r="AY6" s="77">
        <v>51</v>
      </c>
      <c r="AZ6" s="136" t="s">
        <v>697</v>
      </c>
    </row>
    <row r="7" spans="1:52" s="45" customFormat="1" ht="32.25" customHeight="1">
      <c r="A7" s="20" t="str">
        <f t="shared" ref="A7:A55" si="0">CONCATENATE(B7,"-",E7)</f>
        <v>1-0</v>
      </c>
      <c r="B7" s="21">
        <v>1</v>
      </c>
      <c r="C7" s="22" t="s">
        <v>96</v>
      </c>
      <c r="D7" s="21" t="s">
        <v>434</v>
      </c>
      <c r="E7" s="23">
        <v>0</v>
      </c>
      <c r="F7" s="24" t="s">
        <v>123</v>
      </c>
      <c r="G7" s="25" t="s">
        <v>293</v>
      </c>
      <c r="H7" s="24" t="str">
        <f t="shared" ref="H7:H55" si="1">CONCATENATE(I7,"; ",J7,"; ",K7," ")</f>
        <v xml:space="preserve">Hose, Breather; Ø 3.5 mm × 7.5 mm; TSM1649G-1 </v>
      </c>
      <c r="I7" s="24" t="s">
        <v>124</v>
      </c>
      <c r="J7" s="24" t="s">
        <v>125</v>
      </c>
      <c r="K7" s="24" t="s">
        <v>31</v>
      </c>
      <c r="L7" s="22" t="s">
        <v>126</v>
      </c>
      <c r="M7" s="22" t="s">
        <v>127</v>
      </c>
      <c r="N7" s="26" t="s">
        <v>101</v>
      </c>
      <c r="O7" s="26" t="s">
        <v>101</v>
      </c>
      <c r="P7" s="27" t="s">
        <v>128</v>
      </c>
      <c r="Q7" s="28" t="s">
        <v>129</v>
      </c>
      <c r="R7" s="28" t="s">
        <v>143</v>
      </c>
      <c r="S7" s="21" t="s">
        <v>137</v>
      </c>
      <c r="T7" s="21" t="s">
        <v>137</v>
      </c>
      <c r="U7" s="28" t="s">
        <v>144</v>
      </c>
      <c r="V7" s="28" t="s">
        <v>104</v>
      </c>
      <c r="W7" s="28" t="s">
        <v>145</v>
      </c>
      <c r="X7" s="28" t="s">
        <v>118</v>
      </c>
      <c r="Y7" s="28" t="s">
        <v>145</v>
      </c>
      <c r="Z7" s="28" t="s">
        <v>118</v>
      </c>
      <c r="AA7" s="21" t="s">
        <v>8</v>
      </c>
      <c r="AB7" s="21" t="s">
        <v>8</v>
      </c>
      <c r="AC7" s="28" t="s">
        <v>145</v>
      </c>
      <c r="AD7" s="28" t="s">
        <v>118</v>
      </c>
      <c r="AE7" s="21" t="s">
        <v>248</v>
      </c>
      <c r="AF7" s="21" t="s">
        <v>260</v>
      </c>
      <c r="AG7" s="21" t="s">
        <v>262</v>
      </c>
      <c r="AH7" s="21" t="s">
        <v>275</v>
      </c>
      <c r="AI7" s="21"/>
      <c r="AJ7" s="28" t="s">
        <v>130</v>
      </c>
      <c r="AK7" s="21" t="s">
        <v>106</v>
      </c>
      <c r="AL7" s="21" t="s">
        <v>407</v>
      </c>
      <c r="AM7" s="21" t="s">
        <v>131</v>
      </c>
      <c r="AN7" s="21" t="s">
        <v>378</v>
      </c>
      <c r="AO7" s="29" t="s">
        <v>285</v>
      </c>
      <c r="AP7" s="29" t="s">
        <v>285</v>
      </c>
      <c r="AQ7" s="28" t="s">
        <v>110</v>
      </c>
      <c r="AR7" s="28" t="s">
        <v>130</v>
      </c>
      <c r="AS7" s="28" t="s">
        <v>132</v>
      </c>
      <c r="AT7" s="28" t="s">
        <v>290</v>
      </c>
      <c r="AU7" s="28" t="s">
        <v>133</v>
      </c>
      <c r="AV7" s="28" t="s">
        <v>291</v>
      </c>
      <c r="AW7" s="75" t="s">
        <v>471</v>
      </c>
      <c r="AX7" s="21"/>
      <c r="AY7" s="78" t="s">
        <v>707</v>
      </c>
      <c r="AZ7" s="137" t="s">
        <v>698</v>
      </c>
    </row>
    <row r="8" spans="1:52" s="30" customFormat="1">
      <c r="A8" s="20" t="str">
        <f t="shared" si="0"/>
        <v>2-0</v>
      </c>
      <c r="B8" s="21">
        <v>2</v>
      </c>
      <c r="C8" s="22" t="s">
        <v>96</v>
      </c>
      <c r="D8" s="21" t="s">
        <v>435</v>
      </c>
      <c r="E8" s="23">
        <v>0</v>
      </c>
      <c r="F8" s="24" t="s">
        <v>123</v>
      </c>
      <c r="G8" s="25" t="s">
        <v>293</v>
      </c>
      <c r="H8" s="24" t="str">
        <f t="shared" si="1"/>
        <v xml:space="preserve">Hose, Breather; Ø 3.5 mm × 7.5 mm; TSM1649G-1 </v>
      </c>
      <c r="I8" s="24" t="s">
        <v>124</v>
      </c>
      <c r="J8" s="24" t="s">
        <v>125</v>
      </c>
      <c r="K8" s="24" t="s">
        <v>31</v>
      </c>
      <c r="L8" s="22" t="s">
        <v>126</v>
      </c>
      <c r="M8" s="22" t="s">
        <v>127</v>
      </c>
      <c r="N8" s="26" t="s">
        <v>101</v>
      </c>
      <c r="O8" s="26" t="s">
        <v>101</v>
      </c>
      <c r="P8" s="27" t="s">
        <v>128</v>
      </c>
      <c r="Q8" s="28" t="s">
        <v>129</v>
      </c>
      <c r="R8" s="28" t="s">
        <v>143</v>
      </c>
      <c r="S8" s="21" t="s">
        <v>137</v>
      </c>
      <c r="T8" s="21" t="s">
        <v>137</v>
      </c>
      <c r="U8" s="28" t="s">
        <v>104</v>
      </c>
      <c r="V8" s="28" t="s">
        <v>104</v>
      </c>
      <c r="W8" s="28" t="s">
        <v>118</v>
      </c>
      <c r="X8" s="28" t="s">
        <v>118</v>
      </c>
      <c r="Y8" s="28" t="s">
        <v>118</v>
      </c>
      <c r="Z8" s="28" t="s">
        <v>118</v>
      </c>
      <c r="AA8" s="21" t="s">
        <v>8</v>
      </c>
      <c r="AB8" s="21" t="s">
        <v>8</v>
      </c>
      <c r="AC8" s="28" t="s">
        <v>118</v>
      </c>
      <c r="AD8" s="28" t="s">
        <v>118</v>
      </c>
      <c r="AE8" s="21" t="s">
        <v>248</v>
      </c>
      <c r="AF8" s="21" t="s">
        <v>260</v>
      </c>
      <c r="AG8" s="21" t="s">
        <v>262</v>
      </c>
      <c r="AH8" s="21" t="s">
        <v>275</v>
      </c>
      <c r="AI8" s="21"/>
      <c r="AJ8" s="28" t="s">
        <v>130</v>
      </c>
      <c r="AK8" s="21" t="s">
        <v>106</v>
      </c>
      <c r="AL8" s="21" t="s">
        <v>407</v>
      </c>
      <c r="AM8" s="21" t="s">
        <v>131</v>
      </c>
      <c r="AN8" s="21" t="s">
        <v>378</v>
      </c>
      <c r="AO8" s="29" t="s">
        <v>285</v>
      </c>
      <c r="AP8" s="29" t="s">
        <v>285</v>
      </c>
      <c r="AQ8" s="28" t="s">
        <v>110</v>
      </c>
      <c r="AR8" s="28" t="s">
        <v>130</v>
      </c>
      <c r="AS8" s="28" t="s">
        <v>132</v>
      </c>
      <c r="AT8" s="28" t="s">
        <v>290</v>
      </c>
      <c r="AU8" s="28" t="s">
        <v>133</v>
      </c>
      <c r="AV8" s="28" t="s">
        <v>291</v>
      </c>
      <c r="AW8" s="75" t="s">
        <v>472</v>
      </c>
      <c r="AX8" s="21"/>
      <c r="AY8" s="78" t="s">
        <v>707</v>
      </c>
      <c r="AZ8" s="137" t="s">
        <v>698</v>
      </c>
    </row>
    <row r="9" spans="1:52" s="45" customFormat="1">
      <c r="A9" s="20" t="str">
        <f t="shared" si="0"/>
        <v>3-0</v>
      </c>
      <c r="B9" s="21">
        <v>3</v>
      </c>
      <c r="C9" s="22" t="s">
        <v>96</v>
      </c>
      <c r="D9" s="21" t="s">
        <v>436</v>
      </c>
      <c r="E9" s="23">
        <v>0</v>
      </c>
      <c r="F9" s="24" t="s">
        <v>123</v>
      </c>
      <c r="G9" s="25" t="s">
        <v>293</v>
      </c>
      <c r="H9" s="24" t="str">
        <f t="shared" si="1"/>
        <v xml:space="preserve">Hose, Breather; Ø 3.5 mm × 7.5 mm; TSM1649G-1 </v>
      </c>
      <c r="I9" s="24" t="s">
        <v>124</v>
      </c>
      <c r="J9" s="24" t="s">
        <v>125</v>
      </c>
      <c r="K9" s="24" t="s">
        <v>31</v>
      </c>
      <c r="L9" s="22" t="s">
        <v>126</v>
      </c>
      <c r="M9" s="22" t="s">
        <v>127</v>
      </c>
      <c r="N9" s="26" t="s">
        <v>101</v>
      </c>
      <c r="O9" s="26" t="s">
        <v>101</v>
      </c>
      <c r="P9" s="27" t="s">
        <v>128</v>
      </c>
      <c r="Q9" s="28" t="s">
        <v>129</v>
      </c>
      <c r="R9" s="28" t="s">
        <v>143</v>
      </c>
      <c r="S9" s="21" t="s">
        <v>137</v>
      </c>
      <c r="T9" s="21" t="s">
        <v>137</v>
      </c>
      <c r="U9" s="28" t="s">
        <v>104</v>
      </c>
      <c r="V9" s="28" t="s">
        <v>104</v>
      </c>
      <c r="W9" s="28" t="s">
        <v>118</v>
      </c>
      <c r="X9" s="28" t="s">
        <v>118</v>
      </c>
      <c r="Y9" s="28" t="s">
        <v>118</v>
      </c>
      <c r="Z9" s="28" t="s">
        <v>118</v>
      </c>
      <c r="AA9" s="21" t="s">
        <v>8</v>
      </c>
      <c r="AB9" s="21" t="s">
        <v>8</v>
      </c>
      <c r="AC9" s="28" t="s">
        <v>118</v>
      </c>
      <c r="AD9" s="28" t="s">
        <v>118</v>
      </c>
      <c r="AE9" s="21" t="s">
        <v>248</v>
      </c>
      <c r="AF9" s="21" t="s">
        <v>260</v>
      </c>
      <c r="AG9" s="21" t="s">
        <v>262</v>
      </c>
      <c r="AH9" s="21" t="s">
        <v>275</v>
      </c>
      <c r="AI9" s="21"/>
      <c r="AJ9" s="28" t="s">
        <v>130</v>
      </c>
      <c r="AK9" s="21" t="s">
        <v>106</v>
      </c>
      <c r="AL9" s="21" t="s">
        <v>407</v>
      </c>
      <c r="AM9" s="21" t="s">
        <v>131</v>
      </c>
      <c r="AN9" s="21" t="s">
        <v>378</v>
      </c>
      <c r="AO9" s="29" t="s">
        <v>285</v>
      </c>
      <c r="AP9" s="29" t="s">
        <v>285</v>
      </c>
      <c r="AQ9" s="28" t="s">
        <v>110</v>
      </c>
      <c r="AR9" s="28" t="s">
        <v>130</v>
      </c>
      <c r="AS9" s="28" t="s">
        <v>132</v>
      </c>
      <c r="AT9" s="28" t="s">
        <v>290</v>
      </c>
      <c r="AU9" s="28" t="s">
        <v>133</v>
      </c>
      <c r="AV9" s="28" t="s">
        <v>291</v>
      </c>
      <c r="AW9" s="75" t="s">
        <v>473</v>
      </c>
      <c r="AX9" s="21"/>
      <c r="AY9" s="78" t="s">
        <v>707</v>
      </c>
      <c r="AZ9" s="137" t="s">
        <v>698</v>
      </c>
    </row>
    <row r="10" spans="1:52" s="30" customFormat="1">
      <c r="A10" s="20" t="str">
        <f t="shared" si="0"/>
        <v>4-0</v>
      </c>
      <c r="B10" s="21">
        <v>4</v>
      </c>
      <c r="C10" s="22" t="s">
        <v>111</v>
      </c>
      <c r="D10" s="21" t="s">
        <v>437</v>
      </c>
      <c r="E10" s="23">
        <v>0</v>
      </c>
      <c r="F10" s="24" t="s">
        <v>123</v>
      </c>
      <c r="G10" s="25" t="s">
        <v>293</v>
      </c>
      <c r="H10" s="24" t="str">
        <f t="shared" si="1"/>
        <v xml:space="preserve">Hose, Breather; Ø 3.5 mm × 7.5 mm; TSM1656G-2 </v>
      </c>
      <c r="I10" s="24" t="s">
        <v>124</v>
      </c>
      <c r="J10" s="24" t="s">
        <v>125</v>
      </c>
      <c r="K10" s="24" t="s">
        <v>9</v>
      </c>
      <c r="L10" s="22" t="s">
        <v>142</v>
      </c>
      <c r="M10" s="22" t="s">
        <v>8</v>
      </c>
      <c r="N10" s="26" t="s">
        <v>101</v>
      </c>
      <c r="O10" s="26" t="s">
        <v>8</v>
      </c>
      <c r="P10" s="27" t="s">
        <v>128</v>
      </c>
      <c r="Q10" s="22" t="s">
        <v>8</v>
      </c>
      <c r="R10" s="28" t="s">
        <v>143</v>
      </c>
      <c r="S10" s="21" t="s">
        <v>137</v>
      </c>
      <c r="T10" s="21" t="s">
        <v>8</v>
      </c>
      <c r="U10" s="28" t="s">
        <v>144</v>
      </c>
      <c r="V10" s="21" t="s">
        <v>8</v>
      </c>
      <c r="W10" s="28" t="s">
        <v>145</v>
      </c>
      <c r="X10" s="21" t="s">
        <v>8</v>
      </c>
      <c r="Y10" s="28" t="s">
        <v>145</v>
      </c>
      <c r="Z10" s="21" t="s">
        <v>8</v>
      </c>
      <c r="AA10" s="21" t="s">
        <v>8</v>
      </c>
      <c r="AB10" s="21" t="s">
        <v>8</v>
      </c>
      <c r="AC10" s="28" t="s">
        <v>145</v>
      </c>
      <c r="AD10" s="21" t="s">
        <v>8</v>
      </c>
      <c r="AE10" s="21" t="s">
        <v>248</v>
      </c>
      <c r="AF10" s="21" t="s">
        <v>8</v>
      </c>
      <c r="AG10" s="21" t="s">
        <v>262</v>
      </c>
      <c r="AH10" s="21" t="s">
        <v>8</v>
      </c>
      <c r="AI10" s="21"/>
      <c r="AJ10" s="28" t="s">
        <v>130</v>
      </c>
      <c r="AK10" s="21" t="s">
        <v>8</v>
      </c>
      <c r="AL10" s="21" t="s">
        <v>8</v>
      </c>
      <c r="AM10" s="21" t="s">
        <v>8</v>
      </c>
      <c r="AN10" s="21" t="s">
        <v>378</v>
      </c>
      <c r="AO10" s="29" t="s">
        <v>285</v>
      </c>
      <c r="AP10" s="29" t="s">
        <v>285</v>
      </c>
      <c r="AQ10" s="28" t="s">
        <v>110</v>
      </c>
      <c r="AR10" s="28" t="s">
        <v>130</v>
      </c>
      <c r="AS10" s="21" t="s">
        <v>8</v>
      </c>
      <c r="AT10" s="21" t="s">
        <v>8</v>
      </c>
      <c r="AU10" s="28" t="s">
        <v>133</v>
      </c>
      <c r="AV10" s="28" t="s">
        <v>291</v>
      </c>
      <c r="AW10" s="75" t="s">
        <v>474</v>
      </c>
      <c r="AX10" s="21"/>
      <c r="AY10" s="78" t="s">
        <v>708</v>
      </c>
      <c r="AZ10" s="137" t="s">
        <v>698</v>
      </c>
    </row>
    <row r="11" spans="1:52" s="30" customFormat="1">
      <c r="A11" s="20" t="str">
        <f t="shared" si="0"/>
        <v>5-0</v>
      </c>
      <c r="B11" s="21">
        <v>5</v>
      </c>
      <c r="C11" s="22" t="s">
        <v>96</v>
      </c>
      <c r="D11" s="21" t="s">
        <v>438</v>
      </c>
      <c r="E11" s="23">
        <v>0</v>
      </c>
      <c r="F11" s="24" t="s">
        <v>164</v>
      </c>
      <c r="G11" s="25" t="s">
        <v>293</v>
      </c>
      <c r="H11" s="24" t="str">
        <f t="shared" si="1"/>
        <v xml:space="preserve">Hose, Vacuum; Ø 3.5 mm × 7.5 mm; - </v>
      </c>
      <c r="I11" s="24" t="s">
        <v>165</v>
      </c>
      <c r="J11" s="24" t="s">
        <v>125</v>
      </c>
      <c r="K11" s="22" t="s">
        <v>8</v>
      </c>
      <c r="L11" s="22" t="s">
        <v>166</v>
      </c>
      <c r="M11" s="22" t="s">
        <v>100</v>
      </c>
      <c r="N11" s="26" t="s">
        <v>101</v>
      </c>
      <c r="O11" s="26" t="s">
        <v>101</v>
      </c>
      <c r="P11" s="27" t="s">
        <v>128</v>
      </c>
      <c r="Q11" s="28" t="s">
        <v>129</v>
      </c>
      <c r="R11" s="28" t="s">
        <v>167</v>
      </c>
      <c r="S11" s="21" t="s">
        <v>137</v>
      </c>
      <c r="T11" s="21" t="s">
        <v>137</v>
      </c>
      <c r="U11" s="28" t="s">
        <v>103</v>
      </c>
      <c r="V11" s="28" t="s">
        <v>103</v>
      </c>
      <c r="W11" s="28" t="s">
        <v>104</v>
      </c>
      <c r="X11" s="28" t="s">
        <v>118</v>
      </c>
      <c r="Y11" s="28" t="s">
        <v>168</v>
      </c>
      <c r="Z11" s="28" t="s">
        <v>118</v>
      </c>
      <c r="AA11" s="28" t="s">
        <v>104</v>
      </c>
      <c r="AB11" s="21" t="s">
        <v>8</v>
      </c>
      <c r="AC11" s="28" t="s">
        <v>104</v>
      </c>
      <c r="AD11" s="28" t="s">
        <v>118</v>
      </c>
      <c r="AE11" s="21" t="s">
        <v>408</v>
      </c>
      <c r="AF11" s="21" t="s">
        <v>278</v>
      </c>
      <c r="AG11" s="21" t="s">
        <v>263</v>
      </c>
      <c r="AH11" s="21" t="s">
        <v>281</v>
      </c>
      <c r="AI11" s="21"/>
      <c r="AJ11" s="28" t="s">
        <v>130</v>
      </c>
      <c r="AK11" s="21" t="s">
        <v>106</v>
      </c>
      <c r="AL11" s="21" t="s">
        <v>409</v>
      </c>
      <c r="AM11" s="21" t="s">
        <v>131</v>
      </c>
      <c r="AN11" s="21" t="s">
        <v>378</v>
      </c>
      <c r="AO11" s="29" t="s">
        <v>285</v>
      </c>
      <c r="AP11" s="29" t="s">
        <v>285</v>
      </c>
      <c r="AQ11" s="28" t="s">
        <v>110</v>
      </c>
      <c r="AR11" s="28" t="s">
        <v>130</v>
      </c>
      <c r="AS11" s="28" t="s">
        <v>169</v>
      </c>
      <c r="AT11" s="28" t="s">
        <v>290</v>
      </c>
      <c r="AU11" s="28" t="s">
        <v>133</v>
      </c>
      <c r="AV11" s="28" t="s">
        <v>291</v>
      </c>
      <c r="AW11" s="75" t="s">
        <v>475</v>
      </c>
      <c r="AX11" s="21"/>
      <c r="AY11" s="78"/>
      <c r="AZ11" s="137" t="s">
        <v>698</v>
      </c>
    </row>
    <row r="12" spans="1:52" s="30" customFormat="1">
      <c r="A12" s="20" t="str">
        <f t="shared" si="0"/>
        <v>6-0</v>
      </c>
      <c r="B12" s="21">
        <v>6</v>
      </c>
      <c r="C12" s="22" t="s">
        <v>96</v>
      </c>
      <c r="D12" s="21" t="s">
        <v>439</v>
      </c>
      <c r="E12" s="23">
        <v>0</v>
      </c>
      <c r="F12" s="24" t="s">
        <v>123</v>
      </c>
      <c r="G12" s="25" t="s">
        <v>293</v>
      </c>
      <c r="H12" s="24" t="str">
        <f t="shared" si="1"/>
        <v xml:space="preserve">Hose, Fuel; Ø 5.4 mm × 10.4 mm; TSM1651G-2 </v>
      </c>
      <c r="I12" s="24" t="s">
        <v>86</v>
      </c>
      <c r="J12" s="24" t="s">
        <v>159</v>
      </c>
      <c r="K12" s="31" t="s">
        <v>22</v>
      </c>
      <c r="L12" s="22" t="s">
        <v>146</v>
      </c>
      <c r="M12" s="22" t="s">
        <v>127</v>
      </c>
      <c r="N12" s="26" t="s">
        <v>101</v>
      </c>
      <c r="O12" s="26" t="s">
        <v>101</v>
      </c>
      <c r="P12" s="27" t="s">
        <v>160</v>
      </c>
      <c r="Q12" s="22" t="s">
        <v>381</v>
      </c>
      <c r="R12" s="28" t="s">
        <v>161</v>
      </c>
      <c r="S12" s="21" t="s">
        <v>137</v>
      </c>
      <c r="T12" s="21" t="s">
        <v>137</v>
      </c>
      <c r="U12" s="28" t="s">
        <v>104</v>
      </c>
      <c r="V12" s="28" t="s">
        <v>104</v>
      </c>
      <c r="W12" s="28" t="s">
        <v>118</v>
      </c>
      <c r="X12" s="28" t="s">
        <v>118</v>
      </c>
      <c r="Y12" s="28" t="s">
        <v>118</v>
      </c>
      <c r="Z12" s="28" t="s">
        <v>118</v>
      </c>
      <c r="AA12" s="21" t="s">
        <v>8</v>
      </c>
      <c r="AB12" s="21" t="s">
        <v>8</v>
      </c>
      <c r="AC12" s="28" t="s">
        <v>118</v>
      </c>
      <c r="AD12" s="28" t="s">
        <v>118</v>
      </c>
      <c r="AE12" s="21" t="s">
        <v>383</v>
      </c>
      <c r="AF12" s="21" t="s">
        <v>384</v>
      </c>
      <c r="AG12" s="21" t="s">
        <v>262</v>
      </c>
      <c r="AH12" s="21" t="s">
        <v>275</v>
      </c>
      <c r="AI12" s="21"/>
      <c r="AJ12" s="28" t="s">
        <v>162</v>
      </c>
      <c r="AK12" s="21" t="s">
        <v>106</v>
      </c>
      <c r="AL12" s="21" t="s">
        <v>410</v>
      </c>
      <c r="AM12" s="21" t="s">
        <v>62</v>
      </c>
      <c r="AN12" s="21" t="s">
        <v>378</v>
      </c>
      <c r="AO12" s="29" t="s">
        <v>285</v>
      </c>
      <c r="AP12" s="29" t="s">
        <v>285</v>
      </c>
      <c r="AQ12" s="28" t="s">
        <v>163</v>
      </c>
      <c r="AR12" s="28" t="s">
        <v>162</v>
      </c>
      <c r="AS12" s="28" t="s">
        <v>151</v>
      </c>
      <c r="AT12" s="28" t="s">
        <v>290</v>
      </c>
      <c r="AU12" s="28" t="s">
        <v>152</v>
      </c>
      <c r="AV12" s="28" t="s">
        <v>291</v>
      </c>
      <c r="AW12" s="75" t="s">
        <v>476</v>
      </c>
      <c r="AX12" s="21"/>
      <c r="AY12" s="78" t="s">
        <v>710</v>
      </c>
      <c r="AZ12" s="137" t="s">
        <v>698</v>
      </c>
    </row>
    <row r="13" spans="1:52" s="45" customFormat="1">
      <c r="A13" s="20" t="str">
        <f t="shared" si="0"/>
        <v>7-0</v>
      </c>
      <c r="B13" s="21">
        <v>7</v>
      </c>
      <c r="C13" s="22" t="s">
        <v>96</v>
      </c>
      <c r="D13" s="21" t="s">
        <v>440</v>
      </c>
      <c r="E13" s="23">
        <v>0</v>
      </c>
      <c r="F13" s="24" t="s">
        <v>123</v>
      </c>
      <c r="G13" s="25" t="s">
        <v>98</v>
      </c>
      <c r="H13" s="24" t="str">
        <f t="shared" si="1"/>
        <v xml:space="preserve">Hose, Fuel; Ø 5.4 mm × 10.4 mm; TSM1651G-2 </v>
      </c>
      <c r="I13" s="24" t="s">
        <v>86</v>
      </c>
      <c r="J13" s="24" t="s">
        <v>159</v>
      </c>
      <c r="K13" s="31" t="s">
        <v>22</v>
      </c>
      <c r="L13" s="22" t="s">
        <v>146</v>
      </c>
      <c r="M13" s="22" t="s">
        <v>127</v>
      </c>
      <c r="N13" s="26" t="s">
        <v>101</v>
      </c>
      <c r="O13" s="26" t="s">
        <v>101</v>
      </c>
      <c r="P13" s="27" t="s">
        <v>160</v>
      </c>
      <c r="Q13" s="22" t="s">
        <v>381</v>
      </c>
      <c r="R13" s="28" t="s">
        <v>161</v>
      </c>
      <c r="S13" s="21" t="s">
        <v>137</v>
      </c>
      <c r="T13" s="21" t="s">
        <v>137</v>
      </c>
      <c r="U13" s="28" t="s">
        <v>104</v>
      </c>
      <c r="V13" s="28" t="s">
        <v>104</v>
      </c>
      <c r="W13" s="28" t="s">
        <v>118</v>
      </c>
      <c r="X13" s="28" t="s">
        <v>118</v>
      </c>
      <c r="Y13" s="28" t="s">
        <v>118</v>
      </c>
      <c r="Z13" s="28" t="s">
        <v>118</v>
      </c>
      <c r="AA13" s="21" t="s">
        <v>8</v>
      </c>
      <c r="AB13" s="21" t="s">
        <v>8</v>
      </c>
      <c r="AC13" s="28" t="s">
        <v>118</v>
      </c>
      <c r="AD13" s="28" t="s">
        <v>118</v>
      </c>
      <c r="AE13" s="21" t="s">
        <v>248</v>
      </c>
      <c r="AF13" s="21" t="s">
        <v>260</v>
      </c>
      <c r="AG13" s="21" t="s">
        <v>262</v>
      </c>
      <c r="AH13" s="21" t="s">
        <v>275</v>
      </c>
      <c r="AI13" s="21"/>
      <c r="AJ13" s="28" t="s">
        <v>162</v>
      </c>
      <c r="AK13" s="21" t="s">
        <v>106</v>
      </c>
      <c r="AL13" s="21" t="s">
        <v>410</v>
      </c>
      <c r="AM13" s="21" t="s">
        <v>62</v>
      </c>
      <c r="AN13" s="21" t="s">
        <v>378</v>
      </c>
      <c r="AO13" s="29" t="s">
        <v>285</v>
      </c>
      <c r="AP13" s="29" t="s">
        <v>285</v>
      </c>
      <c r="AQ13" s="28" t="s">
        <v>163</v>
      </c>
      <c r="AR13" s="28" t="s">
        <v>162</v>
      </c>
      <c r="AS13" s="28" t="s">
        <v>151</v>
      </c>
      <c r="AT13" s="28">
        <v>0.1</v>
      </c>
      <c r="AU13" s="28" t="s">
        <v>152</v>
      </c>
      <c r="AV13" s="28" t="s">
        <v>291</v>
      </c>
      <c r="AW13" s="75" t="s">
        <v>477</v>
      </c>
      <c r="AX13" s="21"/>
      <c r="AY13" s="78" t="s">
        <v>710</v>
      </c>
      <c r="AZ13" s="137" t="s">
        <v>698</v>
      </c>
    </row>
    <row r="14" spans="1:52" s="30" customFormat="1" ht="51.6">
      <c r="A14" s="20" t="str">
        <f t="shared" si="0"/>
        <v>8-0</v>
      </c>
      <c r="B14" s="21">
        <v>8</v>
      </c>
      <c r="C14" s="22" t="s">
        <v>96</v>
      </c>
      <c r="D14" s="21" t="s">
        <v>441</v>
      </c>
      <c r="E14" s="23">
        <v>0</v>
      </c>
      <c r="F14" s="24" t="s">
        <v>97</v>
      </c>
      <c r="G14" s="25" t="s">
        <v>293</v>
      </c>
      <c r="H14" s="24" t="str">
        <f t="shared" si="1"/>
        <v xml:space="preserve">Hose, Fuel; Ø 5.4 mm × 10.4 mm; DTSM1651G-2 </v>
      </c>
      <c r="I14" s="24" t="s">
        <v>86</v>
      </c>
      <c r="J14" s="24" t="s">
        <v>159</v>
      </c>
      <c r="K14" s="24" t="s">
        <v>87</v>
      </c>
      <c r="L14" s="22" t="s">
        <v>99</v>
      </c>
      <c r="M14" s="22" t="s">
        <v>100</v>
      </c>
      <c r="N14" s="26" t="s">
        <v>101</v>
      </c>
      <c r="O14" s="26" t="s">
        <v>101</v>
      </c>
      <c r="P14" s="27" t="s">
        <v>160</v>
      </c>
      <c r="Q14" s="22" t="s">
        <v>381</v>
      </c>
      <c r="R14" s="28" t="s">
        <v>240</v>
      </c>
      <c r="S14" s="21" t="s">
        <v>182</v>
      </c>
      <c r="T14" s="21" t="s">
        <v>182</v>
      </c>
      <c r="U14" s="28" t="s">
        <v>138</v>
      </c>
      <c r="V14" s="28" t="s">
        <v>103</v>
      </c>
      <c r="W14" s="28" t="s">
        <v>103</v>
      </c>
      <c r="X14" s="28" t="s">
        <v>104</v>
      </c>
      <c r="Y14" s="28" t="s">
        <v>103</v>
      </c>
      <c r="Z14" s="28" t="s">
        <v>104</v>
      </c>
      <c r="AA14" s="21" t="s">
        <v>8</v>
      </c>
      <c r="AB14" s="21" t="s">
        <v>8</v>
      </c>
      <c r="AC14" s="28" t="s">
        <v>103</v>
      </c>
      <c r="AD14" s="28" t="s">
        <v>104</v>
      </c>
      <c r="AE14" s="21" t="s">
        <v>249</v>
      </c>
      <c r="AF14" s="21" t="s">
        <v>279</v>
      </c>
      <c r="AG14" s="21" t="s">
        <v>264</v>
      </c>
      <c r="AH14" s="21" t="s">
        <v>276</v>
      </c>
      <c r="AI14" s="21"/>
      <c r="AJ14" s="28" t="s">
        <v>162</v>
      </c>
      <c r="AK14" s="21" t="s">
        <v>106</v>
      </c>
      <c r="AL14" s="21" t="s">
        <v>410</v>
      </c>
      <c r="AM14" s="21" t="s">
        <v>62</v>
      </c>
      <c r="AN14" s="21" t="s">
        <v>378</v>
      </c>
      <c r="AO14" s="29" t="s">
        <v>285</v>
      </c>
      <c r="AP14" s="29" t="s">
        <v>285</v>
      </c>
      <c r="AQ14" s="28" t="s">
        <v>241</v>
      </c>
      <c r="AR14" s="28" t="s">
        <v>242</v>
      </c>
      <c r="AS14" s="28" t="s">
        <v>151</v>
      </c>
      <c r="AT14" s="28" t="s">
        <v>291</v>
      </c>
      <c r="AU14" s="28" t="s">
        <v>152</v>
      </c>
      <c r="AV14" s="28" t="s">
        <v>291</v>
      </c>
      <c r="AW14" s="75" t="s">
        <v>478</v>
      </c>
      <c r="AX14" s="21"/>
      <c r="AY14" s="78" t="s">
        <v>709</v>
      </c>
      <c r="AZ14" s="137" t="s">
        <v>698</v>
      </c>
    </row>
    <row r="15" spans="1:52" s="45" customFormat="1">
      <c r="A15" s="20" t="str">
        <f t="shared" si="0"/>
        <v>9-0</v>
      </c>
      <c r="B15" s="21">
        <v>9</v>
      </c>
      <c r="C15" s="22" t="s">
        <v>96</v>
      </c>
      <c r="D15" s="21" t="s">
        <v>442</v>
      </c>
      <c r="E15" s="23">
        <v>0</v>
      </c>
      <c r="F15" s="24" t="s">
        <v>123</v>
      </c>
      <c r="G15" s="25" t="s">
        <v>98</v>
      </c>
      <c r="H15" s="24" t="str">
        <f t="shared" si="1"/>
        <v xml:space="preserve">Hose, Fuel; Ø 7 mm × 12 mm; TSM1651G-2 </v>
      </c>
      <c r="I15" s="24" t="s">
        <v>86</v>
      </c>
      <c r="J15" s="24" t="s">
        <v>148</v>
      </c>
      <c r="K15" s="24" t="s">
        <v>22</v>
      </c>
      <c r="L15" s="22" t="s">
        <v>146</v>
      </c>
      <c r="M15" s="22" t="s">
        <v>127</v>
      </c>
      <c r="N15" s="26" t="s">
        <v>101</v>
      </c>
      <c r="O15" s="26" t="s">
        <v>101</v>
      </c>
      <c r="P15" s="27" t="s">
        <v>102</v>
      </c>
      <c r="Q15" s="22" t="s">
        <v>381</v>
      </c>
      <c r="R15" s="28" t="s">
        <v>149</v>
      </c>
      <c r="S15" s="21" t="s">
        <v>137</v>
      </c>
      <c r="T15" s="21" t="s">
        <v>137</v>
      </c>
      <c r="U15" s="28" t="s">
        <v>104</v>
      </c>
      <c r="V15" s="28" t="s">
        <v>104</v>
      </c>
      <c r="W15" s="28" t="s">
        <v>118</v>
      </c>
      <c r="X15" s="28" t="s">
        <v>118</v>
      </c>
      <c r="Y15" s="28" t="s">
        <v>118</v>
      </c>
      <c r="Z15" s="28" t="s">
        <v>118</v>
      </c>
      <c r="AA15" s="21" t="s">
        <v>8</v>
      </c>
      <c r="AB15" s="21" t="s">
        <v>8</v>
      </c>
      <c r="AC15" s="28" t="s">
        <v>118</v>
      </c>
      <c r="AD15" s="28" t="s">
        <v>118</v>
      </c>
      <c r="AE15" s="21" t="s">
        <v>248</v>
      </c>
      <c r="AF15" s="21" t="s">
        <v>260</v>
      </c>
      <c r="AG15" s="21" t="s">
        <v>262</v>
      </c>
      <c r="AH15" s="21" t="s">
        <v>275</v>
      </c>
      <c r="AI15" s="21"/>
      <c r="AJ15" s="28" t="s">
        <v>150</v>
      </c>
      <c r="AK15" s="21" t="s">
        <v>106</v>
      </c>
      <c r="AL15" s="21" t="s">
        <v>410</v>
      </c>
      <c r="AM15" s="21" t="s">
        <v>62</v>
      </c>
      <c r="AN15" s="21" t="s">
        <v>378</v>
      </c>
      <c r="AO15" s="29" t="s">
        <v>285</v>
      </c>
      <c r="AP15" s="29" t="s">
        <v>285</v>
      </c>
      <c r="AQ15" s="28" t="s">
        <v>107</v>
      </c>
      <c r="AR15" s="28" t="s">
        <v>150</v>
      </c>
      <c r="AS15" s="28" t="s">
        <v>151</v>
      </c>
      <c r="AT15" s="28" t="s">
        <v>290</v>
      </c>
      <c r="AU15" s="28" t="s">
        <v>152</v>
      </c>
      <c r="AV15" s="28" t="s">
        <v>291</v>
      </c>
      <c r="AW15" s="75" t="s">
        <v>479</v>
      </c>
      <c r="AX15" s="21"/>
      <c r="AY15" s="78" t="s">
        <v>712</v>
      </c>
      <c r="AZ15" s="137" t="s">
        <v>698</v>
      </c>
    </row>
    <row r="16" spans="1:52" s="30" customFormat="1">
      <c r="A16" s="20" t="str">
        <f t="shared" si="0"/>
        <v>10-0</v>
      </c>
      <c r="B16" s="21">
        <v>10</v>
      </c>
      <c r="C16" s="22" t="s">
        <v>96</v>
      </c>
      <c r="D16" s="21" t="s">
        <v>443</v>
      </c>
      <c r="E16" s="23">
        <v>0</v>
      </c>
      <c r="F16" s="24" t="s">
        <v>123</v>
      </c>
      <c r="G16" s="25" t="s">
        <v>293</v>
      </c>
      <c r="H16" s="24" t="str">
        <f t="shared" si="1"/>
        <v xml:space="preserve">Hose, Fuel; Ø 7 mm × 12 mm; TSM1651G-2 </v>
      </c>
      <c r="I16" s="24" t="s">
        <v>86</v>
      </c>
      <c r="J16" s="24" t="s">
        <v>148</v>
      </c>
      <c r="K16" s="24" t="s">
        <v>22</v>
      </c>
      <c r="L16" s="22" t="s">
        <v>146</v>
      </c>
      <c r="M16" s="22" t="s">
        <v>127</v>
      </c>
      <c r="N16" s="26" t="s">
        <v>101</v>
      </c>
      <c r="O16" s="26" t="s">
        <v>101</v>
      </c>
      <c r="P16" s="27" t="s">
        <v>102</v>
      </c>
      <c r="Q16" s="22" t="s">
        <v>381</v>
      </c>
      <c r="R16" s="28" t="s">
        <v>149</v>
      </c>
      <c r="S16" s="21" t="s">
        <v>137</v>
      </c>
      <c r="T16" s="21" t="s">
        <v>137</v>
      </c>
      <c r="U16" s="28" t="s">
        <v>104</v>
      </c>
      <c r="V16" s="28" t="s">
        <v>104</v>
      </c>
      <c r="W16" s="28" t="s">
        <v>118</v>
      </c>
      <c r="X16" s="28" t="s">
        <v>118</v>
      </c>
      <c r="Y16" s="28" t="s">
        <v>118</v>
      </c>
      <c r="Z16" s="28" t="s">
        <v>118</v>
      </c>
      <c r="AA16" s="21" t="s">
        <v>8</v>
      </c>
      <c r="AB16" s="21" t="s">
        <v>8</v>
      </c>
      <c r="AC16" s="28" t="s">
        <v>118</v>
      </c>
      <c r="AD16" s="28" t="s">
        <v>118</v>
      </c>
      <c r="AE16" s="21" t="s">
        <v>248</v>
      </c>
      <c r="AF16" s="21" t="s">
        <v>260</v>
      </c>
      <c r="AG16" s="21" t="s">
        <v>262</v>
      </c>
      <c r="AH16" s="21" t="s">
        <v>275</v>
      </c>
      <c r="AI16" s="21"/>
      <c r="AJ16" s="28" t="s">
        <v>150</v>
      </c>
      <c r="AK16" s="21" t="s">
        <v>106</v>
      </c>
      <c r="AL16" s="21" t="s">
        <v>410</v>
      </c>
      <c r="AM16" s="21" t="s">
        <v>62</v>
      </c>
      <c r="AN16" s="21" t="s">
        <v>378</v>
      </c>
      <c r="AO16" s="29" t="s">
        <v>285</v>
      </c>
      <c r="AP16" s="29" t="s">
        <v>285</v>
      </c>
      <c r="AQ16" s="28" t="s">
        <v>107</v>
      </c>
      <c r="AR16" s="28" t="s">
        <v>150</v>
      </c>
      <c r="AS16" s="28" t="s">
        <v>151</v>
      </c>
      <c r="AT16" s="28" t="s">
        <v>290</v>
      </c>
      <c r="AU16" s="28" t="s">
        <v>152</v>
      </c>
      <c r="AV16" s="28" t="s">
        <v>291</v>
      </c>
      <c r="AW16" s="75" t="s">
        <v>480</v>
      </c>
      <c r="AX16" s="21"/>
      <c r="AY16" s="78" t="s">
        <v>712</v>
      </c>
      <c r="AZ16" s="137" t="s">
        <v>698</v>
      </c>
    </row>
    <row r="17" spans="1:52" s="30" customFormat="1">
      <c r="A17" s="20" t="str">
        <f t="shared" si="0"/>
        <v>11-0</v>
      </c>
      <c r="B17" s="21">
        <v>11</v>
      </c>
      <c r="C17" s="22" t="s">
        <v>96</v>
      </c>
      <c r="D17" s="21" t="s">
        <v>444</v>
      </c>
      <c r="E17" s="23">
        <v>0</v>
      </c>
      <c r="F17" s="24" t="s">
        <v>123</v>
      </c>
      <c r="G17" s="25" t="s">
        <v>293</v>
      </c>
      <c r="H17" s="24" t="str">
        <f t="shared" si="1"/>
        <v xml:space="preserve">Hose, Fuel; Ø 7 mm × 14 mm; TSM1651G-2 </v>
      </c>
      <c r="I17" s="24" t="s">
        <v>86</v>
      </c>
      <c r="J17" s="24" t="s">
        <v>114</v>
      </c>
      <c r="K17" s="24" t="s">
        <v>22</v>
      </c>
      <c r="L17" s="22" t="s">
        <v>146</v>
      </c>
      <c r="M17" s="22" t="s">
        <v>127</v>
      </c>
      <c r="N17" s="26" t="s">
        <v>101</v>
      </c>
      <c r="O17" s="26" t="s">
        <v>101</v>
      </c>
      <c r="P17" s="27" t="s">
        <v>102</v>
      </c>
      <c r="Q17" s="22" t="s">
        <v>381</v>
      </c>
      <c r="R17" s="22" t="s">
        <v>411</v>
      </c>
      <c r="S17" s="21" t="s">
        <v>137</v>
      </c>
      <c r="T17" s="21" t="s">
        <v>137</v>
      </c>
      <c r="U17" s="28" t="s">
        <v>104</v>
      </c>
      <c r="V17" s="28" t="s">
        <v>104</v>
      </c>
      <c r="W17" s="28" t="s">
        <v>118</v>
      </c>
      <c r="X17" s="28" t="s">
        <v>118</v>
      </c>
      <c r="Y17" s="28" t="s">
        <v>118</v>
      </c>
      <c r="Z17" s="28" t="s">
        <v>118</v>
      </c>
      <c r="AA17" s="21" t="s">
        <v>8</v>
      </c>
      <c r="AB17" s="21" t="s">
        <v>8</v>
      </c>
      <c r="AC17" s="28" t="s">
        <v>118</v>
      </c>
      <c r="AD17" s="28" t="s">
        <v>118</v>
      </c>
      <c r="AE17" s="21" t="s">
        <v>248</v>
      </c>
      <c r="AF17" s="21" t="s">
        <v>260</v>
      </c>
      <c r="AG17" s="21" t="s">
        <v>262</v>
      </c>
      <c r="AH17" s="21" t="s">
        <v>275</v>
      </c>
      <c r="AI17" s="21"/>
      <c r="AJ17" s="28" t="s">
        <v>105</v>
      </c>
      <c r="AK17" s="21" t="s">
        <v>106</v>
      </c>
      <c r="AL17" s="21" t="s">
        <v>410</v>
      </c>
      <c r="AM17" s="21" t="s">
        <v>62</v>
      </c>
      <c r="AN17" s="21" t="s">
        <v>378</v>
      </c>
      <c r="AO17" s="29" t="s">
        <v>285</v>
      </c>
      <c r="AP17" s="29" t="s">
        <v>285</v>
      </c>
      <c r="AQ17" s="28" t="s">
        <v>107</v>
      </c>
      <c r="AR17" s="28" t="s">
        <v>105</v>
      </c>
      <c r="AS17" s="28" t="s">
        <v>147</v>
      </c>
      <c r="AT17" s="28" t="s">
        <v>290</v>
      </c>
      <c r="AU17" s="28" t="s">
        <v>110</v>
      </c>
      <c r="AV17" s="28" t="s">
        <v>291</v>
      </c>
      <c r="AW17" s="75" t="s">
        <v>481</v>
      </c>
      <c r="AX17" s="21"/>
      <c r="AY17" s="78" t="s">
        <v>712</v>
      </c>
      <c r="AZ17" s="137" t="s">
        <v>698</v>
      </c>
    </row>
    <row r="18" spans="1:52" s="45" customFormat="1">
      <c r="A18" s="20"/>
      <c r="B18" s="21">
        <v>12</v>
      </c>
      <c r="C18" s="22" t="s">
        <v>96</v>
      </c>
      <c r="D18" s="21" t="s">
        <v>445</v>
      </c>
      <c r="E18" s="23">
        <v>0</v>
      </c>
      <c r="F18" s="24" t="s">
        <v>123</v>
      </c>
      <c r="G18" s="25" t="s">
        <v>98</v>
      </c>
      <c r="H18" s="24" t="str">
        <f t="shared" si="1"/>
        <v xml:space="preserve">Hose, Fuel; Ø 7 mm × 14 mm; TSM1651G-2 </v>
      </c>
      <c r="I18" s="24" t="s">
        <v>86</v>
      </c>
      <c r="J18" s="24" t="s">
        <v>114</v>
      </c>
      <c r="K18" s="24" t="s">
        <v>22</v>
      </c>
      <c r="L18" s="22" t="s">
        <v>146</v>
      </c>
      <c r="M18" s="22" t="s">
        <v>127</v>
      </c>
      <c r="N18" s="26" t="s">
        <v>101</v>
      </c>
      <c r="O18" s="26" t="s">
        <v>101</v>
      </c>
      <c r="P18" s="27" t="s">
        <v>102</v>
      </c>
      <c r="Q18" s="22" t="s">
        <v>412</v>
      </c>
      <c r="R18" s="22" t="s">
        <v>412</v>
      </c>
      <c r="S18" s="21" t="s">
        <v>137</v>
      </c>
      <c r="T18" s="21" t="s">
        <v>137</v>
      </c>
      <c r="U18" s="28" t="s">
        <v>104</v>
      </c>
      <c r="V18" s="28" t="s">
        <v>104</v>
      </c>
      <c r="W18" s="28" t="s">
        <v>118</v>
      </c>
      <c r="X18" s="28" t="s">
        <v>118</v>
      </c>
      <c r="Y18" s="28" t="s">
        <v>118</v>
      </c>
      <c r="Z18" s="28" t="s">
        <v>118</v>
      </c>
      <c r="AA18" s="21" t="s">
        <v>8</v>
      </c>
      <c r="AB18" s="21" t="s">
        <v>8</v>
      </c>
      <c r="AC18" s="28" t="s">
        <v>118</v>
      </c>
      <c r="AD18" s="28" t="s">
        <v>118</v>
      </c>
      <c r="AE18" s="21" t="s">
        <v>248</v>
      </c>
      <c r="AF18" s="21" t="s">
        <v>260</v>
      </c>
      <c r="AG18" s="21" t="s">
        <v>262</v>
      </c>
      <c r="AH18" s="21" t="s">
        <v>275</v>
      </c>
      <c r="AI18" s="21"/>
      <c r="AJ18" s="28" t="s">
        <v>105</v>
      </c>
      <c r="AK18" s="21" t="s">
        <v>106</v>
      </c>
      <c r="AL18" s="21" t="s">
        <v>410</v>
      </c>
      <c r="AM18" s="21" t="s">
        <v>62</v>
      </c>
      <c r="AN18" s="21" t="s">
        <v>378</v>
      </c>
      <c r="AO18" s="29" t="s">
        <v>285</v>
      </c>
      <c r="AP18" s="29" t="s">
        <v>285</v>
      </c>
      <c r="AQ18" s="28" t="s">
        <v>107</v>
      </c>
      <c r="AR18" s="28" t="s">
        <v>105</v>
      </c>
      <c r="AS18" s="28" t="s">
        <v>147</v>
      </c>
      <c r="AT18" s="28">
        <v>0.1</v>
      </c>
      <c r="AU18" s="28" t="s">
        <v>110</v>
      </c>
      <c r="AV18" s="28" t="s">
        <v>291</v>
      </c>
      <c r="AW18" s="75" t="s">
        <v>482</v>
      </c>
      <c r="AX18" s="21"/>
      <c r="AY18" s="78" t="s">
        <v>714</v>
      </c>
      <c r="AZ18" s="137" t="s">
        <v>698</v>
      </c>
    </row>
    <row r="19" spans="1:52" s="30" customFormat="1">
      <c r="A19" s="20" t="str">
        <f t="shared" si="0"/>
        <v>13-0</v>
      </c>
      <c r="B19" s="21">
        <v>13</v>
      </c>
      <c r="C19" s="22" t="s">
        <v>96</v>
      </c>
      <c r="D19" s="21" t="s">
        <v>446</v>
      </c>
      <c r="E19" s="23">
        <v>0</v>
      </c>
      <c r="F19" s="24" t="s">
        <v>97</v>
      </c>
      <c r="G19" s="25" t="s">
        <v>293</v>
      </c>
      <c r="H19" s="24" t="str">
        <f t="shared" si="1"/>
        <v xml:space="preserve">Hose, Fuel; Ø 7 mm × 14 mm; DTSM1651G-2 </v>
      </c>
      <c r="I19" s="24" t="s">
        <v>86</v>
      </c>
      <c r="J19" s="24" t="s">
        <v>114</v>
      </c>
      <c r="K19" s="24" t="s">
        <v>87</v>
      </c>
      <c r="L19" s="22" t="s">
        <v>99</v>
      </c>
      <c r="M19" s="22" t="s">
        <v>100</v>
      </c>
      <c r="N19" s="26" t="s">
        <v>101</v>
      </c>
      <c r="O19" s="26" t="s">
        <v>101</v>
      </c>
      <c r="P19" s="27" t="s">
        <v>102</v>
      </c>
      <c r="Q19" s="22" t="s">
        <v>413</v>
      </c>
      <c r="R19" s="22" t="s">
        <v>412</v>
      </c>
      <c r="S19" s="21" t="s">
        <v>137</v>
      </c>
      <c r="T19" s="21" t="s">
        <v>137</v>
      </c>
      <c r="U19" s="28" t="s">
        <v>103</v>
      </c>
      <c r="V19" s="28" t="s">
        <v>103</v>
      </c>
      <c r="W19" s="28" t="s">
        <v>104</v>
      </c>
      <c r="X19" s="28" t="s">
        <v>104</v>
      </c>
      <c r="Y19" s="28" t="s">
        <v>104</v>
      </c>
      <c r="Z19" s="28" t="s">
        <v>104</v>
      </c>
      <c r="AA19" s="22" t="s">
        <v>8</v>
      </c>
      <c r="AB19" s="22" t="s">
        <v>8</v>
      </c>
      <c r="AC19" s="28" t="s">
        <v>104</v>
      </c>
      <c r="AD19" s="28" t="s">
        <v>104</v>
      </c>
      <c r="AE19" s="21" t="s">
        <v>250</v>
      </c>
      <c r="AF19" s="21" t="s">
        <v>280</v>
      </c>
      <c r="AG19" s="21" t="s">
        <v>265</v>
      </c>
      <c r="AH19" s="21" t="s">
        <v>283</v>
      </c>
      <c r="AI19" s="21"/>
      <c r="AJ19" s="28" t="s">
        <v>105</v>
      </c>
      <c r="AK19" s="21" t="s">
        <v>106</v>
      </c>
      <c r="AL19" s="21" t="s">
        <v>410</v>
      </c>
      <c r="AM19" s="21" t="s">
        <v>62</v>
      </c>
      <c r="AN19" s="21" t="s">
        <v>378</v>
      </c>
      <c r="AO19" s="29" t="s">
        <v>285</v>
      </c>
      <c r="AP19" s="29" t="s">
        <v>285</v>
      </c>
      <c r="AQ19" s="28" t="s">
        <v>107</v>
      </c>
      <c r="AR19" s="28" t="s">
        <v>108</v>
      </c>
      <c r="AS19" s="28" t="s">
        <v>109</v>
      </c>
      <c r="AT19" s="28" t="s">
        <v>291</v>
      </c>
      <c r="AU19" s="28" t="s">
        <v>110</v>
      </c>
      <c r="AV19" s="28" t="s">
        <v>291</v>
      </c>
      <c r="AW19" s="75" t="s">
        <v>483</v>
      </c>
      <c r="AX19" s="21"/>
      <c r="AY19" s="78" t="s">
        <v>713</v>
      </c>
      <c r="AZ19" s="137" t="s">
        <v>698</v>
      </c>
    </row>
    <row r="20" spans="1:52" s="30" customFormat="1">
      <c r="A20" s="20" t="str">
        <f t="shared" si="0"/>
        <v>14-0</v>
      </c>
      <c r="B20" s="21">
        <v>14</v>
      </c>
      <c r="C20" s="22" t="s">
        <v>111</v>
      </c>
      <c r="D20" s="21" t="s">
        <v>447</v>
      </c>
      <c r="E20" s="23">
        <v>0</v>
      </c>
      <c r="F20" s="24" t="s">
        <v>97</v>
      </c>
      <c r="G20" s="25" t="s">
        <v>293</v>
      </c>
      <c r="H20" s="24" t="str">
        <f t="shared" si="1"/>
        <v xml:space="preserve">Hose, Reservoir; Ø 8.5 mm × 16.6 mm; DTSM1650G-1 </v>
      </c>
      <c r="I20" s="31" t="s">
        <v>112</v>
      </c>
      <c r="J20" s="24" t="s">
        <v>113</v>
      </c>
      <c r="K20" s="31" t="s">
        <v>115</v>
      </c>
      <c r="L20" s="22" t="s">
        <v>116</v>
      </c>
      <c r="M20" s="22" t="s">
        <v>8</v>
      </c>
      <c r="N20" s="26" t="s">
        <v>101</v>
      </c>
      <c r="O20" s="26" t="s">
        <v>8</v>
      </c>
      <c r="P20" s="27" t="s">
        <v>117</v>
      </c>
      <c r="Q20" s="22" t="s">
        <v>8</v>
      </c>
      <c r="R20" s="22" t="s">
        <v>414</v>
      </c>
      <c r="S20" s="21" t="s">
        <v>137</v>
      </c>
      <c r="T20" s="21" t="s">
        <v>8</v>
      </c>
      <c r="U20" s="28" t="s">
        <v>103</v>
      </c>
      <c r="V20" s="21" t="s">
        <v>8</v>
      </c>
      <c r="W20" s="28" t="s">
        <v>118</v>
      </c>
      <c r="X20" s="21" t="s">
        <v>8</v>
      </c>
      <c r="Y20" s="28" t="s">
        <v>118</v>
      </c>
      <c r="Z20" s="21" t="s">
        <v>8</v>
      </c>
      <c r="AA20" s="21" t="s">
        <v>8</v>
      </c>
      <c r="AB20" s="21" t="s">
        <v>8</v>
      </c>
      <c r="AC20" s="28" t="s">
        <v>118</v>
      </c>
      <c r="AD20" s="21" t="s">
        <v>8</v>
      </c>
      <c r="AE20" s="21" t="s">
        <v>251</v>
      </c>
      <c r="AF20" s="21" t="s">
        <v>8</v>
      </c>
      <c r="AG20" s="21" t="s">
        <v>266</v>
      </c>
      <c r="AH20" s="21" t="s">
        <v>8</v>
      </c>
      <c r="AI20" s="21"/>
      <c r="AJ20" s="28" t="s">
        <v>119</v>
      </c>
      <c r="AK20" s="21" t="s">
        <v>8</v>
      </c>
      <c r="AL20" s="21" t="s">
        <v>8</v>
      </c>
      <c r="AM20" s="21" t="s">
        <v>8</v>
      </c>
      <c r="AN20" s="21" t="s">
        <v>378</v>
      </c>
      <c r="AO20" s="29" t="s">
        <v>285</v>
      </c>
      <c r="AP20" s="29" t="s">
        <v>285</v>
      </c>
      <c r="AQ20" s="28" t="s">
        <v>120</v>
      </c>
      <c r="AR20" s="28" t="s">
        <v>121</v>
      </c>
      <c r="AS20" s="21" t="s">
        <v>8</v>
      </c>
      <c r="AT20" s="21" t="s">
        <v>8</v>
      </c>
      <c r="AU20" s="28" t="s">
        <v>122</v>
      </c>
      <c r="AV20" s="28" t="s">
        <v>291</v>
      </c>
      <c r="AW20" s="75" t="s">
        <v>484</v>
      </c>
      <c r="AX20" s="21"/>
      <c r="AY20" s="78" t="s">
        <v>705</v>
      </c>
      <c r="AZ20" s="137" t="s">
        <v>698</v>
      </c>
    </row>
    <row r="21" spans="1:52" s="30" customFormat="1">
      <c r="A21" s="20" t="str">
        <f t="shared" si="0"/>
        <v>15-0</v>
      </c>
      <c r="B21" s="21">
        <v>15</v>
      </c>
      <c r="C21" s="22" t="s">
        <v>111</v>
      </c>
      <c r="D21" s="21" t="s">
        <v>448</v>
      </c>
      <c r="E21" s="23">
        <v>0</v>
      </c>
      <c r="F21" s="24" t="s">
        <v>123</v>
      </c>
      <c r="G21" s="25" t="s">
        <v>293</v>
      </c>
      <c r="H21" s="24" t="str">
        <f t="shared" si="1"/>
        <v xml:space="preserve">Hose, Clutch; Ø 8.5 mm × 17 mm; TSM1650G-1 </v>
      </c>
      <c r="I21" s="31" t="s">
        <v>134</v>
      </c>
      <c r="J21" s="24" t="s">
        <v>135</v>
      </c>
      <c r="K21" s="31" t="s">
        <v>136</v>
      </c>
      <c r="L21" s="22" t="s">
        <v>116</v>
      </c>
      <c r="M21" s="22" t="s">
        <v>8</v>
      </c>
      <c r="N21" s="26" t="s">
        <v>101</v>
      </c>
      <c r="O21" s="26" t="s">
        <v>8</v>
      </c>
      <c r="P21" s="27" t="s">
        <v>117</v>
      </c>
      <c r="Q21" s="22" t="s">
        <v>8</v>
      </c>
      <c r="R21" s="22" t="s">
        <v>415</v>
      </c>
      <c r="S21" s="21" t="s">
        <v>137</v>
      </c>
      <c r="T21" s="21" t="s">
        <v>8</v>
      </c>
      <c r="U21" s="28" t="s">
        <v>138</v>
      </c>
      <c r="V21" s="21" t="s">
        <v>8</v>
      </c>
      <c r="W21" s="28" t="s">
        <v>103</v>
      </c>
      <c r="X21" s="21" t="s">
        <v>8</v>
      </c>
      <c r="Y21" s="28" t="s">
        <v>103</v>
      </c>
      <c r="Z21" s="21" t="s">
        <v>8</v>
      </c>
      <c r="AA21" s="21" t="s">
        <v>8</v>
      </c>
      <c r="AB21" s="21" t="s">
        <v>8</v>
      </c>
      <c r="AC21" s="28" t="s">
        <v>103</v>
      </c>
      <c r="AD21" s="21" t="s">
        <v>8</v>
      </c>
      <c r="AE21" s="21" t="s">
        <v>252</v>
      </c>
      <c r="AF21" s="21" t="s">
        <v>8</v>
      </c>
      <c r="AG21" s="21" t="s">
        <v>267</v>
      </c>
      <c r="AH21" s="21" t="s">
        <v>8</v>
      </c>
      <c r="AI21" s="21"/>
      <c r="AJ21" s="28" t="s">
        <v>139</v>
      </c>
      <c r="AK21" s="21" t="s">
        <v>8</v>
      </c>
      <c r="AL21" s="21" t="s">
        <v>8</v>
      </c>
      <c r="AM21" s="21" t="s">
        <v>8</v>
      </c>
      <c r="AN21" s="21" t="s">
        <v>378</v>
      </c>
      <c r="AO21" s="29" t="s">
        <v>285</v>
      </c>
      <c r="AP21" s="29" t="s">
        <v>285</v>
      </c>
      <c r="AQ21" s="28" t="s">
        <v>140</v>
      </c>
      <c r="AR21" s="28" t="s">
        <v>139</v>
      </c>
      <c r="AS21" s="21" t="s">
        <v>8</v>
      </c>
      <c r="AT21" s="21" t="s">
        <v>8</v>
      </c>
      <c r="AU21" s="28" t="s">
        <v>141</v>
      </c>
      <c r="AV21" s="28" t="s">
        <v>291</v>
      </c>
      <c r="AW21" s="75" t="s">
        <v>485</v>
      </c>
      <c r="AX21" s="21"/>
      <c r="AY21" s="78" t="s">
        <v>704</v>
      </c>
      <c r="AZ21" s="137" t="s">
        <v>698</v>
      </c>
    </row>
    <row r="22" spans="1:52" s="30" customFormat="1" ht="32.25" customHeight="1">
      <c r="A22" s="20" t="str">
        <f t="shared" si="0"/>
        <v>16-0</v>
      </c>
      <c r="B22" s="21">
        <v>16</v>
      </c>
      <c r="C22" s="22" t="s">
        <v>96</v>
      </c>
      <c r="D22" s="21" t="s">
        <v>449</v>
      </c>
      <c r="E22" s="23">
        <v>0</v>
      </c>
      <c r="F22" s="24" t="s">
        <v>97</v>
      </c>
      <c r="G22" s="25" t="s">
        <v>293</v>
      </c>
      <c r="H22" s="24" t="str">
        <f t="shared" si="1"/>
        <v xml:space="preserve">Hose, Ventilation; Ø 9 mm × 17 mm; DTSM1670G-1 </v>
      </c>
      <c r="I22" s="24" t="s">
        <v>153</v>
      </c>
      <c r="J22" s="24" t="s">
        <v>154</v>
      </c>
      <c r="K22" s="24" t="s">
        <v>193</v>
      </c>
      <c r="L22" s="22" t="s">
        <v>155</v>
      </c>
      <c r="M22" s="22" t="s">
        <v>127</v>
      </c>
      <c r="N22" s="26" t="s">
        <v>101</v>
      </c>
      <c r="O22" s="26" t="s">
        <v>101</v>
      </c>
      <c r="P22" s="27" t="s">
        <v>117</v>
      </c>
      <c r="Q22" s="22" t="s">
        <v>416</v>
      </c>
      <c r="R22" s="22" t="s">
        <v>417</v>
      </c>
      <c r="S22" s="21" t="s">
        <v>137</v>
      </c>
      <c r="T22" s="21" t="s">
        <v>137</v>
      </c>
      <c r="U22" s="28" t="s">
        <v>103</v>
      </c>
      <c r="V22" s="28" t="s">
        <v>103</v>
      </c>
      <c r="W22" s="28" t="s">
        <v>118</v>
      </c>
      <c r="X22" s="28" t="s">
        <v>118</v>
      </c>
      <c r="Y22" s="28" t="s">
        <v>118</v>
      </c>
      <c r="Z22" s="28" t="s">
        <v>118</v>
      </c>
      <c r="AA22" s="21" t="s">
        <v>8</v>
      </c>
      <c r="AB22" s="21" t="s">
        <v>8</v>
      </c>
      <c r="AC22" s="28" t="s">
        <v>118</v>
      </c>
      <c r="AD22" s="28" t="s">
        <v>118</v>
      </c>
      <c r="AE22" s="21" t="s">
        <v>253</v>
      </c>
      <c r="AF22" s="21" t="s">
        <v>261</v>
      </c>
      <c r="AG22" s="21" t="s">
        <v>268</v>
      </c>
      <c r="AH22" s="21" t="s">
        <v>284</v>
      </c>
      <c r="AI22" s="21"/>
      <c r="AJ22" s="28" t="s">
        <v>231</v>
      </c>
      <c r="AK22" s="21" t="s">
        <v>106</v>
      </c>
      <c r="AL22" s="21" t="s">
        <v>410</v>
      </c>
      <c r="AM22" s="21" t="s">
        <v>62</v>
      </c>
      <c r="AN22" s="21" t="s">
        <v>378</v>
      </c>
      <c r="AO22" s="29" t="s">
        <v>285</v>
      </c>
      <c r="AP22" s="29" t="s">
        <v>285</v>
      </c>
      <c r="AQ22" s="28" t="s">
        <v>157</v>
      </c>
      <c r="AR22" s="28" t="s">
        <v>232</v>
      </c>
      <c r="AS22" s="28" t="s">
        <v>122</v>
      </c>
      <c r="AT22" s="28" t="s">
        <v>291</v>
      </c>
      <c r="AU22" s="28" t="s">
        <v>233</v>
      </c>
      <c r="AV22" s="28" t="s">
        <v>291</v>
      </c>
      <c r="AW22" s="75" t="s">
        <v>486</v>
      </c>
      <c r="AX22" s="21"/>
      <c r="AY22" s="78" t="s">
        <v>724</v>
      </c>
      <c r="AZ22" s="137" t="s">
        <v>698</v>
      </c>
    </row>
    <row r="23" spans="1:52" s="30" customFormat="1">
      <c r="A23" s="20" t="str">
        <f t="shared" si="0"/>
        <v>17-0</v>
      </c>
      <c r="B23" s="21">
        <v>17</v>
      </c>
      <c r="C23" s="22" t="s">
        <v>96</v>
      </c>
      <c r="D23" s="21" t="s">
        <v>450</v>
      </c>
      <c r="E23" s="23">
        <v>0</v>
      </c>
      <c r="F23" s="24" t="s">
        <v>123</v>
      </c>
      <c r="G23" s="25" t="s">
        <v>293</v>
      </c>
      <c r="H23" s="24" t="str">
        <f t="shared" si="1"/>
        <v xml:space="preserve">Hose, Ventilation; Ø 9 mm × 17 mm; TSM1671G-1A </v>
      </c>
      <c r="I23" s="24" t="s">
        <v>153</v>
      </c>
      <c r="J23" s="24" t="s">
        <v>154</v>
      </c>
      <c r="K23" s="24" t="s">
        <v>29</v>
      </c>
      <c r="L23" s="22" t="s">
        <v>155</v>
      </c>
      <c r="M23" s="22" t="s">
        <v>127</v>
      </c>
      <c r="N23" s="26" t="s">
        <v>101</v>
      </c>
      <c r="O23" s="26" t="s">
        <v>101</v>
      </c>
      <c r="P23" s="27" t="s">
        <v>117</v>
      </c>
      <c r="Q23" s="22" t="s">
        <v>569</v>
      </c>
      <c r="R23" s="22" t="s">
        <v>570</v>
      </c>
      <c r="S23" s="21" t="s">
        <v>577</v>
      </c>
      <c r="T23" s="21" t="s">
        <v>577</v>
      </c>
      <c r="U23" s="28" t="s">
        <v>118</v>
      </c>
      <c r="V23" s="28" t="s">
        <v>118</v>
      </c>
      <c r="W23" s="28" t="s">
        <v>118</v>
      </c>
      <c r="X23" s="28" t="s">
        <v>118</v>
      </c>
      <c r="Y23" s="28" t="s">
        <v>118</v>
      </c>
      <c r="Z23" s="28" t="s">
        <v>118</v>
      </c>
      <c r="AA23" s="21" t="s">
        <v>8</v>
      </c>
      <c r="AB23" s="21" t="s">
        <v>8</v>
      </c>
      <c r="AC23" s="28" t="s">
        <v>118</v>
      </c>
      <c r="AD23" s="28" t="s">
        <v>118</v>
      </c>
      <c r="AE23" s="21" t="s">
        <v>425</v>
      </c>
      <c r="AF23" s="21" t="s">
        <v>571</v>
      </c>
      <c r="AG23" s="21" t="s">
        <v>399</v>
      </c>
      <c r="AH23" s="21" t="s">
        <v>427</v>
      </c>
      <c r="AI23" s="21"/>
      <c r="AJ23" s="28" t="s">
        <v>572</v>
      </c>
      <c r="AK23" s="21" t="s">
        <v>106</v>
      </c>
      <c r="AL23" s="21" t="s">
        <v>410</v>
      </c>
      <c r="AM23" s="21" t="s">
        <v>62</v>
      </c>
      <c r="AN23" s="21" t="s">
        <v>378</v>
      </c>
      <c r="AO23" s="29" t="s">
        <v>573</v>
      </c>
      <c r="AP23" s="29" t="s">
        <v>574</v>
      </c>
      <c r="AQ23" s="28" t="s">
        <v>140</v>
      </c>
      <c r="AR23" s="28" t="s">
        <v>156</v>
      </c>
      <c r="AS23" s="28" t="s">
        <v>158</v>
      </c>
      <c r="AT23" s="28" t="s">
        <v>291</v>
      </c>
      <c r="AU23" s="28" t="s">
        <v>122</v>
      </c>
      <c r="AV23" s="28" t="s">
        <v>291</v>
      </c>
      <c r="AW23" s="75" t="s">
        <v>487</v>
      </c>
      <c r="AX23" s="21"/>
      <c r="AY23" s="131" t="s">
        <v>726</v>
      </c>
      <c r="AZ23" s="137" t="s">
        <v>700</v>
      </c>
    </row>
    <row r="24" spans="1:52" s="30" customFormat="1">
      <c r="A24" s="20" t="str">
        <f t="shared" si="0"/>
        <v>18-0</v>
      </c>
      <c r="B24" s="21">
        <v>18</v>
      </c>
      <c r="C24" s="22" t="s">
        <v>111</v>
      </c>
      <c r="D24" s="21" t="s">
        <v>451</v>
      </c>
      <c r="E24" s="23">
        <v>0</v>
      </c>
      <c r="F24" s="24" t="s">
        <v>97</v>
      </c>
      <c r="G24" s="25" t="s">
        <v>196</v>
      </c>
      <c r="H24" s="24" t="str">
        <f t="shared" si="1"/>
        <v xml:space="preserve">Hose, Fuel Tank; Ø 13.5 mm × 21.5 mm; DTSM1647G-1C </v>
      </c>
      <c r="I24" s="24" t="s">
        <v>221</v>
      </c>
      <c r="J24" s="24" t="s">
        <v>234</v>
      </c>
      <c r="K24" s="24" t="s">
        <v>223</v>
      </c>
      <c r="L24" s="22" t="s">
        <v>235</v>
      </c>
      <c r="M24" s="22" t="s">
        <v>8</v>
      </c>
      <c r="N24" s="26" t="s">
        <v>101</v>
      </c>
      <c r="O24" s="26" t="s">
        <v>101</v>
      </c>
      <c r="P24" s="27" t="s">
        <v>172</v>
      </c>
      <c r="Q24" s="22" t="s">
        <v>8</v>
      </c>
      <c r="R24" s="28" t="s">
        <v>236</v>
      </c>
      <c r="S24" s="21" t="s">
        <v>137</v>
      </c>
      <c r="T24" s="21" t="s">
        <v>8</v>
      </c>
      <c r="U24" s="28" t="s">
        <v>103</v>
      </c>
      <c r="V24" s="28" t="s">
        <v>8</v>
      </c>
      <c r="W24" s="28" t="s">
        <v>118</v>
      </c>
      <c r="X24" s="28" t="s">
        <v>8</v>
      </c>
      <c r="Y24" s="28" t="s">
        <v>118</v>
      </c>
      <c r="Z24" s="28" t="s">
        <v>8</v>
      </c>
      <c r="AA24" s="21" t="s">
        <v>8</v>
      </c>
      <c r="AB24" s="21" t="s">
        <v>8</v>
      </c>
      <c r="AC24" s="28" t="s">
        <v>118</v>
      </c>
      <c r="AD24" s="28" t="s">
        <v>8</v>
      </c>
      <c r="AE24" s="21" t="s">
        <v>295</v>
      </c>
      <c r="AF24" s="21" t="s">
        <v>8</v>
      </c>
      <c r="AG24" s="21" t="s">
        <v>296</v>
      </c>
      <c r="AH24" s="21" t="s">
        <v>8</v>
      </c>
      <c r="AI24" s="21"/>
      <c r="AJ24" s="28" t="s">
        <v>237</v>
      </c>
      <c r="AK24" s="21" t="s">
        <v>106</v>
      </c>
      <c r="AL24" s="21" t="s">
        <v>227</v>
      </c>
      <c r="AM24" s="21" t="s">
        <v>228</v>
      </c>
      <c r="AN24" s="21" t="s">
        <v>378</v>
      </c>
      <c r="AO24" s="29" t="s">
        <v>297</v>
      </c>
      <c r="AP24" s="29" t="s">
        <v>298</v>
      </c>
      <c r="AQ24" s="28" t="s">
        <v>238</v>
      </c>
      <c r="AR24" s="28" t="s">
        <v>299</v>
      </c>
      <c r="AS24" s="21" t="s">
        <v>8</v>
      </c>
      <c r="AT24" s="21" t="s">
        <v>8</v>
      </c>
      <c r="AU24" s="28" t="s">
        <v>239</v>
      </c>
      <c r="AV24" s="28" t="s">
        <v>291</v>
      </c>
      <c r="AW24" s="75" t="s">
        <v>488</v>
      </c>
      <c r="AX24" s="21"/>
      <c r="AY24" s="78" t="s">
        <v>717</v>
      </c>
      <c r="AZ24" s="137" t="s">
        <v>702</v>
      </c>
    </row>
    <row r="25" spans="1:52" s="46" customFormat="1" hidden="1">
      <c r="A25" s="20" t="str">
        <f t="shared" si="0"/>
        <v>19-0</v>
      </c>
      <c r="B25" s="21">
        <v>19</v>
      </c>
      <c r="C25" s="22" t="s">
        <v>111</v>
      </c>
      <c r="D25" s="21" t="s">
        <v>452</v>
      </c>
      <c r="E25" s="23">
        <v>0</v>
      </c>
      <c r="F25" s="24" t="s">
        <v>97</v>
      </c>
      <c r="G25" s="25" t="s">
        <v>196</v>
      </c>
      <c r="H25" s="24" t="str">
        <f t="shared" si="1"/>
        <v xml:space="preserve">EPDM Solid; Ø 15 mm × 19 mm; DTSM1500G-N708 </v>
      </c>
      <c r="I25" s="24" t="s">
        <v>197</v>
      </c>
      <c r="J25" s="24" t="s">
        <v>205</v>
      </c>
      <c r="K25" s="24" t="s">
        <v>206</v>
      </c>
      <c r="L25" s="22" t="s">
        <v>200</v>
      </c>
      <c r="M25" s="22" t="s">
        <v>8</v>
      </c>
      <c r="N25" s="26" t="s">
        <v>101</v>
      </c>
      <c r="O25" s="26" t="s">
        <v>101</v>
      </c>
      <c r="P25" s="27" t="s">
        <v>201</v>
      </c>
      <c r="Q25" s="22" t="s">
        <v>8</v>
      </c>
      <c r="R25" s="22" t="s">
        <v>418</v>
      </c>
      <c r="S25" s="21" t="s">
        <v>137</v>
      </c>
      <c r="T25" s="21" t="s">
        <v>8</v>
      </c>
      <c r="U25" s="28" t="s">
        <v>104</v>
      </c>
      <c r="V25" s="28" t="s">
        <v>8</v>
      </c>
      <c r="W25" s="28" t="s">
        <v>175</v>
      </c>
      <c r="X25" s="28" t="s">
        <v>8</v>
      </c>
      <c r="Y25" s="28" t="s">
        <v>175</v>
      </c>
      <c r="Z25" s="28" t="s">
        <v>8</v>
      </c>
      <c r="AA25" s="21" t="s">
        <v>8</v>
      </c>
      <c r="AB25" s="21" t="s">
        <v>8</v>
      </c>
      <c r="AC25" s="28" t="s">
        <v>175</v>
      </c>
      <c r="AD25" s="28" t="s">
        <v>8</v>
      </c>
      <c r="AE25" s="21" t="s">
        <v>255</v>
      </c>
      <c r="AF25" s="21" t="s">
        <v>8</v>
      </c>
      <c r="AG25" s="21" t="s">
        <v>269</v>
      </c>
      <c r="AH25" s="21" t="s">
        <v>8</v>
      </c>
      <c r="AI25" s="21"/>
      <c r="AJ25" s="28" t="s">
        <v>207</v>
      </c>
      <c r="AK25" s="21" t="s">
        <v>8</v>
      </c>
      <c r="AL25" s="21" t="s">
        <v>8</v>
      </c>
      <c r="AM25" s="21" t="s">
        <v>8</v>
      </c>
      <c r="AN25" s="21" t="s">
        <v>378</v>
      </c>
      <c r="AO25" s="29" t="s">
        <v>285</v>
      </c>
      <c r="AP25" s="29" t="s">
        <v>285</v>
      </c>
      <c r="AQ25" s="28" t="s">
        <v>208</v>
      </c>
      <c r="AR25" s="28" t="s">
        <v>209</v>
      </c>
      <c r="AS25" s="21" t="s">
        <v>8</v>
      </c>
      <c r="AT25" s="21" t="s">
        <v>8</v>
      </c>
      <c r="AU25" s="28" t="s">
        <v>169</v>
      </c>
      <c r="AV25" s="28" t="s">
        <v>291</v>
      </c>
      <c r="AW25" s="75" t="s">
        <v>489</v>
      </c>
      <c r="AX25" s="21"/>
      <c r="AY25" s="79"/>
      <c r="AZ25" s="137" t="s">
        <v>699</v>
      </c>
    </row>
    <row r="26" spans="1:52" s="46" customFormat="1" hidden="1">
      <c r="A26" s="20" t="str">
        <f t="shared" si="0"/>
        <v>20-0</v>
      </c>
      <c r="B26" s="21">
        <v>20</v>
      </c>
      <c r="C26" s="22" t="s">
        <v>111</v>
      </c>
      <c r="D26" s="21" t="s">
        <v>453</v>
      </c>
      <c r="E26" s="23">
        <v>0</v>
      </c>
      <c r="F26" s="24" t="s">
        <v>123</v>
      </c>
      <c r="G26" s="25" t="s">
        <v>196</v>
      </c>
      <c r="H26" s="24" t="str">
        <f t="shared" si="1"/>
        <v xml:space="preserve">EPDM Solid; Ø 15.5 mm × 19.5 mm; TSM1500G-N708 </v>
      </c>
      <c r="I26" s="24" t="s">
        <v>197</v>
      </c>
      <c r="J26" s="24" t="s">
        <v>198</v>
      </c>
      <c r="K26" s="24" t="s">
        <v>199</v>
      </c>
      <c r="L26" s="22" t="s">
        <v>200</v>
      </c>
      <c r="M26" s="22" t="s">
        <v>8</v>
      </c>
      <c r="N26" s="26" t="s">
        <v>101</v>
      </c>
      <c r="O26" s="26" t="s">
        <v>8</v>
      </c>
      <c r="P26" s="27" t="s">
        <v>201</v>
      </c>
      <c r="Q26" s="22" t="s">
        <v>8</v>
      </c>
      <c r="R26" s="22" t="s">
        <v>419</v>
      </c>
      <c r="S26" s="21" t="s">
        <v>137</v>
      </c>
      <c r="T26" s="21" t="s">
        <v>8</v>
      </c>
      <c r="U26" s="28" t="s">
        <v>104</v>
      </c>
      <c r="V26" s="28" t="s">
        <v>8</v>
      </c>
      <c r="W26" s="28" t="s">
        <v>175</v>
      </c>
      <c r="X26" s="28" t="s">
        <v>8</v>
      </c>
      <c r="Y26" s="28" t="s">
        <v>175</v>
      </c>
      <c r="Z26" s="28" t="s">
        <v>8</v>
      </c>
      <c r="AA26" s="21" t="s">
        <v>8</v>
      </c>
      <c r="AB26" s="21" t="s">
        <v>8</v>
      </c>
      <c r="AC26" s="28" t="s">
        <v>175</v>
      </c>
      <c r="AD26" s="28" t="s">
        <v>8</v>
      </c>
      <c r="AE26" s="21" t="s">
        <v>255</v>
      </c>
      <c r="AF26" s="21" t="s">
        <v>8</v>
      </c>
      <c r="AG26" s="21" t="s">
        <v>269</v>
      </c>
      <c r="AH26" s="21" t="s">
        <v>8</v>
      </c>
      <c r="AI26" s="21"/>
      <c r="AJ26" s="28" t="s">
        <v>202</v>
      </c>
      <c r="AK26" s="21" t="s">
        <v>8</v>
      </c>
      <c r="AL26" s="21" t="s">
        <v>8</v>
      </c>
      <c r="AM26" s="21" t="s">
        <v>8</v>
      </c>
      <c r="AN26" s="21" t="s">
        <v>378</v>
      </c>
      <c r="AO26" s="29" t="s">
        <v>285</v>
      </c>
      <c r="AP26" s="29" t="s">
        <v>285</v>
      </c>
      <c r="AQ26" s="28" t="s">
        <v>203</v>
      </c>
      <c r="AR26" s="28" t="s">
        <v>204</v>
      </c>
      <c r="AS26" s="21" t="s">
        <v>8</v>
      </c>
      <c r="AT26" s="21" t="s">
        <v>8</v>
      </c>
      <c r="AU26" s="28" t="s">
        <v>169</v>
      </c>
      <c r="AV26" s="28" t="s">
        <v>291</v>
      </c>
      <c r="AW26" s="75" t="s">
        <v>490</v>
      </c>
      <c r="AX26" s="21"/>
      <c r="AY26" s="79"/>
      <c r="AZ26" s="137" t="s">
        <v>699</v>
      </c>
    </row>
    <row r="27" spans="1:52" s="30" customFormat="1" ht="32.25" customHeight="1">
      <c r="A27" s="20" t="str">
        <f t="shared" si="0"/>
        <v>21-0</v>
      </c>
      <c r="B27" s="21">
        <v>21</v>
      </c>
      <c r="C27" s="22" t="s">
        <v>96</v>
      </c>
      <c r="D27" s="21" t="s">
        <v>454</v>
      </c>
      <c r="E27" s="23">
        <v>0</v>
      </c>
      <c r="F27" s="24" t="s">
        <v>123</v>
      </c>
      <c r="G27" s="25" t="s">
        <v>293</v>
      </c>
      <c r="H27" s="24" t="str">
        <f t="shared" si="1"/>
        <v xml:space="preserve">Hose, Ventilation; Ø 15 mm × 22 mm; TSM1670G-1B </v>
      </c>
      <c r="I27" s="24" t="s">
        <v>153</v>
      </c>
      <c r="J27" s="24" t="s">
        <v>170</v>
      </c>
      <c r="K27" s="24" t="s">
        <v>171</v>
      </c>
      <c r="L27" s="22" t="s">
        <v>155</v>
      </c>
      <c r="M27" s="22" t="s">
        <v>127</v>
      </c>
      <c r="N27" s="26" t="s">
        <v>101</v>
      </c>
      <c r="O27" s="26" t="s">
        <v>101</v>
      </c>
      <c r="P27" s="27" t="s">
        <v>172</v>
      </c>
      <c r="Q27" s="28" t="s">
        <v>173</v>
      </c>
      <c r="R27" s="28" t="s">
        <v>174</v>
      </c>
      <c r="S27" s="21" t="s">
        <v>137</v>
      </c>
      <c r="T27" s="21" t="s">
        <v>137</v>
      </c>
      <c r="U27" s="28" t="s">
        <v>104</v>
      </c>
      <c r="V27" s="28" t="s">
        <v>104</v>
      </c>
      <c r="W27" s="28" t="s">
        <v>175</v>
      </c>
      <c r="X27" s="28" t="s">
        <v>175</v>
      </c>
      <c r="Y27" s="28" t="s">
        <v>175</v>
      </c>
      <c r="Z27" s="28" t="s">
        <v>175</v>
      </c>
      <c r="AA27" s="21" t="s">
        <v>8</v>
      </c>
      <c r="AB27" s="21" t="s">
        <v>8</v>
      </c>
      <c r="AC27" s="28" t="s">
        <v>175</v>
      </c>
      <c r="AD27" s="28" t="s">
        <v>175</v>
      </c>
      <c r="AE27" s="21" t="s">
        <v>255</v>
      </c>
      <c r="AF27" s="21" t="s">
        <v>282</v>
      </c>
      <c r="AG27" s="21" t="s">
        <v>270</v>
      </c>
      <c r="AH27" s="21" t="s">
        <v>277</v>
      </c>
      <c r="AI27" s="21"/>
      <c r="AJ27" s="28" t="s">
        <v>176</v>
      </c>
      <c r="AK27" s="21" t="s">
        <v>106</v>
      </c>
      <c r="AL27" s="21" t="s">
        <v>410</v>
      </c>
      <c r="AM27" s="21" t="s">
        <v>62</v>
      </c>
      <c r="AN27" s="21" t="s">
        <v>378</v>
      </c>
      <c r="AO27" s="29" t="s">
        <v>285</v>
      </c>
      <c r="AP27" s="29" t="s">
        <v>285</v>
      </c>
      <c r="AQ27" s="28" t="s">
        <v>105</v>
      </c>
      <c r="AR27" s="28" t="s">
        <v>195</v>
      </c>
      <c r="AS27" s="28" t="s">
        <v>109</v>
      </c>
      <c r="AT27" s="28" t="s">
        <v>290</v>
      </c>
      <c r="AU27" s="28" t="s">
        <v>177</v>
      </c>
      <c r="AV27" s="28" t="s">
        <v>291</v>
      </c>
      <c r="AW27" s="75" t="s">
        <v>491</v>
      </c>
      <c r="AX27" s="21"/>
      <c r="AY27" s="78" t="s">
        <v>722</v>
      </c>
      <c r="AZ27" s="137" t="s">
        <v>699</v>
      </c>
    </row>
    <row r="28" spans="1:52" s="30" customFormat="1">
      <c r="A28" s="20" t="str">
        <f t="shared" si="0"/>
        <v>22-0</v>
      </c>
      <c r="B28" s="21">
        <v>22</v>
      </c>
      <c r="C28" s="22" t="s">
        <v>96</v>
      </c>
      <c r="D28" s="21" t="s">
        <v>455</v>
      </c>
      <c r="E28" s="23">
        <v>0</v>
      </c>
      <c r="F28" s="24" t="s">
        <v>97</v>
      </c>
      <c r="G28" s="25" t="s">
        <v>293</v>
      </c>
      <c r="H28" s="24" t="str">
        <f t="shared" si="1"/>
        <v xml:space="preserve">Hose, Ventilation; Ø 15 mm × 22 mm; DTSM1670G-1 </v>
      </c>
      <c r="I28" s="24" t="s">
        <v>153</v>
      </c>
      <c r="J28" s="24" t="s">
        <v>170</v>
      </c>
      <c r="K28" s="24" t="s">
        <v>193</v>
      </c>
      <c r="L28" s="22" t="s">
        <v>155</v>
      </c>
      <c r="M28" s="22" t="s">
        <v>127</v>
      </c>
      <c r="N28" s="26" t="s">
        <v>101</v>
      </c>
      <c r="O28" s="26" t="s">
        <v>101</v>
      </c>
      <c r="P28" s="27" t="s">
        <v>172</v>
      </c>
      <c r="Q28" s="28" t="s">
        <v>173</v>
      </c>
      <c r="R28" s="28" t="s">
        <v>174</v>
      </c>
      <c r="S28" s="21" t="s">
        <v>137</v>
      </c>
      <c r="T28" s="21" t="s">
        <v>137</v>
      </c>
      <c r="U28" s="28" t="s">
        <v>104</v>
      </c>
      <c r="V28" s="28" t="s">
        <v>104</v>
      </c>
      <c r="W28" s="28" t="s">
        <v>175</v>
      </c>
      <c r="X28" s="28" t="s">
        <v>175</v>
      </c>
      <c r="Y28" s="28" t="s">
        <v>175</v>
      </c>
      <c r="Z28" s="28" t="s">
        <v>175</v>
      </c>
      <c r="AA28" s="21" t="s">
        <v>8</v>
      </c>
      <c r="AB28" s="21" t="s">
        <v>8</v>
      </c>
      <c r="AC28" s="28" t="s">
        <v>175</v>
      </c>
      <c r="AD28" s="28" t="s">
        <v>175</v>
      </c>
      <c r="AE28" s="21" t="s">
        <v>255</v>
      </c>
      <c r="AF28" s="21" t="s">
        <v>282</v>
      </c>
      <c r="AG28" s="21" t="s">
        <v>270</v>
      </c>
      <c r="AH28" s="21" t="s">
        <v>277</v>
      </c>
      <c r="AI28" s="21"/>
      <c r="AJ28" s="28" t="s">
        <v>194</v>
      </c>
      <c r="AK28" s="21" t="s">
        <v>106</v>
      </c>
      <c r="AL28" s="21" t="s">
        <v>410</v>
      </c>
      <c r="AM28" s="21" t="s">
        <v>62</v>
      </c>
      <c r="AN28" s="21" t="s">
        <v>378</v>
      </c>
      <c r="AO28" s="29" t="s">
        <v>285</v>
      </c>
      <c r="AP28" s="29" t="s">
        <v>285</v>
      </c>
      <c r="AQ28" s="28" t="s">
        <v>105</v>
      </c>
      <c r="AR28" s="28" t="s">
        <v>195</v>
      </c>
      <c r="AS28" s="28" t="s">
        <v>109</v>
      </c>
      <c r="AT28" s="28" t="s">
        <v>290</v>
      </c>
      <c r="AU28" s="28" t="s">
        <v>177</v>
      </c>
      <c r="AV28" s="28" t="s">
        <v>291</v>
      </c>
      <c r="AW28" s="75" t="s">
        <v>492</v>
      </c>
      <c r="AX28" s="21"/>
      <c r="AY28" s="78" t="s">
        <v>721</v>
      </c>
      <c r="AZ28" s="137" t="s">
        <v>699</v>
      </c>
    </row>
    <row r="29" spans="1:52" s="46" customFormat="1" hidden="1">
      <c r="A29" s="20" t="str">
        <f t="shared" si="0"/>
        <v>23-0</v>
      </c>
      <c r="B29" s="21">
        <v>23</v>
      </c>
      <c r="C29" s="22" t="s">
        <v>111</v>
      </c>
      <c r="D29" s="21" t="s">
        <v>456</v>
      </c>
      <c r="E29" s="23">
        <v>0</v>
      </c>
      <c r="F29" s="24" t="s">
        <v>97</v>
      </c>
      <c r="G29" s="25" t="s">
        <v>196</v>
      </c>
      <c r="H29" s="24" t="str">
        <f t="shared" si="1"/>
        <v xml:space="preserve">EPDM Solid; Ø 17 mm × 20 mm; DTSM1500G-N708 </v>
      </c>
      <c r="I29" s="24" t="s">
        <v>197</v>
      </c>
      <c r="J29" s="24" t="s">
        <v>216</v>
      </c>
      <c r="K29" s="24" t="s">
        <v>206</v>
      </c>
      <c r="L29" s="22" t="s">
        <v>200</v>
      </c>
      <c r="M29" s="22" t="s">
        <v>8</v>
      </c>
      <c r="N29" s="26" t="s">
        <v>101</v>
      </c>
      <c r="O29" s="26" t="s">
        <v>101</v>
      </c>
      <c r="P29" s="27" t="s">
        <v>201</v>
      </c>
      <c r="Q29" s="22" t="s">
        <v>8</v>
      </c>
      <c r="R29" s="28" t="s">
        <v>217</v>
      </c>
      <c r="S29" s="21" t="s">
        <v>137</v>
      </c>
      <c r="T29" s="21" t="s">
        <v>8</v>
      </c>
      <c r="U29" s="28" t="s">
        <v>103</v>
      </c>
      <c r="V29" s="28" t="s">
        <v>103</v>
      </c>
      <c r="W29" s="28" t="s">
        <v>118</v>
      </c>
      <c r="X29" s="28" t="s">
        <v>118</v>
      </c>
      <c r="Y29" s="28" t="s">
        <v>118</v>
      </c>
      <c r="Z29" s="28" t="s">
        <v>118</v>
      </c>
      <c r="AA29" s="21" t="s">
        <v>8</v>
      </c>
      <c r="AB29" s="21" t="s">
        <v>8</v>
      </c>
      <c r="AC29" s="28" t="s">
        <v>118</v>
      </c>
      <c r="AD29" s="28" t="s">
        <v>118</v>
      </c>
      <c r="AE29" s="21" t="s">
        <v>256</v>
      </c>
      <c r="AF29" s="21" t="s">
        <v>8</v>
      </c>
      <c r="AG29" s="21" t="s">
        <v>271</v>
      </c>
      <c r="AH29" s="21" t="s">
        <v>8</v>
      </c>
      <c r="AI29" s="21"/>
      <c r="AJ29" s="28" t="s">
        <v>218</v>
      </c>
      <c r="AK29" s="21" t="s">
        <v>8</v>
      </c>
      <c r="AL29" s="21" t="s">
        <v>8</v>
      </c>
      <c r="AM29" s="21" t="s">
        <v>8</v>
      </c>
      <c r="AN29" s="21" t="s">
        <v>378</v>
      </c>
      <c r="AO29" s="29" t="s">
        <v>285</v>
      </c>
      <c r="AP29" s="29" t="s">
        <v>285</v>
      </c>
      <c r="AQ29" s="28" t="s">
        <v>219</v>
      </c>
      <c r="AR29" s="28" t="s">
        <v>220</v>
      </c>
      <c r="AS29" s="21" t="s">
        <v>8</v>
      </c>
      <c r="AT29" s="21" t="s">
        <v>8</v>
      </c>
      <c r="AU29" s="28" t="s">
        <v>132</v>
      </c>
      <c r="AV29" s="28" t="s">
        <v>291</v>
      </c>
      <c r="AW29" s="75" t="s">
        <v>493</v>
      </c>
      <c r="AX29" s="21"/>
      <c r="AY29" s="79"/>
      <c r="AZ29" s="137" t="s">
        <v>699</v>
      </c>
    </row>
    <row r="30" spans="1:52" s="30" customFormat="1">
      <c r="A30" s="20" t="str">
        <f t="shared" si="0"/>
        <v>24-0</v>
      </c>
      <c r="B30" s="21">
        <v>24</v>
      </c>
      <c r="C30" s="22" t="s">
        <v>96</v>
      </c>
      <c r="D30" s="21" t="s">
        <v>457</v>
      </c>
      <c r="E30" s="23">
        <v>0</v>
      </c>
      <c r="F30" s="24" t="s">
        <v>123</v>
      </c>
      <c r="G30" s="25" t="s">
        <v>196</v>
      </c>
      <c r="H30" s="24" t="str">
        <f t="shared" si="1"/>
        <v xml:space="preserve">Hose, Air; Ø 18 mm × 25 mm; TSM1671G-1A </v>
      </c>
      <c r="I30" s="24" t="s">
        <v>178</v>
      </c>
      <c r="J30" s="24" t="s">
        <v>179</v>
      </c>
      <c r="K30" s="24" t="s">
        <v>29</v>
      </c>
      <c r="L30" s="22" t="s">
        <v>155</v>
      </c>
      <c r="M30" s="22" t="s">
        <v>127</v>
      </c>
      <c r="N30" s="26" t="s">
        <v>101</v>
      </c>
      <c r="O30" s="26" t="s">
        <v>101</v>
      </c>
      <c r="P30" s="27" t="s">
        <v>180</v>
      </c>
      <c r="Q30" s="22" t="s">
        <v>420</v>
      </c>
      <c r="R30" s="28" t="s">
        <v>181</v>
      </c>
      <c r="S30" s="21" t="s">
        <v>182</v>
      </c>
      <c r="T30" s="21" t="s">
        <v>182</v>
      </c>
      <c r="U30" s="28" t="s">
        <v>104</v>
      </c>
      <c r="V30" s="28" t="s">
        <v>104</v>
      </c>
      <c r="W30" s="28" t="s">
        <v>118</v>
      </c>
      <c r="X30" s="28" t="s">
        <v>118</v>
      </c>
      <c r="Y30" s="28" t="s">
        <v>118</v>
      </c>
      <c r="Z30" s="28" t="s">
        <v>118</v>
      </c>
      <c r="AA30" s="21" t="s">
        <v>8</v>
      </c>
      <c r="AB30" s="21" t="s">
        <v>8</v>
      </c>
      <c r="AC30" s="28" t="s">
        <v>118</v>
      </c>
      <c r="AD30" s="28" t="s">
        <v>118</v>
      </c>
      <c r="AE30" s="21" t="s">
        <v>248</v>
      </c>
      <c r="AF30" s="21" t="s">
        <v>260</v>
      </c>
      <c r="AG30" s="21" t="s">
        <v>262</v>
      </c>
      <c r="AH30" s="21" t="s">
        <v>275</v>
      </c>
      <c r="AI30" s="21"/>
      <c r="AJ30" s="28" t="s">
        <v>183</v>
      </c>
      <c r="AK30" s="21" t="s">
        <v>106</v>
      </c>
      <c r="AL30" s="21" t="s">
        <v>410</v>
      </c>
      <c r="AM30" s="21" t="s">
        <v>62</v>
      </c>
      <c r="AN30" s="21" t="s">
        <v>378</v>
      </c>
      <c r="AO30" s="29" t="s">
        <v>285</v>
      </c>
      <c r="AP30" s="29" t="s">
        <v>285</v>
      </c>
      <c r="AQ30" s="28" t="s">
        <v>184</v>
      </c>
      <c r="AR30" s="28" t="s">
        <v>185</v>
      </c>
      <c r="AS30" s="28" t="s">
        <v>186</v>
      </c>
      <c r="AT30" s="28" t="s">
        <v>292</v>
      </c>
      <c r="AU30" s="28" t="s">
        <v>110</v>
      </c>
      <c r="AV30" s="28" t="s">
        <v>291</v>
      </c>
      <c r="AW30" s="75" t="s">
        <v>494</v>
      </c>
      <c r="AX30" s="21"/>
      <c r="AY30" s="78" t="s">
        <v>715</v>
      </c>
      <c r="AZ30" s="137" t="s">
        <v>699</v>
      </c>
    </row>
    <row r="31" spans="1:52" s="46" customFormat="1" hidden="1">
      <c r="A31" s="20" t="str">
        <f t="shared" si="0"/>
        <v>25-0</v>
      </c>
      <c r="B31" s="21">
        <v>25</v>
      </c>
      <c r="C31" s="22" t="s">
        <v>111</v>
      </c>
      <c r="D31" s="21" t="s">
        <v>458</v>
      </c>
      <c r="E31" s="23">
        <v>0</v>
      </c>
      <c r="F31" s="24" t="s">
        <v>97</v>
      </c>
      <c r="G31" s="25" t="s">
        <v>196</v>
      </c>
      <c r="H31" s="24" t="str">
        <f t="shared" si="1"/>
        <v xml:space="preserve">EPDM Solid; Ø 23 mm × 27 mm; DTSM1500G-N708 </v>
      </c>
      <c r="I31" s="24" t="s">
        <v>197</v>
      </c>
      <c r="J31" s="24" t="s">
        <v>210</v>
      </c>
      <c r="K31" s="24" t="s">
        <v>206</v>
      </c>
      <c r="L31" s="22" t="s">
        <v>200</v>
      </c>
      <c r="M31" s="22" t="s">
        <v>8</v>
      </c>
      <c r="N31" s="26" t="s">
        <v>101</v>
      </c>
      <c r="O31" s="26" t="s">
        <v>101</v>
      </c>
      <c r="P31" s="27" t="s">
        <v>211</v>
      </c>
      <c r="Q31" s="22" t="s">
        <v>8</v>
      </c>
      <c r="R31" s="28" t="s">
        <v>212</v>
      </c>
      <c r="S31" s="21" t="s">
        <v>137</v>
      </c>
      <c r="T31" s="21" t="s">
        <v>8</v>
      </c>
      <c r="U31" s="28" t="s">
        <v>104</v>
      </c>
      <c r="V31" s="28" t="s">
        <v>8</v>
      </c>
      <c r="W31" s="28" t="s">
        <v>175</v>
      </c>
      <c r="X31" s="28" t="s">
        <v>8</v>
      </c>
      <c r="Y31" s="28" t="s">
        <v>175</v>
      </c>
      <c r="Z31" s="28" t="s">
        <v>8</v>
      </c>
      <c r="AA31" s="21" t="s">
        <v>8</v>
      </c>
      <c r="AB31" s="21" t="s">
        <v>8</v>
      </c>
      <c r="AC31" s="28" t="s">
        <v>175</v>
      </c>
      <c r="AD31" s="28" t="s">
        <v>8</v>
      </c>
      <c r="AE31" s="21" t="s">
        <v>257</v>
      </c>
      <c r="AF31" s="21" t="s">
        <v>8</v>
      </c>
      <c r="AG31" s="21" t="s">
        <v>272</v>
      </c>
      <c r="AH31" s="21" t="s">
        <v>8</v>
      </c>
      <c r="AI31" s="21"/>
      <c r="AJ31" s="28" t="s">
        <v>213</v>
      </c>
      <c r="AK31" s="21" t="s">
        <v>8</v>
      </c>
      <c r="AL31" s="21" t="s">
        <v>8</v>
      </c>
      <c r="AM31" s="21" t="s">
        <v>8</v>
      </c>
      <c r="AN31" s="21" t="s">
        <v>378</v>
      </c>
      <c r="AO31" s="29" t="s">
        <v>285</v>
      </c>
      <c r="AP31" s="29" t="s">
        <v>285</v>
      </c>
      <c r="AQ31" s="28" t="s">
        <v>214</v>
      </c>
      <c r="AR31" s="28" t="s">
        <v>215</v>
      </c>
      <c r="AS31" s="21" t="s">
        <v>8</v>
      </c>
      <c r="AT31" s="21" t="s">
        <v>8</v>
      </c>
      <c r="AU31" s="28" t="s">
        <v>169</v>
      </c>
      <c r="AV31" s="28" t="s">
        <v>291</v>
      </c>
      <c r="AW31" s="75" t="s">
        <v>495</v>
      </c>
      <c r="AX31" s="21"/>
      <c r="AY31" s="79"/>
      <c r="AZ31" s="137" t="s">
        <v>699</v>
      </c>
    </row>
    <row r="32" spans="1:52" s="30" customFormat="1">
      <c r="A32" s="20" t="str">
        <f t="shared" si="0"/>
        <v>26-0</v>
      </c>
      <c r="B32" s="21">
        <v>26</v>
      </c>
      <c r="C32" s="22" t="s">
        <v>96</v>
      </c>
      <c r="D32" s="21" t="s">
        <v>459</v>
      </c>
      <c r="E32" s="23">
        <v>0</v>
      </c>
      <c r="F32" s="24" t="s">
        <v>123</v>
      </c>
      <c r="G32" s="25" t="s">
        <v>196</v>
      </c>
      <c r="H32" s="24" t="str">
        <f t="shared" si="1"/>
        <v xml:space="preserve">Hose, Air; Ø 24.5 mm × 31.5 mm; TSM1671G-1A </v>
      </c>
      <c r="I32" s="24" t="s">
        <v>178</v>
      </c>
      <c r="J32" s="24" t="s">
        <v>192</v>
      </c>
      <c r="K32" s="24" t="s">
        <v>29</v>
      </c>
      <c r="L32" s="22" t="s">
        <v>155</v>
      </c>
      <c r="M32" s="22" t="s">
        <v>127</v>
      </c>
      <c r="N32" s="26" t="s">
        <v>101</v>
      </c>
      <c r="O32" s="26" t="s">
        <v>101</v>
      </c>
      <c r="P32" s="27" t="s">
        <v>187</v>
      </c>
      <c r="Q32" s="22" t="s">
        <v>421</v>
      </c>
      <c r="R32" s="28" t="s">
        <v>188</v>
      </c>
      <c r="S32" s="21" t="s">
        <v>182</v>
      </c>
      <c r="T32" s="21" t="s">
        <v>182</v>
      </c>
      <c r="U32" s="28" t="s">
        <v>103</v>
      </c>
      <c r="V32" s="28" t="s">
        <v>103</v>
      </c>
      <c r="W32" s="28" t="s">
        <v>118</v>
      </c>
      <c r="X32" s="28" t="s">
        <v>118</v>
      </c>
      <c r="Y32" s="28" t="s">
        <v>118</v>
      </c>
      <c r="Z32" s="28" t="s">
        <v>118</v>
      </c>
      <c r="AA32" s="21" t="s">
        <v>8</v>
      </c>
      <c r="AB32" s="21" t="s">
        <v>8</v>
      </c>
      <c r="AC32" s="28" t="s">
        <v>118</v>
      </c>
      <c r="AD32" s="28" t="s">
        <v>118</v>
      </c>
      <c r="AE32" s="21" t="s">
        <v>248</v>
      </c>
      <c r="AF32" s="21" t="s">
        <v>260</v>
      </c>
      <c r="AG32" s="21" t="s">
        <v>262</v>
      </c>
      <c r="AH32" s="21" t="s">
        <v>275</v>
      </c>
      <c r="AI32" s="21"/>
      <c r="AJ32" s="28" t="s">
        <v>189</v>
      </c>
      <c r="AK32" s="21" t="s">
        <v>106</v>
      </c>
      <c r="AL32" s="21" t="s">
        <v>410</v>
      </c>
      <c r="AM32" s="21" t="s">
        <v>62</v>
      </c>
      <c r="AN32" s="21" t="s">
        <v>378</v>
      </c>
      <c r="AO32" s="29" t="s">
        <v>285</v>
      </c>
      <c r="AP32" s="29" t="s">
        <v>285</v>
      </c>
      <c r="AQ32" s="28" t="s">
        <v>190</v>
      </c>
      <c r="AR32" s="28" t="s">
        <v>191</v>
      </c>
      <c r="AS32" s="28" t="s">
        <v>147</v>
      </c>
      <c r="AT32" s="28" t="s">
        <v>291</v>
      </c>
      <c r="AU32" s="28" t="s">
        <v>158</v>
      </c>
      <c r="AV32" s="28" t="s">
        <v>291</v>
      </c>
      <c r="AW32" s="75" t="s">
        <v>496</v>
      </c>
      <c r="AX32" s="21"/>
      <c r="AY32" s="78" t="s">
        <v>716</v>
      </c>
      <c r="AZ32" s="137" t="s">
        <v>699</v>
      </c>
    </row>
    <row r="33" spans="1:52" s="30" customFormat="1">
      <c r="A33" s="20" t="str">
        <f t="shared" si="0"/>
        <v>27-0</v>
      </c>
      <c r="B33" s="21">
        <v>27</v>
      </c>
      <c r="C33" s="22" t="s">
        <v>111</v>
      </c>
      <c r="D33" s="21" t="s">
        <v>460</v>
      </c>
      <c r="E33" s="23">
        <v>0</v>
      </c>
      <c r="F33" s="24" t="s">
        <v>97</v>
      </c>
      <c r="G33" s="25" t="s">
        <v>196</v>
      </c>
      <c r="H33" s="24" t="str">
        <f t="shared" si="1"/>
        <v xml:space="preserve">Hose, Fuel Tank; Ø 34 mm × 42 mm; DTSM1647G-1C </v>
      </c>
      <c r="I33" s="24" t="s">
        <v>221</v>
      </c>
      <c r="J33" s="24" t="s">
        <v>222</v>
      </c>
      <c r="K33" s="24" t="s">
        <v>223</v>
      </c>
      <c r="L33" s="22" t="s">
        <v>235</v>
      </c>
      <c r="M33" s="22" t="s">
        <v>8</v>
      </c>
      <c r="N33" s="26" t="s">
        <v>101</v>
      </c>
      <c r="O33" s="26" t="s">
        <v>101</v>
      </c>
      <c r="P33" s="27" t="s">
        <v>224</v>
      </c>
      <c r="Q33" s="22" t="s">
        <v>8</v>
      </c>
      <c r="R33" s="28" t="s">
        <v>225</v>
      </c>
      <c r="S33" s="21" t="s">
        <v>137</v>
      </c>
      <c r="T33" s="21" t="s">
        <v>8</v>
      </c>
      <c r="U33" s="28" t="s">
        <v>103</v>
      </c>
      <c r="V33" s="28" t="s">
        <v>8</v>
      </c>
      <c r="W33" s="28" t="s">
        <v>118</v>
      </c>
      <c r="X33" s="28" t="s">
        <v>8</v>
      </c>
      <c r="Y33" s="28" t="s">
        <v>118</v>
      </c>
      <c r="Z33" s="28" t="s">
        <v>8</v>
      </c>
      <c r="AA33" s="21" t="s">
        <v>8</v>
      </c>
      <c r="AB33" s="21" t="s">
        <v>8</v>
      </c>
      <c r="AC33" s="28" t="s">
        <v>118</v>
      </c>
      <c r="AD33" s="28" t="s">
        <v>8</v>
      </c>
      <c r="AE33" s="21" t="s">
        <v>258</v>
      </c>
      <c r="AF33" s="21" t="s">
        <v>8</v>
      </c>
      <c r="AG33" s="21" t="s">
        <v>273</v>
      </c>
      <c r="AH33" s="21" t="s">
        <v>8</v>
      </c>
      <c r="AI33" s="21"/>
      <c r="AJ33" s="28" t="s">
        <v>226</v>
      </c>
      <c r="AK33" s="21" t="s">
        <v>106</v>
      </c>
      <c r="AL33" s="21" t="s">
        <v>227</v>
      </c>
      <c r="AM33" s="21" t="s">
        <v>228</v>
      </c>
      <c r="AN33" s="21" t="s">
        <v>378</v>
      </c>
      <c r="AO33" s="29" t="s">
        <v>286</v>
      </c>
      <c r="AP33" s="29" t="s">
        <v>287</v>
      </c>
      <c r="AQ33" s="28" t="s">
        <v>229</v>
      </c>
      <c r="AR33" s="28" t="s">
        <v>230</v>
      </c>
      <c r="AS33" s="21" t="s">
        <v>8</v>
      </c>
      <c r="AT33" s="21" t="s">
        <v>8</v>
      </c>
      <c r="AU33" s="28" t="s">
        <v>122</v>
      </c>
      <c r="AV33" s="28" t="s">
        <v>291</v>
      </c>
      <c r="AW33" s="75" t="s">
        <v>497</v>
      </c>
      <c r="AX33" s="21"/>
      <c r="AY33" s="78" t="s">
        <v>664</v>
      </c>
      <c r="AZ33" s="137" t="s">
        <v>699</v>
      </c>
    </row>
    <row r="34" spans="1:52" s="30" customFormat="1">
      <c r="A34" s="20" t="str">
        <f t="shared" si="0"/>
        <v>28-0</v>
      </c>
      <c r="B34" s="21">
        <v>28</v>
      </c>
      <c r="C34" s="22" t="s">
        <v>111</v>
      </c>
      <c r="D34" s="21" t="s">
        <v>461</v>
      </c>
      <c r="E34" s="23">
        <v>0</v>
      </c>
      <c r="F34" s="24" t="s">
        <v>97</v>
      </c>
      <c r="G34" s="25" t="s">
        <v>196</v>
      </c>
      <c r="H34" s="24" t="str">
        <f t="shared" si="1"/>
        <v xml:space="preserve">Hose, Fuel Tank; Ø 34 mm × 42 mm; DTSE7351G-1 </v>
      </c>
      <c r="I34" s="24" t="s">
        <v>221</v>
      </c>
      <c r="J34" s="24" t="s">
        <v>222</v>
      </c>
      <c r="K34" s="31" t="s">
        <v>243</v>
      </c>
      <c r="L34" s="22" t="s">
        <v>235</v>
      </c>
      <c r="M34" s="22" t="s">
        <v>8</v>
      </c>
      <c r="N34" s="26" t="s">
        <v>101</v>
      </c>
      <c r="O34" s="26" t="s">
        <v>101</v>
      </c>
      <c r="P34" s="27" t="s">
        <v>244</v>
      </c>
      <c r="Q34" s="22" t="s">
        <v>8</v>
      </c>
      <c r="R34" s="28" t="s">
        <v>245</v>
      </c>
      <c r="S34" s="21" t="s">
        <v>137</v>
      </c>
      <c r="T34" s="21" t="s">
        <v>8</v>
      </c>
      <c r="U34" s="28" t="s">
        <v>103</v>
      </c>
      <c r="V34" s="21" t="s">
        <v>8</v>
      </c>
      <c r="W34" s="28" t="s">
        <v>118</v>
      </c>
      <c r="X34" s="21" t="s">
        <v>8</v>
      </c>
      <c r="Y34" s="28" t="s">
        <v>118</v>
      </c>
      <c r="Z34" s="21" t="s">
        <v>8</v>
      </c>
      <c r="AA34" s="21" t="s">
        <v>8</v>
      </c>
      <c r="AB34" s="21" t="s">
        <v>8</v>
      </c>
      <c r="AC34" s="28" t="s">
        <v>118</v>
      </c>
      <c r="AD34" s="21" t="s">
        <v>8</v>
      </c>
      <c r="AE34" s="21" t="s">
        <v>259</v>
      </c>
      <c r="AF34" s="21" t="s">
        <v>8</v>
      </c>
      <c r="AG34" s="21" t="s">
        <v>274</v>
      </c>
      <c r="AH34" s="21" t="s">
        <v>8</v>
      </c>
      <c r="AI34" s="21"/>
      <c r="AJ34" s="28" t="s">
        <v>246</v>
      </c>
      <c r="AK34" s="21" t="s">
        <v>106</v>
      </c>
      <c r="AL34" s="21" t="s">
        <v>227</v>
      </c>
      <c r="AM34" s="21" t="s">
        <v>228</v>
      </c>
      <c r="AN34" s="21" t="s">
        <v>378</v>
      </c>
      <c r="AO34" s="29" t="s">
        <v>288</v>
      </c>
      <c r="AP34" s="29" t="s">
        <v>289</v>
      </c>
      <c r="AQ34" s="28" t="s">
        <v>229</v>
      </c>
      <c r="AR34" s="28" t="s">
        <v>230</v>
      </c>
      <c r="AS34" s="21" t="s">
        <v>8</v>
      </c>
      <c r="AT34" s="21" t="s">
        <v>8</v>
      </c>
      <c r="AU34" s="28" t="s">
        <v>122</v>
      </c>
      <c r="AV34" s="28" t="s">
        <v>291</v>
      </c>
      <c r="AW34" s="75" t="s">
        <v>498</v>
      </c>
      <c r="AX34" s="21"/>
      <c r="AY34" s="78" t="s">
        <v>703</v>
      </c>
      <c r="AZ34" s="137" t="s">
        <v>699</v>
      </c>
    </row>
    <row r="35" spans="1:52" s="30" customFormat="1">
      <c r="A35" s="20" t="str">
        <f t="shared" si="0"/>
        <v>29-0</v>
      </c>
      <c r="B35" s="21">
        <v>29</v>
      </c>
      <c r="C35" s="22" t="s">
        <v>111</v>
      </c>
      <c r="D35" s="21" t="s">
        <v>462</v>
      </c>
      <c r="E35" s="23">
        <v>0</v>
      </c>
      <c r="F35" s="24" t="s">
        <v>300</v>
      </c>
      <c r="G35" s="25" t="s">
        <v>301</v>
      </c>
      <c r="H35" s="24" t="str">
        <f t="shared" si="1"/>
        <v xml:space="preserve">Hose, Vacuum; Ø 7.5 mm × 14.5 mm; - </v>
      </c>
      <c r="I35" s="24" t="s">
        <v>165</v>
      </c>
      <c r="J35" s="24" t="s">
        <v>302</v>
      </c>
      <c r="K35" s="31" t="s">
        <v>8</v>
      </c>
      <c r="L35" s="22" t="s">
        <v>303</v>
      </c>
      <c r="M35" s="22" t="s">
        <v>8</v>
      </c>
      <c r="N35" s="26" t="s">
        <v>101</v>
      </c>
      <c r="O35" s="26" t="s">
        <v>8</v>
      </c>
      <c r="P35" s="27" t="s">
        <v>304</v>
      </c>
      <c r="Q35" s="22" t="s">
        <v>8</v>
      </c>
      <c r="R35" s="28" t="s">
        <v>305</v>
      </c>
      <c r="S35" s="21" t="s">
        <v>137</v>
      </c>
      <c r="T35" s="21" t="s">
        <v>8</v>
      </c>
      <c r="U35" s="28" t="s">
        <v>138</v>
      </c>
      <c r="V35" s="21" t="s">
        <v>8</v>
      </c>
      <c r="W35" s="28" t="s">
        <v>145</v>
      </c>
      <c r="X35" s="21" t="s">
        <v>8</v>
      </c>
      <c r="Y35" s="28" t="s">
        <v>145</v>
      </c>
      <c r="Z35" s="21" t="s">
        <v>8</v>
      </c>
      <c r="AA35" s="21" t="s">
        <v>8</v>
      </c>
      <c r="AB35" s="21" t="s">
        <v>8</v>
      </c>
      <c r="AC35" s="28" t="s">
        <v>145</v>
      </c>
      <c r="AD35" s="21" t="s">
        <v>8</v>
      </c>
      <c r="AE35" s="21" t="s">
        <v>306</v>
      </c>
      <c r="AF35" s="21" t="s">
        <v>8</v>
      </c>
      <c r="AG35" s="21" t="s">
        <v>307</v>
      </c>
      <c r="AH35" s="21" t="s">
        <v>8</v>
      </c>
      <c r="AI35" s="21"/>
      <c r="AJ35" s="28" t="s">
        <v>308</v>
      </c>
      <c r="AK35" s="21" t="s">
        <v>106</v>
      </c>
      <c r="AL35" s="21" t="s">
        <v>309</v>
      </c>
      <c r="AM35" s="21" t="s">
        <v>228</v>
      </c>
      <c r="AN35" s="21" t="s">
        <v>378</v>
      </c>
      <c r="AO35" s="29" t="s">
        <v>310</v>
      </c>
      <c r="AP35" s="29" t="s">
        <v>310</v>
      </c>
      <c r="AQ35" s="28" t="s">
        <v>311</v>
      </c>
      <c r="AR35" s="28" t="s">
        <v>312</v>
      </c>
      <c r="AS35" s="21" t="s">
        <v>8</v>
      </c>
      <c r="AT35" s="21" t="s">
        <v>8</v>
      </c>
      <c r="AU35" s="28" t="s">
        <v>110</v>
      </c>
      <c r="AV35" s="28" t="s">
        <v>291</v>
      </c>
      <c r="AW35" s="75" t="s">
        <v>499</v>
      </c>
      <c r="AX35" s="21"/>
      <c r="AY35" s="78" t="s">
        <v>720</v>
      </c>
      <c r="AZ35" s="137" t="s">
        <v>698</v>
      </c>
    </row>
    <row r="36" spans="1:52" s="30" customFormat="1">
      <c r="A36" s="20" t="str">
        <f t="shared" si="0"/>
        <v>30-0</v>
      </c>
      <c r="B36" s="21">
        <v>30</v>
      </c>
      <c r="C36" s="22" t="s">
        <v>111</v>
      </c>
      <c r="D36" s="21" t="s">
        <v>463</v>
      </c>
      <c r="E36" s="23">
        <v>0</v>
      </c>
      <c r="F36" s="24" t="s">
        <v>313</v>
      </c>
      <c r="G36" s="25" t="s">
        <v>314</v>
      </c>
      <c r="H36" s="20" t="str">
        <f t="shared" si="1"/>
        <v xml:space="preserve">Hose, Fuel Tank; Ø 34 mm × 44 mm; TSM1647G-1C </v>
      </c>
      <c r="I36" s="20" t="s">
        <v>221</v>
      </c>
      <c r="J36" s="24" t="s">
        <v>337</v>
      </c>
      <c r="K36" s="52" t="s">
        <v>315</v>
      </c>
      <c r="L36" s="72" t="s">
        <v>316</v>
      </c>
      <c r="M36" s="72" t="s">
        <v>8</v>
      </c>
      <c r="N36" s="59" t="s">
        <v>101</v>
      </c>
      <c r="O36" s="59" t="s">
        <v>8</v>
      </c>
      <c r="P36" s="60" t="s">
        <v>244</v>
      </c>
      <c r="Q36" s="72" t="s">
        <v>8</v>
      </c>
      <c r="R36" s="61" t="s">
        <v>317</v>
      </c>
      <c r="S36" s="53" t="s">
        <v>137</v>
      </c>
      <c r="T36" s="53" t="s">
        <v>8</v>
      </c>
      <c r="U36" s="61" t="s">
        <v>145</v>
      </c>
      <c r="V36" s="53" t="s">
        <v>8</v>
      </c>
      <c r="W36" s="61" t="s">
        <v>103</v>
      </c>
      <c r="X36" s="53" t="s">
        <v>8</v>
      </c>
      <c r="Y36" s="61" t="s">
        <v>103</v>
      </c>
      <c r="Z36" s="53" t="s">
        <v>8</v>
      </c>
      <c r="AA36" s="53" t="s">
        <v>8</v>
      </c>
      <c r="AB36" s="53" t="s">
        <v>8</v>
      </c>
      <c r="AC36" s="61" t="s">
        <v>103</v>
      </c>
      <c r="AD36" s="53" t="s">
        <v>8</v>
      </c>
      <c r="AE36" s="53" t="s">
        <v>318</v>
      </c>
      <c r="AF36" s="53" t="s">
        <v>8</v>
      </c>
      <c r="AG36" s="53" t="s">
        <v>319</v>
      </c>
      <c r="AH36" s="53" t="s">
        <v>8</v>
      </c>
      <c r="AI36" s="73">
        <v>0.5</v>
      </c>
      <c r="AJ36" s="61" t="s">
        <v>320</v>
      </c>
      <c r="AK36" s="53" t="s">
        <v>106</v>
      </c>
      <c r="AL36" s="53" t="s">
        <v>325</v>
      </c>
      <c r="AM36" s="53" t="s">
        <v>321</v>
      </c>
      <c r="AN36" s="53" t="s">
        <v>378</v>
      </c>
      <c r="AO36" s="62" t="s">
        <v>286</v>
      </c>
      <c r="AP36" s="62" t="s">
        <v>322</v>
      </c>
      <c r="AQ36" s="61" t="s">
        <v>323</v>
      </c>
      <c r="AR36" s="53" t="s">
        <v>8</v>
      </c>
      <c r="AS36" s="53" t="s">
        <v>8</v>
      </c>
      <c r="AT36" s="53" t="s">
        <v>8</v>
      </c>
      <c r="AU36" s="61" t="s">
        <v>324</v>
      </c>
      <c r="AV36" s="61" t="s">
        <v>291</v>
      </c>
      <c r="AW36" s="75" t="s">
        <v>500</v>
      </c>
      <c r="AX36" s="21"/>
      <c r="AY36" s="78" t="s">
        <v>719</v>
      </c>
      <c r="AZ36" s="137" t="s">
        <v>699</v>
      </c>
    </row>
    <row r="37" spans="1:52" s="45" customFormat="1">
      <c r="A37" s="20" t="str">
        <f t="shared" si="0"/>
        <v>30-1</v>
      </c>
      <c r="B37" s="21">
        <v>30</v>
      </c>
      <c r="C37" s="22" t="s">
        <v>111</v>
      </c>
      <c r="D37" s="21" t="s">
        <v>8</v>
      </c>
      <c r="E37" s="23">
        <v>1</v>
      </c>
      <c r="F37" s="24" t="s">
        <v>313</v>
      </c>
      <c r="G37" s="25" t="s">
        <v>375</v>
      </c>
      <c r="H37" s="20" t="str">
        <f t="shared" si="1"/>
        <v xml:space="preserve">Hose, Fuel Tank; Ø 34 mm × 44 mm; TSM1647G-1C </v>
      </c>
      <c r="I37" s="20" t="s">
        <v>221</v>
      </c>
      <c r="J37" s="24" t="s">
        <v>337</v>
      </c>
      <c r="K37" s="20" t="s">
        <v>315</v>
      </c>
      <c r="L37" s="40" t="s">
        <v>235</v>
      </c>
      <c r="M37" s="40" t="s">
        <v>8</v>
      </c>
      <c r="N37" s="41" t="s">
        <v>101</v>
      </c>
      <c r="O37" s="41" t="s">
        <v>8</v>
      </c>
      <c r="P37" s="27" t="s">
        <v>244</v>
      </c>
      <c r="Q37" s="40" t="s">
        <v>8</v>
      </c>
      <c r="R37" s="28" t="s">
        <v>376</v>
      </c>
      <c r="S37" s="21" t="s">
        <v>137</v>
      </c>
      <c r="T37" s="21" t="s">
        <v>8</v>
      </c>
      <c r="U37" s="28" t="s">
        <v>145</v>
      </c>
      <c r="V37" s="21" t="s">
        <v>8</v>
      </c>
      <c r="W37" s="28" t="s">
        <v>103</v>
      </c>
      <c r="X37" s="21" t="s">
        <v>8</v>
      </c>
      <c r="Y37" s="28" t="s">
        <v>103</v>
      </c>
      <c r="Z37" s="21" t="s">
        <v>8</v>
      </c>
      <c r="AA37" s="21" t="s">
        <v>8</v>
      </c>
      <c r="AB37" s="21" t="s">
        <v>8</v>
      </c>
      <c r="AC37" s="28" t="s">
        <v>103</v>
      </c>
      <c r="AD37" s="21" t="s">
        <v>8</v>
      </c>
      <c r="AE37" s="21" t="s">
        <v>318</v>
      </c>
      <c r="AF37" s="21" t="s">
        <v>8</v>
      </c>
      <c r="AG37" s="21" t="s">
        <v>319</v>
      </c>
      <c r="AH37" s="21" t="s">
        <v>8</v>
      </c>
      <c r="AI37" s="33">
        <v>0.5</v>
      </c>
      <c r="AJ37" s="28" t="s">
        <v>320</v>
      </c>
      <c r="AK37" s="21" t="s">
        <v>106</v>
      </c>
      <c r="AL37" s="21" t="s">
        <v>325</v>
      </c>
      <c r="AM37" s="21" t="s">
        <v>321</v>
      </c>
      <c r="AN37" s="21" t="s">
        <v>378</v>
      </c>
      <c r="AO37" s="29" t="s">
        <v>286</v>
      </c>
      <c r="AP37" s="29" t="s">
        <v>322</v>
      </c>
      <c r="AQ37" s="28" t="s">
        <v>323</v>
      </c>
      <c r="AR37" s="21" t="s">
        <v>8</v>
      </c>
      <c r="AS37" s="21" t="s">
        <v>8</v>
      </c>
      <c r="AT37" s="21" t="s">
        <v>8</v>
      </c>
      <c r="AU37" s="28" t="s">
        <v>324</v>
      </c>
      <c r="AV37" s="28" t="s">
        <v>291</v>
      </c>
      <c r="AW37" s="75" t="s">
        <v>8</v>
      </c>
      <c r="AX37" s="21"/>
      <c r="AY37" s="78" t="s">
        <v>664</v>
      </c>
      <c r="AZ37" s="137" t="s">
        <v>699</v>
      </c>
    </row>
    <row r="38" spans="1:52" s="45" customFormat="1">
      <c r="A38" s="20" t="str">
        <f t="shared" si="0"/>
        <v>31-0</v>
      </c>
      <c r="B38" s="34">
        <v>31</v>
      </c>
      <c r="C38" s="22" t="s">
        <v>96</v>
      </c>
      <c r="D38" s="21" t="s">
        <v>464</v>
      </c>
      <c r="E38" s="23">
        <v>0</v>
      </c>
      <c r="F38" s="24" t="s">
        <v>313</v>
      </c>
      <c r="G38" s="25" t="s">
        <v>314</v>
      </c>
      <c r="H38" s="20" t="str">
        <f t="shared" si="1"/>
        <v xml:space="preserve">Hose, Fuel; Ø 7 mm × 12 mm; TSM1651G-2 </v>
      </c>
      <c r="I38" s="30" t="s">
        <v>86</v>
      </c>
      <c r="J38" s="24" t="s">
        <v>148</v>
      </c>
      <c r="K38" s="20" t="s">
        <v>22</v>
      </c>
      <c r="L38" s="40" t="s">
        <v>146</v>
      </c>
      <c r="M38" s="40" t="s">
        <v>127</v>
      </c>
      <c r="N38" s="41" t="s">
        <v>101</v>
      </c>
      <c r="O38" s="41" t="s">
        <v>101</v>
      </c>
      <c r="P38" s="27" t="s">
        <v>102</v>
      </c>
      <c r="Q38" s="22" t="s">
        <v>381</v>
      </c>
      <c r="R38" s="28" t="s">
        <v>149</v>
      </c>
      <c r="S38" s="21" t="s">
        <v>137</v>
      </c>
      <c r="T38" s="21" t="s">
        <v>137</v>
      </c>
      <c r="U38" s="28" t="s">
        <v>104</v>
      </c>
      <c r="V38" s="28" t="s">
        <v>104</v>
      </c>
      <c r="W38" s="28" t="s">
        <v>118</v>
      </c>
      <c r="X38" s="28" t="s">
        <v>118</v>
      </c>
      <c r="Y38" s="28" t="s">
        <v>118</v>
      </c>
      <c r="Z38" s="28" t="s">
        <v>118</v>
      </c>
      <c r="AA38" s="21" t="s">
        <v>8</v>
      </c>
      <c r="AB38" s="21" t="s">
        <v>8</v>
      </c>
      <c r="AC38" s="28" t="s">
        <v>118</v>
      </c>
      <c r="AD38" s="28" t="s">
        <v>118</v>
      </c>
      <c r="AE38" s="21" t="s">
        <v>379</v>
      </c>
      <c r="AF38" s="21" t="s">
        <v>380</v>
      </c>
      <c r="AG38" s="21" t="s">
        <v>262</v>
      </c>
      <c r="AH38" s="21" t="s">
        <v>275</v>
      </c>
      <c r="AI38" s="21"/>
      <c r="AJ38" s="28" t="s">
        <v>150</v>
      </c>
      <c r="AK38" s="21" t="s">
        <v>106</v>
      </c>
      <c r="AL38" s="21" t="s">
        <v>377</v>
      </c>
      <c r="AM38" s="21" t="s">
        <v>62</v>
      </c>
      <c r="AN38" s="21" t="s">
        <v>378</v>
      </c>
      <c r="AO38" s="29" t="s">
        <v>285</v>
      </c>
      <c r="AP38" s="29" t="s">
        <v>285</v>
      </c>
      <c r="AQ38" s="28" t="s">
        <v>107</v>
      </c>
      <c r="AR38" s="28" t="s">
        <v>150</v>
      </c>
      <c r="AS38" s="28" t="s">
        <v>151</v>
      </c>
      <c r="AT38" s="28" t="s">
        <v>290</v>
      </c>
      <c r="AU38" s="28" t="s">
        <v>152</v>
      </c>
      <c r="AV38" s="28" t="s">
        <v>291</v>
      </c>
      <c r="AW38" s="75" t="s">
        <v>501</v>
      </c>
      <c r="AX38" s="21"/>
      <c r="AY38" s="78" t="s">
        <v>711</v>
      </c>
      <c r="AZ38" s="137" t="s">
        <v>698</v>
      </c>
    </row>
    <row r="39" spans="1:52" s="30" customFormat="1">
      <c r="A39" s="20" t="str">
        <f t="shared" si="0"/>
        <v>32-0</v>
      </c>
      <c r="B39" s="34">
        <v>32</v>
      </c>
      <c r="C39" s="22" t="s">
        <v>96</v>
      </c>
      <c r="D39" s="21" t="s">
        <v>465</v>
      </c>
      <c r="E39" s="23">
        <v>0</v>
      </c>
      <c r="F39" s="24" t="s">
        <v>313</v>
      </c>
      <c r="G39" s="25" t="s">
        <v>314</v>
      </c>
      <c r="H39" s="20" t="str">
        <f t="shared" si="1"/>
        <v xml:space="preserve">Hose, Fuel; Ø 9 mm × 14 mm; TSM1651G-2 </v>
      </c>
      <c r="I39" s="30" t="s">
        <v>86</v>
      </c>
      <c r="J39" s="24" t="s">
        <v>326</v>
      </c>
      <c r="K39" s="20" t="s">
        <v>22</v>
      </c>
      <c r="L39" s="40" t="s">
        <v>146</v>
      </c>
      <c r="M39" s="40" t="s">
        <v>127</v>
      </c>
      <c r="N39" s="41" t="s">
        <v>101</v>
      </c>
      <c r="O39" s="41" t="s">
        <v>101</v>
      </c>
      <c r="P39" s="42" t="s">
        <v>117</v>
      </c>
      <c r="Q39" s="28" t="s">
        <v>327</v>
      </c>
      <c r="R39" s="28" t="s">
        <v>328</v>
      </c>
      <c r="S39" s="21" t="s">
        <v>137</v>
      </c>
      <c r="T39" s="21" t="s">
        <v>137</v>
      </c>
      <c r="U39" s="28" t="s">
        <v>104</v>
      </c>
      <c r="V39" s="28" t="s">
        <v>104</v>
      </c>
      <c r="W39" s="28" t="s">
        <v>175</v>
      </c>
      <c r="X39" s="28" t="s">
        <v>175</v>
      </c>
      <c r="Y39" s="28" t="s">
        <v>175</v>
      </c>
      <c r="Z39" s="28" t="s">
        <v>175</v>
      </c>
      <c r="AA39" s="21" t="s">
        <v>8</v>
      </c>
      <c r="AB39" s="21" t="s">
        <v>8</v>
      </c>
      <c r="AC39" s="28" t="s">
        <v>175</v>
      </c>
      <c r="AD39" s="28" t="s">
        <v>175</v>
      </c>
      <c r="AE39" s="21" t="s">
        <v>329</v>
      </c>
      <c r="AF39" s="21" t="s">
        <v>330</v>
      </c>
      <c r="AG39" s="21" t="s">
        <v>307</v>
      </c>
      <c r="AH39" s="21" t="s">
        <v>331</v>
      </c>
      <c r="AI39" s="21">
        <v>30</v>
      </c>
      <c r="AJ39" s="28" t="s">
        <v>332</v>
      </c>
      <c r="AK39" s="21" t="s">
        <v>106</v>
      </c>
      <c r="AL39" s="21" t="s">
        <v>377</v>
      </c>
      <c r="AM39" s="21" t="s">
        <v>62</v>
      </c>
      <c r="AN39" s="21" t="s">
        <v>378</v>
      </c>
      <c r="AO39" s="29" t="s">
        <v>141</v>
      </c>
      <c r="AP39" s="29" t="s">
        <v>333</v>
      </c>
      <c r="AQ39" s="28" t="s">
        <v>334</v>
      </c>
      <c r="AR39" s="28" t="s">
        <v>335</v>
      </c>
      <c r="AS39" s="28" t="s">
        <v>152</v>
      </c>
      <c r="AT39" s="28" t="s">
        <v>290</v>
      </c>
      <c r="AU39" s="28" t="s">
        <v>336</v>
      </c>
      <c r="AV39" s="28" t="s">
        <v>291</v>
      </c>
      <c r="AW39" s="75" t="s">
        <v>502</v>
      </c>
      <c r="AX39" s="21"/>
      <c r="AY39" s="78" t="s">
        <v>718</v>
      </c>
      <c r="AZ39" s="137" t="s">
        <v>700</v>
      </c>
    </row>
    <row r="40" spans="1:52" s="30" customFormat="1">
      <c r="A40" s="20" t="str">
        <f t="shared" si="0"/>
        <v>33-0</v>
      </c>
      <c r="B40" s="21">
        <v>33</v>
      </c>
      <c r="C40" s="22" t="s">
        <v>111</v>
      </c>
      <c r="D40" s="21" t="s">
        <v>466</v>
      </c>
      <c r="E40" s="23">
        <v>0</v>
      </c>
      <c r="F40" s="24" t="s">
        <v>313</v>
      </c>
      <c r="G40" s="25" t="s">
        <v>339</v>
      </c>
      <c r="H40" s="20" t="str">
        <f t="shared" si="1"/>
        <v xml:space="preserve">Hose, Fuel Tank; Ø 34 mm × 44 mm; TSM1647G-1C </v>
      </c>
      <c r="I40" s="20" t="s">
        <v>221</v>
      </c>
      <c r="J40" s="24" t="s">
        <v>337</v>
      </c>
      <c r="K40" s="20" t="s">
        <v>315</v>
      </c>
      <c r="L40" s="40" t="s">
        <v>316</v>
      </c>
      <c r="M40" s="40" t="s">
        <v>8</v>
      </c>
      <c r="N40" s="41" t="s">
        <v>101</v>
      </c>
      <c r="O40" s="41" t="s">
        <v>8</v>
      </c>
      <c r="P40" s="27" t="s">
        <v>244</v>
      </c>
      <c r="Q40" s="40" t="s">
        <v>8</v>
      </c>
      <c r="R40" s="28" t="s">
        <v>338</v>
      </c>
      <c r="S40" s="21" t="s">
        <v>137</v>
      </c>
      <c r="T40" s="21" t="s">
        <v>8</v>
      </c>
      <c r="U40" s="28" t="s">
        <v>145</v>
      </c>
      <c r="V40" s="21" t="s">
        <v>8</v>
      </c>
      <c r="W40" s="28" t="s">
        <v>103</v>
      </c>
      <c r="X40" s="21" t="s">
        <v>8</v>
      </c>
      <c r="Y40" s="28" t="s">
        <v>103</v>
      </c>
      <c r="Z40" s="21" t="s">
        <v>8</v>
      </c>
      <c r="AA40" s="21" t="s">
        <v>8</v>
      </c>
      <c r="AB40" s="21" t="s">
        <v>8</v>
      </c>
      <c r="AC40" s="28" t="s">
        <v>103</v>
      </c>
      <c r="AD40" s="21" t="s">
        <v>8</v>
      </c>
      <c r="AE40" s="21" t="s">
        <v>340</v>
      </c>
      <c r="AF40" s="21" t="s">
        <v>8</v>
      </c>
      <c r="AG40" s="21" t="s">
        <v>319</v>
      </c>
      <c r="AH40" s="21" t="s">
        <v>8</v>
      </c>
      <c r="AI40" s="33">
        <v>0.5</v>
      </c>
      <c r="AJ40" s="28" t="s">
        <v>341</v>
      </c>
      <c r="AK40" s="21" t="s">
        <v>106</v>
      </c>
      <c r="AL40" s="21" t="s">
        <v>325</v>
      </c>
      <c r="AM40" s="21" t="s">
        <v>228</v>
      </c>
      <c r="AN40" s="21" t="s">
        <v>378</v>
      </c>
      <c r="AO40" s="29" t="s">
        <v>286</v>
      </c>
      <c r="AP40" s="29" t="s">
        <v>342</v>
      </c>
      <c r="AQ40" s="28" t="s">
        <v>343</v>
      </c>
      <c r="AR40" s="21" t="s">
        <v>8</v>
      </c>
      <c r="AS40" s="21" t="s">
        <v>8</v>
      </c>
      <c r="AT40" s="21" t="s">
        <v>8</v>
      </c>
      <c r="AU40" s="28" t="s">
        <v>310</v>
      </c>
      <c r="AV40" s="28" t="s">
        <v>291</v>
      </c>
      <c r="AW40" s="75" t="s">
        <v>503</v>
      </c>
      <c r="AX40" s="21"/>
      <c r="AY40" s="78" t="s">
        <v>719</v>
      </c>
      <c r="AZ40" s="137" t="s">
        <v>699</v>
      </c>
    </row>
    <row r="41" spans="1:52" s="47" customFormat="1">
      <c r="A41" s="20" t="str">
        <f t="shared" si="0"/>
        <v>34-0</v>
      </c>
      <c r="B41" s="21">
        <v>34</v>
      </c>
      <c r="C41" s="22" t="s">
        <v>96</v>
      </c>
      <c r="D41" s="21" t="s">
        <v>467</v>
      </c>
      <c r="E41" s="23">
        <v>0</v>
      </c>
      <c r="F41" s="24" t="s">
        <v>382</v>
      </c>
      <c r="G41" s="25" t="s">
        <v>354</v>
      </c>
      <c r="H41" s="20" t="str">
        <f t="shared" si="1"/>
        <v xml:space="preserve">Hose, Fuel; Ø 7 mm × 14 mm; TSM1651G-2 </v>
      </c>
      <c r="I41" s="20" t="s">
        <v>86</v>
      </c>
      <c r="J41" s="24" t="s">
        <v>114</v>
      </c>
      <c r="K41" s="24" t="s">
        <v>22</v>
      </c>
      <c r="L41" s="40" t="s">
        <v>146</v>
      </c>
      <c r="M41" s="40" t="s">
        <v>127</v>
      </c>
      <c r="N41" s="41" t="s">
        <v>101</v>
      </c>
      <c r="O41" s="41" t="s">
        <v>101</v>
      </c>
      <c r="P41" s="27" t="s">
        <v>102</v>
      </c>
      <c r="Q41" s="28" t="s">
        <v>349</v>
      </c>
      <c r="R41" s="28" t="s">
        <v>348</v>
      </c>
      <c r="S41" s="21" t="s">
        <v>137</v>
      </c>
      <c r="T41" s="21" t="s">
        <v>137</v>
      </c>
      <c r="U41" s="28" t="s">
        <v>104</v>
      </c>
      <c r="V41" s="28" t="s">
        <v>104</v>
      </c>
      <c r="W41" s="28" t="s">
        <v>118</v>
      </c>
      <c r="X41" s="28" t="s">
        <v>118</v>
      </c>
      <c r="Y41" s="28" t="s">
        <v>118</v>
      </c>
      <c r="Z41" s="28" t="s">
        <v>118</v>
      </c>
      <c r="AA41" s="21" t="s">
        <v>8</v>
      </c>
      <c r="AB41" s="21" t="s">
        <v>8</v>
      </c>
      <c r="AC41" s="28" t="s">
        <v>118</v>
      </c>
      <c r="AD41" s="28" t="s">
        <v>118</v>
      </c>
      <c r="AE41" s="21" t="s">
        <v>363</v>
      </c>
      <c r="AF41" s="21" t="s">
        <v>364</v>
      </c>
      <c r="AG41" s="21" t="s">
        <v>365</v>
      </c>
      <c r="AH41" s="21" t="s">
        <v>366</v>
      </c>
      <c r="AI41" s="21">
        <v>30</v>
      </c>
      <c r="AJ41" s="28" t="s">
        <v>350</v>
      </c>
      <c r="AK41" s="21" t="s">
        <v>106</v>
      </c>
      <c r="AL41" s="21" t="s">
        <v>377</v>
      </c>
      <c r="AM41" s="21" t="s">
        <v>62</v>
      </c>
      <c r="AN41" s="21" t="s">
        <v>378</v>
      </c>
      <c r="AO41" s="29" t="s">
        <v>285</v>
      </c>
      <c r="AP41" s="29" t="s">
        <v>285</v>
      </c>
      <c r="AQ41" s="28" t="s">
        <v>107</v>
      </c>
      <c r="AR41" s="28" t="s">
        <v>105</v>
      </c>
      <c r="AS41" s="28" t="s">
        <v>147</v>
      </c>
      <c r="AT41" s="28" t="s">
        <v>351</v>
      </c>
      <c r="AU41" s="28" t="s">
        <v>158</v>
      </c>
      <c r="AV41" s="28" t="s">
        <v>291</v>
      </c>
      <c r="AW41" s="75" t="s">
        <v>504</v>
      </c>
      <c r="AX41" s="21"/>
      <c r="AY41" s="78" t="s">
        <v>714</v>
      </c>
      <c r="AZ41" s="139" t="s">
        <v>698</v>
      </c>
    </row>
    <row r="42" spans="1:52" s="30" customFormat="1">
      <c r="A42" s="20" t="str">
        <f t="shared" si="0"/>
        <v>35-0</v>
      </c>
      <c r="B42" s="21">
        <v>35</v>
      </c>
      <c r="C42" s="22" t="s">
        <v>96</v>
      </c>
      <c r="D42" s="21" t="s">
        <v>468</v>
      </c>
      <c r="E42" s="23">
        <v>0</v>
      </c>
      <c r="F42" s="24" t="s">
        <v>344</v>
      </c>
      <c r="G42" s="25" t="s">
        <v>354</v>
      </c>
      <c r="H42" s="20" t="str">
        <f t="shared" si="1"/>
        <v xml:space="preserve">Hose, Fuel Tank; Ø 13.5 mm × 21.5 mm; TSM1648G-3 </v>
      </c>
      <c r="I42" s="20" t="s">
        <v>221</v>
      </c>
      <c r="J42" s="24" t="s">
        <v>234</v>
      </c>
      <c r="K42" s="20" t="s">
        <v>345</v>
      </c>
      <c r="L42" s="40" t="s">
        <v>346</v>
      </c>
      <c r="M42" s="40" t="s">
        <v>347</v>
      </c>
      <c r="N42" s="41" t="s">
        <v>101</v>
      </c>
      <c r="O42" s="41" t="s">
        <v>101</v>
      </c>
      <c r="P42" s="27" t="s">
        <v>172</v>
      </c>
      <c r="Q42" s="28" t="s">
        <v>139</v>
      </c>
      <c r="R42" s="28" t="s">
        <v>207</v>
      </c>
      <c r="S42" s="21" t="s">
        <v>137</v>
      </c>
      <c r="T42" s="21" t="s">
        <v>137</v>
      </c>
      <c r="U42" s="28" t="s">
        <v>104</v>
      </c>
      <c r="V42" s="28" t="s">
        <v>103</v>
      </c>
      <c r="W42" s="28" t="s">
        <v>175</v>
      </c>
      <c r="X42" s="28" t="s">
        <v>118</v>
      </c>
      <c r="Y42" s="28" t="s">
        <v>175</v>
      </c>
      <c r="Z42" s="28" t="s">
        <v>118</v>
      </c>
      <c r="AA42" s="21" t="s">
        <v>8</v>
      </c>
      <c r="AB42" s="21" t="s">
        <v>8</v>
      </c>
      <c r="AC42" s="28" t="s">
        <v>175</v>
      </c>
      <c r="AD42" s="28" t="s">
        <v>118</v>
      </c>
      <c r="AE42" s="21" t="s">
        <v>355</v>
      </c>
      <c r="AF42" s="21" t="s">
        <v>356</v>
      </c>
      <c r="AG42" s="21" t="s">
        <v>357</v>
      </c>
      <c r="AH42" s="21" t="s">
        <v>358</v>
      </c>
      <c r="AI42" s="21">
        <v>30</v>
      </c>
      <c r="AJ42" s="28" t="s">
        <v>352</v>
      </c>
      <c r="AK42" s="21" t="s">
        <v>106</v>
      </c>
      <c r="AL42" s="21" t="s">
        <v>422</v>
      </c>
      <c r="AM42" s="21" t="s">
        <v>228</v>
      </c>
      <c r="AN42" s="21" t="s">
        <v>378</v>
      </c>
      <c r="AO42" s="29" t="s">
        <v>141</v>
      </c>
      <c r="AP42" s="29" t="s">
        <v>141</v>
      </c>
      <c r="AQ42" s="28" t="s">
        <v>359</v>
      </c>
      <c r="AR42" s="28" t="s">
        <v>360</v>
      </c>
      <c r="AS42" s="28" t="s">
        <v>361</v>
      </c>
      <c r="AT42" s="28" t="s">
        <v>353</v>
      </c>
      <c r="AU42" s="28" t="s">
        <v>362</v>
      </c>
      <c r="AV42" s="28" t="s">
        <v>291</v>
      </c>
      <c r="AW42" s="75" t="s">
        <v>505</v>
      </c>
      <c r="AX42" s="21"/>
      <c r="AY42" s="78" t="s">
        <v>706</v>
      </c>
      <c r="AZ42" s="137" t="s">
        <v>698</v>
      </c>
    </row>
    <row r="43" spans="1:52" s="47" customFormat="1">
      <c r="A43" s="20" t="str">
        <f t="shared" si="0"/>
        <v>36-0</v>
      </c>
      <c r="B43" s="21">
        <v>36</v>
      </c>
      <c r="C43" s="22" t="s">
        <v>96</v>
      </c>
      <c r="D43" s="21" t="s">
        <v>469</v>
      </c>
      <c r="E43" s="23">
        <v>0</v>
      </c>
      <c r="F43" s="24" t="s">
        <v>123</v>
      </c>
      <c r="G43" s="25" t="s">
        <v>367</v>
      </c>
      <c r="H43" s="24" t="str">
        <f t="shared" si="1"/>
        <v xml:space="preserve">Hose, Fuel; Ø 7 mm × 14 mm; TSM1651G-2 </v>
      </c>
      <c r="I43" s="24" t="s">
        <v>86</v>
      </c>
      <c r="J43" s="24" t="s">
        <v>114</v>
      </c>
      <c r="K43" s="24" t="s">
        <v>22</v>
      </c>
      <c r="L43" s="22" t="s">
        <v>146</v>
      </c>
      <c r="M43" s="22" t="s">
        <v>127</v>
      </c>
      <c r="N43" s="26" t="s">
        <v>101</v>
      </c>
      <c r="O43" s="26" t="s">
        <v>101</v>
      </c>
      <c r="P43" s="27" t="s">
        <v>102</v>
      </c>
      <c r="Q43" s="22" t="s">
        <v>412</v>
      </c>
      <c r="R43" s="22" t="s">
        <v>412</v>
      </c>
      <c r="S43" s="21" t="s">
        <v>137</v>
      </c>
      <c r="T43" s="21" t="s">
        <v>137</v>
      </c>
      <c r="U43" s="28" t="s">
        <v>104</v>
      </c>
      <c r="V43" s="28" t="s">
        <v>104</v>
      </c>
      <c r="W43" s="28" t="s">
        <v>118</v>
      </c>
      <c r="X43" s="28" t="s">
        <v>118</v>
      </c>
      <c r="Y43" s="28" t="s">
        <v>118</v>
      </c>
      <c r="Z43" s="28" t="s">
        <v>118</v>
      </c>
      <c r="AA43" s="21" t="s">
        <v>8</v>
      </c>
      <c r="AB43" s="21" t="s">
        <v>8</v>
      </c>
      <c r="AC43" s="28" t="s">
        <v>118</v>
      </c>
      <c r="AD43" s="28" t="s">
        <v>118</v>
      </c>
      <c r="AE43" s="21" t="s">
        <v>248</v>
      </c>
      <c r="AF43" s="21" t="s">
        <v>260</v>
      </c>
      <c r="AG43" s="21" t="s">
        <v>262</v>
      </c>
      <c r="AH43" s="21" t="s">
        <v>275</v>
      </c>
      <c r="AI43" s="21"/>
      <c r="AJ43" s="28" t="s">
        <v>105</v>
      </c>
      <c r="AK43" s="21" t="s">
        <v>106</v>
      </c>
      <c r="AL43" s="21" t="s">
        <v>377</v>
      </c>
      <c r="AM43" s="21" t="s">
        <v>62</v>
      </c>
      <c r="AN43" s="21" t="s">
        <v>378</v>
      </c>
      <c r="AO43" s="29" t="s">
        <v>285</v>
      </c>
      <c r="AP43" s="29" t="s">
        <v>285</v>
      </c>
      <c r="AQ43" s="28" t="s">
        <v>107</v>
      </c>
      <c r="AR43" s="28" t="s">
        <v>105</v>
      </c>
      <c r="AS43" s="28" t="s">
        <v>147</v>
      </c>
      <c r="AT43" s="28">
        <v>0.1</v>
      </c>
      <c r="AU43" s="28" t="s">
        <v>110</v>
      </c>
      <c r="AV43" s="28" t="s">
        <v>291</v>
      </c>
      <c r="AW43" s="75" t="s">
        <v>506</v>
      </c>
      <c r="AX43" s="21"/>
      <c r="AY43" s="78" t="s">
        <v>714</v>
      </c>
      <c r="AZ43" s="137" t="s">
        <v>698</v>
      </c>
    </row>
    <row r="44" spans="1:52" s="47" customFormat="1">
      <c r="A44" s="20" t="str">
        <f t="shared" si="0"/>
        <v>36-1</v>
      </c>
      <c r="B44" s="21">
        <v>36</v>
      </c>
      <c r="C44" s="22" t="s">
        <v>96</v>
      </c>
      <c r="D44" s="21"/>
      <c r="E44" s="23">
        <v>1</v>
      </c>
      <c r="F44" s="24" t="s">
        <v>123</v>
      </c>
      <c r="G44" s="25" t="s">
        <v>368</v>
      </c>
      <c r="H44" s="24" t="str">
        <f t="shared" si="1"/>
        <v xml:space="preserve">Hose, Fuel; Ø 7 mm × 14 mm; TSM1651G-2 </v>
      </c>
      <c r="I44" s="24" t="s">
        <v>86</v>
      </c>
      <c r="J44" s="24" t="s">
        <v>114</v>
      </c>
      <c r="K44" s="24" t="s">
        <v>22</v>
      </c>
      <c r="L44" s="22" t="s">
        <v>146</v>
      </c>
      <c r="M44" s="22" t="s">
        <v>127</v>
      </c>
      <c r="N44" s="41" t="s">
        <v>101</v>
      </c>
      <c r="O44" s="41" t="s">
        <v>101</v>
      </c>
      <c r="P44" s="27" t="s">
        <v>102</v>
      </c>
      <c r="Q44" s="22" t="s">
        <v>412</v>
      </c>
      <c r="R44" s="22" t="s">
        <v>412</v>
      </c>
      <c r="S44" s="21" t="s">
        <v>137</v>
      </c>
      <c r="T44" s="21" t="s">
        <v>137</v>
      </c>
      <c r="U44" s="28" t="s">
        <v>104</v>
      </c>
      <c r="V44" s="28" t="s">
        <v>104</v>
      </c>
      <c r="W44" s="28" t="s">
        <v>118</v>
      </c>
      <c r="X44" s="28" t="s">
        <v>118</v>
      </c>
      <c r="Y44" s="28" t="s">
        <v>118</v>
      </c>
      <c r="Z44" s="28" t="s">
        <v>118</v>
      </c>
      <c r="AA44" s="21" t="s">
        <v>8</v>
      </c>
      <c r="AB44" s="21" t="s">
        <v>8</v>
      </c>
      <c r="AC44" s="28" t="s">
        <v>118</v>
      </c>
      <c r="AD44" s="28" t="s">
        <v>118</v>
      </c>
      <c r="AE44" s="21" t="s">
        <v>369</v>
      </c>
      <c r="AF44" s="21" t="s">
        <v>370</v>
      </c>
      <c r="AG44" s="21" t="s">
        <v>262</v>
      </c>
      <c r="AH44" s="21" t="s">
        <v>275</v>
      </c>
      <c r="AI44" s="21"/>
      <c r="AJ44" s="28" t="s">
        <v>105</v>
      </c>
      <c r="AK44" s="21" t="s">
        <v>106</v>
      </c>
      <c r="AL44" s="21" t="s">
        <v>377</v>
      </c>
      <c r="AM44" s="21" t="s">
        <v>62</v>
      </c>
      <c r="AN44" s="21" t="s">
        <v>378</v>
      </c>
      <c r="AO44" s="29" t="s">
        <v>285</v>
      </c>
      <c r="AP44" s="29" t="s">
        <v>285</v>
      </c>
      <c r="AQ44" s="28" t="s">
        <v>371</v>
      </c>
      <c r="AR44" s="28" t="s">
        <v>105</v>
      </c>
      <c r="AS44" s="28" t="s">
        <v>147</v>
      </c>
      <c r="AT44" s="28">
        <v>0.1</v>
      </c>
      <c r="AU44" s="28" t="s">
        <v>110</v>
      </c>
      <c r="AV44" s="28" t="s">
        <v>291</v>
      </c>
      <c r="AW44" s="75" t="s">
        <v>8</v>
      </c>
      <c r="AX44" s="75"/>
      <c r="AY44" s="78" t="s">
        <v>714</v>
      </c>
      <c r="AZ44" s="137" t="s">
        <v>698</v>
      </c>
    </row>
    <row r="45" spans="1:52" s="30" customFormat="1">
      <c r="A45" s="20" t="str">
        <f t="shared" si="0"/>
        <v>27-1</v>
      </c>
      <c r="B45" s="21">
        <v>27</v>
      </c>
      <c r="C45" s="22" t="s">
        <v>111</v>
      </c>
      <c r="D45" s="21"/>
      <c r="E45" s="23">
        <v>1</v>
      </c>
      <c r="F45" s="24" t="s">
        <v>97</v>
      </c>
      <c r="G45" s="25" t="s">
        <v>385</v>
      </c>
      <c r="H45" s="24" t="str">
        <f t="shared" si="1"/>
        <v xml:space="preserve">Hose, Fuel Tank; Ø 34 mm × 42 mm; DTSM1647G-1C </v>
      </c>
      <c r="I45" s="24" t="s">
        <v>221</v>
      </c>
      <c r="J45" s="24" t="s">
        <v>222</v>
      </c>
      <c r="K45" s="24" t="s">
        <v>223</v>
      </c>
      <c r="L45" s="22" t="s">
        <v>235</v>
      </c>
      <c r="M45" s="22" t="s">
        <v>8</v>
      </c>
      <c r="N45" s="26" t="s">
        <v>101</v>
      </c>
      <c r="O45" s="26" t="s">
        <v>101</v>
      </c>
      <c r="P45" s="27" t="s">
        <v>224</v>
      </c>
      <c r="Q45" s="22" t="s">
        <v>8</v>
      </c>
      <c r="R45" s="28" t="s">
        <v>225</v>
      </c>
      <c r="S45" s="21" t="s">
        <v>137</v>
      </c>
      <c r="T45" s="21" t="s">
        <v>8</v>
      </c>
      <c r="U45" s="28" t="s">
        <v>103</v>
      </c>
      <c r="V45" s="28" t="s">
        <v>8</v>
      </c>
      <c r="W45" s="28" t="s">
        <v>118</v>
      </c>
      <c r="X45" s="28" t="s">
        <v>8</v>
      </c>
      <c r="Y45" s="28" t="s">
        <v>118</v>
      </c>
      <c r="Z45" s="28" t="s">
        <v>8</v>
      </c>
      <c r="AA45" s="21" t="s">
        <v>8</v>
      </c>
      <c r="AB45" s="21" t="s">
        <v>8</v>
      </c>
      <c r="AC45" s="28" t="s">
        <v>118</v>
      </c>
      <c r="AD45" s="28" t="s">
        <v>8</v>
      </c>
      <c r="AE45" s="21" t="s">
        <v>386</v>
      </c>
      <c r="AF45" s="21" t="s">
        <v>8</v>
      </c>
      <c r="AG45" s="21" t="s">
        <v>387</v>
      </c>
      <c r="AH45" s="21" t="s">
        <v>8</v>
      </c>
      <c r="AI45" s="21"/>
      <c r="AJ45" s="28" t="s">
        <v>226</v>
      </c>
      <c r="AK45" s="21" t="s">
        <v>106</v>
      </c>
      <c r="AL45" s="21" t="s">
        <v>227</v>
      </c>
      <c r="AM45" s="21" t="s">
        <v>228</v>
      </c>
      <c r="AN45" s="21" t="s">
        <v>378</v>
      </c>
      <c r="AO45" s="29" t="s">
        <v>286</v>
      </c>
      <c r="AP45" s="29" t="s">
        <v>287</v>
      </c>
      <c r="AQ45" s="28" t="s">
        <v>229</v>
      </c>
      <c r="AR45" s="28" t="s">
        <v>230</v>
      </c>
      <c r="AS45" s="21" t="s">
        <v>8</v>
      </c>
      <c r="AT45" s="21" t="s">
        <v>8</v>
      </c>
      <c r="AU45" s="28" t="s">
        <v>122</v>
      </c>
      <c r="AV45" s="28" t="s">
        <v>291</v>
      </c>
      <c r="AW45" s="75" t="s">
        <v>8</v>
      </c>
      <c r="AX45" s="75"/>
      <c r="AY45" s="78" t="s">
        <v>664</v>
      </c>
      <c r="AZ45" s="137" t="s">
        <v>699</v>
      </c>
    </row>
    <row r="46" spans="1:52" s="30" customFormat="1">
      <c r="A46" s="52" t="str">
        <f t="shared" si="0"/>
        <v>28-1</v>
      </c>
      <c r="B46" s="53">
        <v>28</v>
      </c>
      <c r="C46" s="54" t="s">
        <v>111</v>
      </c>
      <c r="D46" s="21" t="s">
        <v>461</v>
      </c>
      <c r="E46" s="55">
        <v>1</v>
      </c>
      <c r="F46" s="56" t="s">
        <v>97</v>
      </c>
      <c r="G46" s="57" t="s">
        <v>385</v>
      </c>
      <c r="H46" s="56" t="str">
        <f t="shared" si="1"/>
        <v xml:space="preserve">Hose, Fuel Tank; Ø 34 mm × 42 mm; DTSE7351G-1 </v>
      </c>
      <c r="I46" s="56" t="s">
        <v>221</v>
      </c>
      <c r="J46" s="56" t="s">
        <v>222</v>
      </c>
      <c r="K46" s="58" t="s">
        <v>243</v>
      </c>
      <c r="L46" s="54" t="s">
        <v>235</v>
      </c>
      <c r="M46" s="54" t="s">
        <v>8</v>
      </c>
      <c r="N46" s="59" t="s">
        <v>101</v>
      </c>
      <c r="O46" s="59" t="s">
        <v>101</v>
      </c>
      <c r="P46" s="60" t="s">
        <v>244</v>
      </c>
      <c r="Q46" s="54" t="s">
        <v>8</v>
      </c>
      <c r="R46" s="61" t="s">
        <v>388</v>
      </c>
      <c r="S46" s="53" t="s">
        <v>137</v>
      </c>
      <c r="T46" s="53" t="s">
        <v>8</v>
      </c>
      <c r="U46" s="61" t="s">
        <v>103</v>
      </c>
      <c r="V46" s="53" t="s">
        <v>8</v>
      </c>
      <c r="W46" s="61" t="s">
        <v>118</v>
      </c>
      <c r="X46" s="53" t="s">
        <v>8</v>
      </c>
      <c r="Y46" s="61" t="s">
        <v>118</v>
      </c>
      <c r="Z46" s="53" t="s">
        <v>8</v>
      </c>
      <c r="AA46" s="53" t="s">
        <v>8</v>
      </c>
      <c r="AB46" s="53" t="s">
        <v>8</v>
      </c>
      <c r="AC46" s="61" t="s">
        <v>118</v>
      </c>
      <c r="AD46" s="53" t="s">
        <v>8</v>
      </c>
      <c r="AE46" s="53" t="s">
        <v>386</v>
      </c>
      <c r="AF46" s="53" t="s">
        <v>8</v>
      </c>
      <c r="AG46" s="53" t="s">
        <v>389</v>
      </c>
      <c r="AH46" s="53" t="s">
        <v>8</v>
      </c>
      <c r="AI46" s="53"/>
      <c r="AJ46" s="61" t="s">
        <v>246</v>
      </c>
      <c r="AK46" s="53" t="s">
        <v>106</v>
      </c>
      <c r="AL46" s="53" t="s">
        <v>227</v>
      </c>
      <c r="AM46" s="53" t="s">
        <v>228</v>
      </c>
      <c r="AN46" s="53" t="s">
        <v>378</v>
      </c>
      <c r="AO46" s="62" t="s">
        <v>288</v>
      </c>
      <c r="AP46" s="62" t="s">
        <v>289</v>
      </c>
      <c r="AQ46" s="61" t="s">
        <v>229</v>
      </c>
      <c r="AR46" s="61" t="s">
        <v>230</v>
      </c>
      <c r="AS46" s="53" t="s">
        <v>8</v>
      </c>
      <c r="AT46" s="53" t="s">
        <v>8</v>
      </c>
      <c r="AU46" s="61" t="s">
        <v>122</v>
      </c>
      <c r="AV46" s="61" t="s">
        <v>291</v>
      </c>
      <c r="AW46" s="75" t="s">
        <v>498</v>
      </c>
      <c r="AX46" s="21"/>
      <c r="AY46" s="78" t="s">
        <v>703</v>
      </c>
      <c r="AZ46" s="137" t="s">
        <v>699</v>
      </c>
    </row>
    <row r="47" spans="1:52" s="30" customFormat="1">
      <c r="A47" s="20" t="str">
        <f t="shared" si="0"/>
        <v>37-0</v>
      </c>
      <c r="B47" s="34">
        <v>37</v>
      </c>
      <c r="C47" s="22" t="s">
        <v>96</v>
      </c>
      <c r="D47" s="21" t="s">
        <v>470</v>
      </c>
      <c r="E47" s="66">
        <v>0</v>
      </c>
      <c r="F47" s="24" t="s">
        <v>97</v>
      </c>
      <c r="G47" s="57" t="s">
        <v>390</v>
      </c>
      <c r="H47" s="56" t="str">
        <f t="shared" si="1"/>
        <v xml:space="preserve">Hose, Actuator; Ø 3.5 mm × 8.5mm; DTSM1649G-1 </v>
      </c>
      <c r="I47" s="20" t="s">
        <v>391</v>
      </c>
      <c r="J47" s="56" t="s">
        <v>394</v>
      </c>
      <c r="K47" s="20" t="s">
        <v>392</v>
      </c>
      <c r="L47" s="40" t="s">
        <v>395</v>
      </c>
      <c r="M47" s="54" t="s">
        <v>24</v>
      </c>
      <c r="N47" s="59" t="s">
        <v>101</v>
      </c>
      <c r="O47" s="59" t="s">
        <v>396</v>
      </c>
      <c r="P47" s="27" t="s">
        <v>128</v>
      </c>
      <c r="Q47" s="28" t="s">
        <v>397</v>
      </c>
      <c r="R47" s="28" t="s">
        <v>107</v>
      </c>
      <c r="S47" s="21" t="s">
        <v>577</v>
      </c>
      <c r="T47" s="21" t="s">
        <v>577</v>
      </c>
      <c r="U47" s="28" t="s">
        <v>104</v>
      </c>
      <c r="V47" s="28" t="s">
        <v>104</v>
      </c>
      <c r="W47" s="61" t="s">
        <v>118</v>
      </c>
      <c r="X47" s="61" t="s">
        <v>118</v>
      </c>
      <c r="Y47" s="61" t="s">
        <v>118</v>
      </c>
      <c r="Z47" s="61" t="s">
        <v>118</v>
      </c>
      <c r="AA47" s="53" t="s">
        <v>8</v>
      </c>
      <c r="AB47" s="53" t="s">
        <v>8</v>
      </c>
      <c r="AC47" s="61" t="s">
        <v>118</v>
      </c>
      <c r="AD47" s="61" t="s">
        <v>118</v>
      </c>
      <c r="AE47" s="21" t="s">
        <v>393</v>
      </c>
      <c r="AF47" s="21" t="s">
        <v>398</v>
      </c>
      <c r="AG47" s="53" t="s">
        <v>399</v>
      </c>
      <c r="AH47" s="53" t="s">
        <v>399</v>
      </c>
      <c r="AI47" s="20" t="s">
        <v>400</v>
      </c>
      <c r="AJ47" s="61" t="s">
        <v>576</v>
      </c>
      <c r="AK47" s="34" t="s">
        <v>106</v>
      </c>
      <c r="AL47" s="20" t="s">
        <v>402</v>
      </c>
      <c r="AM47" s="34" t="s">
        <v>131</v>
      </c>
      <c r="AN47" s="53" t="s">
        <v>423</v>
      </c>
      <c r="AO47" s="69" t="s">
        <v>403</v>
      </c>
      <c r="AP47" s="69" t="s">
        <v>403</v>
      </c>
      <c r="AQ47" s="28" t="s">
        <v>110</v>
      </c>
      <c r="AR47" s="28" t="s">
        <v>404</v>
      </c>
      <c r="AS47" s="28" t="s">
        <v>151</v>
      </c>
      <c r="AT47" s="28" t="s">
        <v>291</v>
      </c>
      <c r="AU47" s="28" t="s">
        <v>336</v>
      </c>
      <c r="AV47" s="71" t="s">
        <v>8</v>
      </c>
      <c r="AW47" s="75" t="s">
        <v>507</v>
      </c>
      <c r="AX47" s="21"/>
      <c r="AY47" s="78" t="s">
        <v>575</v>
      </c>
      <c r="AZ47" s="137" t="s">
        <v>698</v>
      </c>
    </row>
    <row r="48" spans="1:52" s="30" customFormat="1" ht="24.75" customHeight="1">
      <c r="A48" s="20" t="str">
        <f>CONCATENATE(B48,"-",E48)</f>
        <v>22-1</v>
      </c>
      <c r="B48" s="21">
        <v>22</v>
      </c>
      <c r="C48" s="22" t="s">
        <v>96</v>
      </c>
      <c r="D48" s="21" t="s">
        <v>613</v>
      </c>
      <c r="E48" s="23">
        <v>1</v>
      </c>
      <c r="F48" s="24" t="s">
        <v>612</v>
      </c>
      <c r="G48" s="25" t="s">
        <v>614</v>
      </c>
      <c r="H48" s="24" t="str">
        <f>CONCATENATE(I48,"; ",J48,"; ",K48," ")</f>
        <v xml:space="preserve">Hose, Ventilation; Ø 15 mm × 22 mm; DTSM1670G-1 </v>
      </c>
      <c r="I48" s="24" t="s">
        <v>153</v>
      </c>
      <c r="J48" s="24" t="s">
        <v>170</v>
      </c>
      <c r="K48" s="24" t="s">
        <v>193</v>
      </c>
      <c r="L48" s="22" t="s">
        <v>155</v>
      </c>
      <c r="M48" s="22" t="s">
        <v>127</v>
      </c>
      <c r="N48" s="26" t="s">
        <v>101</v>
      </c>
      <c r="O48" s="26" t="s">
        <v>101</v>
      </c>
      <c r="P48" s="27" t="s">
        <v>172</v>
      </c>
      <c r="Q48" s="28" t="s">
        <v>173</v>
      </c>
      <c r="R48" s="28" t="s">
        <v>174</v>
      </c>
      <c r="S48" s="21" t="s">
        <v>568</v>
      </c>
      <c r="T48" s="21" t="s">
        <v>567</v>
      </c>
      <c r="U48" s="28" t="s">
        <v>118</v>
      </c>
      <c r="V48" s="28" t="s">
        <v>175</v>
      </c>
      <c r="W48" s="28" t="s">
        <v>175</v>
      </c>
      <c r="X48" s="28" t="s">
        <v>175</v>
      </c>
      <c r="Y48" s="28" t="s">
        <v>175</v>
      </c>
      <c r="Z48" s="28" t="s">
        <v>175</v>
      </c>
      <c r="AA48" s="21" t="s">
        <v>8</v>
      </c>
      <c r="AB48" s="21" t="s">
        <v>8</v>
      </c>
      <c r="AC48" s="28" t="s">
        <v>175</v>
      </c>
      <c r="AD48" s="28" t="s">
        <v>175</v>
      </c>
      <c r="AE48" s="21" t="s">
        <v>425</v>
      </c>
      <c r="AF48" s="21" t="s">
        <v>426</v>
      </c>
      <c r="AG48" s="21" t="s">
        <v>399</v>
      </c>
      <c r="AH48" s="21" t="s">
        <v>427</v>
      </c>
      <c r="AI48" s="21"/>
      <c r="AJ48" s="28" t="s">
        <v>428</v>
      </c>
      <c r="AK48" s="21" t="s">
        <v>106</v>
      </c>
      <c r="AL48" s="21" t="s">
        <v>429</v>
      </c>
      <c r="AM48" s="21" t="s">
        <v>566</v>
      </c>
      <c r="AN48" s="21" t="s">
        <v>378</v>
      </c>
      <c r="AO48" s="29" t="s">
        <v>430</v>
      </c>
      <c r="AP48" s="29" t="s">
        <v>431</v>
      </c>
      <c r="AQ48" s="28" t="s">
        <v>105</v>
      </c>
      <c r="AR48" s="28" t="s">
        <v>195</v>
      </c>
      <c r="AS48" s="28" t="s">
        <v>433</v>
      </c>
      <c r="AT48" s="28" t="s">
        <v>290</v>
      </c>
      <c r="AU48" s="28" t="s">
        <v>432</v>
      </c>
      <c r="AV48" s="28" t="s">
        <v>291</v>
      </c>
      <c r="AW48" s="75" t="s">
        <v>492</v>
      </c>
      <c r="AX48" s="21"/>
      <c r="AY48" s="133" t="s">
        <v>666</v>
      </c>
      <c r="AZ48" s="137" t="s">
        <v>699</v>
      </c>
    </row>
    <row r="49" spans="1:52" s="30" customFormat="1">
      <c r="A49" s="20" t="str">
        <f t="shared" ref="A49" si="2">CONCATENATE(B49,"-",E49)</f>
        <v>38-0</v>
      </c>
      <c r="B49" s="21">
        <v>38</v>
      </c>
      <c r="C49" s="22" t="s">
        <v>111</v>
      </c>
      <c r="D49" s="21" t="s">
        <v>591</v>
      </c>
      <c r="E49" s="23">
        <v>0</v>
      </c>
      <c r="F49" s="24" t="s">
        <v>313</v>
      </c>
      <c r="G49" s="25" t="s">
        <v>578</v>
      </c>
      <c r="H49" s="24" t="str">
        <f t="shared" ref="H49" si="3">CONCATENATE(I49,"; ",J49,"; ",K49," ")</f>
        <v xml:space="preserve">Hose, Fuel Tank; Ø 13.5 mm × 21.5 mm; DTSM1647G-1C </v>
      </c>
      <c r="I49" s="24" t="s">
        <v>221</v>
      </c>
      <c r="J49" s="24" t="s">
        <v>234</v>
      </c>
      <c r="K49" s="24" t="s">
        <v>223</v>
      </c>
      <c r="L49" s="22" t="s">
        <v>235</v>
      </c>
      <c r="M49" s="22" t="s">
        <v>8</v>
      </c>
      <c r="N49" s="26" t="s">
        <v>101</v>
      </c>
      <c r="O49" s="26" t="s">
        <v>101</v>
      </c>
      <c r="P49" s="27" t="s">
        <v>172</v>
      </c>
      <c r="Q49" s="27" t="s">
        <v>589</v>
      </c>
      <c r="R49" s="28" t="s">
        <v>8</v>
      </c>
      <c r="S49" s="21" t="s">
        <v>577</v>
      </c>
      <c r="T49" s="21" t="s">
        <v>8</v>
      </c>
      <c r="U49" s="28" t="s">
        <v>581</v>
      </c>
      <c r="V49" s="28" t="s">
        <v>8</v>
      </c>
      <c r="W49" s="28" t="s">
        <v>581</v>
      </c>
      <c r="X49" s="28" t="s">
        <v>8</v>
      </c>
      <c r="Y49" s="28" t="s">
        <v>581</v>
      </c>
      <c r="Z49" s="28" t="s">
        <v>8</v>
      </c>
      <c r="AA49" s="21" t="s">
        <v>8</v>
      </c>
      <c r="AB49" s="21" t="s">
        <v>8</v>
      </c>
      <c r="AC49" s="28" t="s">
        <v>581</v>
      </c>
      <c r="AD49" s="28" t="s">
        <v>8</v>
      </c>
      <c r="AE49" s="21" t="s">
        <v>579</v>
      </c>
      <c r="AF49" s="21" t="s">
        <v>8</v>
      </c>
      <c r="AG49" s="21" t="s">
        <v>399</v>
      </c>
      <c r="AH49" s="21" t="s">
        <v>8</v>
      </c>
      <c r="AI49" s="21"/>
      <c r="AJ49" s="28" t="s">
        <v>586</v>
      </c>
      <c r="AK49" s="21" t="s">
        <v>584</v>
      </c>
      <c r="AL49" s="21" t="s">
        <v>583</v>
      </c>
      <c r="AM49" s="21" t="s">
        <v>8</v>
      </c>
      <c r="AN49" s="21" t="s">
        <v>378</v>
      </c>
      <c r="AO49" s="29" t="s">
        <v>580</v>
      </c>
      <c r="AP49" s="29" t="s">
        <v>582</v>
      </c>
      <c r="AQ49" s="28" t="s">
        <v>585</v>
      </c>
      <c r="AR49" s="28" t="s">
        <v>8</v>
      </c>
      <c r="AS49" s="21" t="s">
        <v>8</v>
      </c>
      <c r="AT49" s="21" t="s">
        <v>8</v>
      </c>
      <c r="AU49" s="28" t="s">
        <v>239</v>
      </c>
      <c r="AV49" s="28" t="s">
        <v>291</v>
      </c>
      <c r="AW49" s="75" t="s">
        <v>592</v>
      </c>
      <c r="AX49" s="21"/>
      <c r="AY49" s="78" t="s">
        <v>587</v>
      </c>
      <c r="AZ49" s="137" t="s">
        <v>701</v>
      </c>
    </row>
    <row r="50" spans="1:52" s="30" customFormat="1">
      <c r="A50" s="20" t="str">
        <f t="shared" ref="A50:A51" si="4">CONCATENATE(B50,"-",E50)</f>
        <v>39-0</v>
      </c>
      <c r="B50" s="21">
        <v>39</v>
      </c>
      <c r="C50" s="22" t="s">
        <v>111</v>
      </c>
      <c r="D50" s="21" t="s">
        <v>593</v>
      </c>
      <c r="E50" s="23">
        <v>0</v>
      </c>
      <c r="F50" s="24" t="s">
        <v>313</v>
      </c>
      <c r="G50" s="25" t="s">
        <v>578</v>
      </c>
      <c r="H50" s="24" t="str">
        <f t="shared" ref="H50:H51" si="5">CONCATENATE(I50,"; ",J50,"; ",K50," ")</f>
        <v xml:space="preserve">Hose, Fuel Tank; Ø 13.5 mm × 21.5 mm; DTSM1647G-1C </v>
      </c>
      <c r="I50" s="24" t="s">
        <v>221</v>
      </c>
      <c r="J50" s="24" t="s">
        <v>234</v>
      </c>
      <c r="K50" s="24" t="s">
        <v>223</v>
      </c>
      <c r="L50" s="22" t="s">
        <v>235</v>
      </c>
      <c r="M50" s="22" t="s">
        <v>8</v>
      </c>
      <c r="N50" s="26" t="s">
        <v>101</v>
      </c>
      <c r="O50" s="26" t="s">
        <v>101</v>
      </c>
      <c r="P50" s="27" t="s">
        <v>172</v>
      </c>
      <c r="Q50" s="27" t="s">
        <v>8</v>
      </c>
      <c r="R50" s="28" t="s">
        <v>588</v>
      </c>
      <c r="S50" s="21" t="s">
        <v>577</v>
      </c>
      <c r="T50" s="21" t="s">
        <v>8</v>
      </c>
      <c r="U50" s="28" t="s">
        <v>581</v>
      </c>
      <c r="V50" s="28" t="s">
        <v>8</v>
      </c>
      <c r="W50" s="28" t="s">
        <v>581</v>
      </c>
      <c r="X50" s="28" t="s">
        <v>8</v>
      </c>
      <c r="Y50" s="28" t="s">
        <v>581</v>
      </c>
      <c r="Z50" s="28" t="s">
        <v>8</v>
      </c>
      <c r="AA50" s="21" t="s">
        <v>8</v>
      </c>
      <c r="AB50" s="21" t="s">
        <v>8</v>
      </c>
      <c r="AC50" s="28" t="s">
        <v>581</v>
      </c>
      <c r="AD50" s="28" t="s">
        <v>8</v>
      </c>
      <c r="AE50" s="21" t="s">
        <v>579</v>
      </c>
      <c r="AF50" s="21" t="s">
        <v>8</v>
      </c>
      <c r="AG50" s="21" t="s">
        <v>399</v>
      </c>
      <c r="AH50" s="21" t="s">
        <v>8</v>
      </c>
      <c r="AI50" s="21"/>
      <c r="AJ50" s="28" t="s">
        <v>586</v>
      </c>
      <c r="AK50" s="21" t="s">
        <v>584</v>
      </c>
      <c r="AL50" s="21" t="s">
        <v>583</v>
      </c>
      <c r="AM50" s="21" t="s">
        <v>8</v>
      </c>
      <c r="AN50" s="21" t="s">
        <v>378</v>
      </c>
      <c r="AO50" s="29" t="s">
        <v>580</v>
      </c>
      <c r="AP50" s="29" t="s">
        <v>582</v>
      </c>
      <c r="AQ50" s="28" t="s">
        <v>585</v>
      </c>
      <c r="AR50" s="28" t="s">
        <v>8</v>
      </c>
      <c r="AS50" s="21" t="s">
        <v>8</v>
      </c>
      <c r="AT50" s="21" t="s">
        <v>8</v>
      </c>
      <c r="AU50" s="28" t="s">
        <v>239</v>
      </c>
      <c r="AV50" s="28" t="s">
        <v>291</v>
      </c>
      <c r="AW50" s="75" t="s">
        <v>594</v>
      </c>
      <c r="AX50" s="21"/>
      <c r="AY50" s="78" t="s">
        <v>590</v>
      </c>
      <c r="AZ50" s="137" t="s">
        <v>701</v>
      </c>
    </row>
    <row r="51" spans="1:52" s="45" customFormat="1">
      <c r="A51" s="20" t="str">
        <f t="shared" si="4"/>
        <v>40-0</v>
      </c>
      <c r="B51" s="21">
        <v>40</v>
      </c>
      <c r="C51" s="22" t="s">
        <v>111</v>
      </c>
      <c r="D51" s="21" t="s">
        <v>8</v>
      </c>
      <c r="E51" s="23">
        <v>0</v>
      </c>
      <c r="F51" s="24" t="s">
        <v>313</v>
      </c>
      <c r="G51" s="25" t="s">
        <v>595</v>
      </c>
      <c r="H51" s="20" t="str">
        <f t="shared" si="5"/>
        <v xml:space="preserve">Hose, Fuel Tank; Ø 34 mm × 44 mm; TSM1647G-1C </v>
      </c>
      <c r="I51" s="20" t="s">
        <v>221</v>
      </c>
      <c r="J51" s="24" t="s">
        <v>337</v>
      </c>
      <c r="K51" s="20" t="s">
        <v>315</v>
      </c>
      <c r="L51" s="40" t="s">
        <v>316</v>
      </c>
      <c r="M51" s="40" t="s">
        <v>8</v>
      </c>
      <c r="N51" s="41" t="s">
        <v>101</v>
      </c>
      <c r="O51" s="41" t="s">
        <v>8</v>
      </c>
      <c r="P51" s="27" t="s">
        <v>244</v>
      </c>
      <c r="Q51" s="40" t="s">
        <v>596</v>
      </c>
      <c r="R51" s="28" t="s">
        <v>597</v>
      </c>
      <c r="S51" s="21" t="s">
        <v>567</v>
      </c>
      <c r="T51" s="21" t="s">
        <v>8</v>
      </c>
      <c r="U51" s="28" t="s">
        <v>175</v>
      </c>
      <c r="V51" s="21" t="s">
        <v>8</v>
      </c>
      <c r="W51" s="28" t="s">
        <v>175</v>
      </c>
      <c r="X51" s="21" t="s">
        <v>8</v>
      </c>
      <c r="Y51" s="28" t="s">
        <v>175</v>
      </c>
      <c r="Z51" s="21" t="s">
        <v>8</v>
      </c>
      <c r="AA51" s="21" t="s">
        <v>8</v>
      </c>
      <c r="AB51" s="21" t="s">
        <v>8</v>
      </c>
      <c r="AC51" s="28" t="s">
        <v>175</v>
      </c>
      <c r="AD51" s="21" t="s">
        <v>8</v>
      </c>
      <c r="AE51" s="21" t="s">
        <v>598</v>
      </c>
      <c r="AF51" s="21" t="s">
        <v>8</v>
      </c>
      <c r="AG51" s="21" t="s">
        <v>399</v>
      </c>
      <c r="AH51" s="21" t="s">
        <v>8</v>
      </c>
      <c r="AI51" s="33" t="s">
        <v>599</v>
      </c>
      <c r="AJ51" s="28" t="s">
        <v>600</v>
      </c>
      <c r="AK51" s="21" t="s">
        <v>584</v>
      </c>
      <c r="AL51" s="21" t="s">
        <v>325</v>
      </c>
      <c r="AM51" s="21" t="s">
        <v>597</v>
      </c>
      <c r="AN51" s="21" t="s">
        <v>378</v>
      </c>
      <c r="AO51" s="29" t="s">
        <v>601</v>
      </c>
      <c r="AP51" s="29" t="s">
        <v>602</v>
      </c>
      <c r="AQ51" s="28" t="s">
        <v>229</v>
      </c>
      <c r="AR51" s="21" t="s">
        <v>8</v>
      </c>
      <c r="AS51" s="21" t="s">
        <v>8</v>
      </c>
      <c r="AT51" s="21" t="s">
        <v>8</v>
      </c>
      <c r="AU51" s="28" t="s">
        <v>603</v>
      </c>
      <c r="AV51" s="28" t="s">
        <v>291</v>
      </c>
      <c r="AW51" s="75" t="s">
        <v>8</v>
      </c>
      <c r="AX51" s="21"/>
      <c r="AY51" s="78" t="s">
        <v>604</v>
      </c>
      <c r="AZ51" s="137" t="s">
        <v>699</v>
      </c>
    </row>
    <row r="52" spans="1:52" s="50" customFormat="1">
      <c r="A52" s="135" t="str">
        <f t="shared" ref="A52" si="6">CONCATENATE(B52,"-",E52)</f>
        <v>41-0</v>
      </c>
      <c r="B52" s="34">
        <v>41</v>
      </c>
      <c r="C52" s="34" t="s">
        <v>96</v>
      </c>
      <c r="D52" s="34" t="s">
        <v>450</v>
      </c>
      <c r="E52" s="66">
        <v>0</v>
      </c>
      <c r="F52" s="34" t="s">
        <v>123</v>
      </c>
      <c r="G52" s="25" t="s">
        <v>614</v>
      </c>
      <c r="H52" s="56" t="str">
        <f t="shared" ref="H52" si="7">CONCATENATE(I52,"; ",J52,"; ",K52," ")</f>
        <v xml:space="preserve">Hose, Ventilation; Ø 9.5 mm × 17.5 mm; DTSZ0001G </v>
      </c>
      <c r="I52" s="34" t="s">
        <v>153</v>
      </c>
      <c r="J52" s="34" t="s">
        <v>609</v>
      </c>
      <c r="K52" s="135" t="s">
        <v>610</v>
      </c>
      <c r="L52" s="40" t="s">
        <v>155</v>
      </c>
      <c r="M52" s="40" t="s">
        <v>127</v>
      </c>
      <c r="N52" s="63" t="s">
        <v>101</v>
      </c>
      <c r="O52" s="63" t="s">
        <v>101</v>
      </c>
      <c r="P52" s="40" t="s">
        <v>117</v>
      </c>
      <c r="Q52" s="40" t="s">
        <v>605</v>
      </c>
      <c r="R52" s="40" t="s">
        <v>606</v>
      </c>
      <c r="S52" s="34" t="s">
        <v>577</v>
      </c>
      <c r="T52" s="34" t="s">
        <v>577</v>
      </c>
      <c r="U52" s="34" t="s">
        <v>118</v>
      </c>
      <c r="V52" s="34" t="s">
        <v>118</v>
      </c>
      <c r="W52" s="34" t="s">
        <v>118</v>
      </c>
      <c r="X52" s="34" t="s">
        <v>118</v>
      </c>
      <c r="Y52" s="34" t="s">
        <v>118</v>
      </c>
      <c r="Z52" s="34" t="s">
        <v>118</v>
      </c>
      <c r="AA52" s="34" t="s">
        <v>8</v>
      </c>
      <c r="AB52" s="34" t="s">
        <v>8</v>
      </c>
      <c r="AC52" s="34" t="s">
        <v>118</v>
      </c>
      <c r="AD52" s="34" t="s">
        <v>118</v>
      </c>
      <c r="AE52" s="34" t="s">
        <v>425</v>
      </c>
      <c r="AF52" s="34" t="s">
        <v>571</v>
      </c>
      <c r="AG52" s="34" t="s">
        <v>399</v>
      </c>
      <c r="AH52" s="34" t="s">
        <v>427</v>
      </c>
      <c r="AI52" s="34"/>
      <c r="AJ52" s="34" t="s">
        <v>572</v>
      </c>
      <c r="AK52" s="34" t="s">
        <v>106</v>
      </c>
      <c r="AL52" s="34" t="s">
        <v>607</v>
      </c>
      <c r="AM52" s="34" t="s">
        <v>62</v>
      </c>
      <c r="AN52" s="34" t="s">
        <v>608</v>
      </c>
      <c r="AO52" s="34" t="s">
        <v>573</v>
      </c>
      <c r="AP52" s="34" t="s">
        <v>574</v>
      </c>
      <c r="AQ52" s="34" t="s">
        <v>140</v>
      </c>
      <c r="AR52" s="34" t="s">
        <v>156</v>
      </c>
      <c r="AS52" s="34" t="s">
        <v>158</v>
      </c>
      <c r="AT52" s="34" t="s">
        <v>291</v>
      </c>
      <c r="AU52" s="34" t="s">
        <v>122</v>
      </c>
      <c r="AV52" s="34" t="s">
        <v>291</v>
      </c>
      <c r="AW52" s="132" t="s">
        <v>487</v>
      </c>
      <c r="AX52" s="34"/>
      <c r="AY52" s="78" t="s">
        <v>611</v>
      </c>
      <c r="AZ52" s="137" t="s">
        <v>699</v>
      </c>
    </row>
    <row r="53" spans="1:52" s="134" customFormat="1">
      <c r="A53" s="31" t="str">
        <f t="shared" ref="A53" si="8">CONCATENATE(B53,"-",E53)</f>
        <v>42-0</v>
      </c>
      <c r="B53" s="21">
        <v>42</v>
      </c>
      <c r="C53" s="21" t="s">
        <v>96</v>
      </c>
      <c r="D53" s="21" t="s">
        <v>613</v>
      </c>
      <c r="E53" s="23">
        <v>0</v>
      </c>
      <c r="F53" s="21" t="s">
        <v>123</v>
      </c>
      <c r="G53" s="25" t="s">
        <v>614</v>
      </c>
      <c r="H53" s="56" t="str">
        <f t="shared" ref="H53" si="9">CONCATENATE(I53,"; ",J53,"; ",K53," ")</f>
        <v xml:space="preserve">Hose, Ventilation; Ø 9.5 mm × 17.5 mm; TSM1671G-1A </v>
      </c>
      <c r="I53" s="21" t="s">
        <v>153</v>
      </c>
      <c r="J53" s="21" t="s">
        <v>609</v>
      </c>
      <c r="K53" s="20" t="s">
        <v>29</v>
      </c>
      <c r="L53" s="22" t="s">
        <v>155</v>
      </c>
      <c r="M53" s="22" t="s">
        <v>127</v>
      </c>
      <c r="N53" s="41" t="s">
        <v>101</v>
      </c>
      <c r="O53" s="41" t="s">
        <v>101</v>
      </c>
      <c r="P53" s="22" t="s">
        <v>117</v>
      </c>
      <c r="Q53" s="22" t="s">
        <v>605</v>
      </c>
      <c r="R53" s="22" t="s">
        <v>606</v>
      </c>
      <c r="S53" s="21" t="s">
        <v>577</v>
      </c>
      <c r="T53" s="21" t="s">
        <v>577</v>
      </c>
      <c r="U53" s="21" t="s">
        <v>118</v>
      </c>
      <c r="V53" s="21" t="s">
        <v>118</v>
      </c>
      <c r="W53" s="21" t="s">
        <v>118</v>
      </c>
      <c r="X53" s="21" t="s">
        <v>118</v>
      </c>
      <c r="Y53" s="21" t="s">
        <v>118</v>
      </c>
      <c r="Z53" s="21" t="s">
        <v>118</v>
      </c>
      <c r="AA53" s="21" t="s">
        <v>8</v>
      </c>
      <c r="AB53" s="21" t="s">
        <v>8</v>
      </c>
      <c r="AC53" s="21" t="s">
        <v>118</v>
      </c>
      <c r="AD53" s="21" t="s">
        <v>118</v>
      </c>
      <c r="AE53" s="21" t="s">
        <v>615</v>
      </c>
      <c r="AF53" s="21" t="s">
        <v>644</v>
      </c>
      <c r="AG53" s="21" t="s">
        <v>399</v>
      </c>
      <c r="AH53" s="21" t="s">
        <v>399</v>
      </c>
      <c r="AI53" s="21"/>
      <c r="AJ53" s="21" t="s">
        <v>660</v>
      </c>
      <c r="AK53" s="21" t="s">
        <v>106</v>
      </c>
      <c r="AL53" s="21" t="s">
        <v>607</v>
      </c>
      <c r="AM53" s="21" t="s">
        <v>62</v>
      </c>
      <c r="AN53" s="21" t="s">
        <v>608</v>
      </c>
      <c r="AO53" s="21" t="s">
        <v>616</v>
      </c>
      <c r="AP53" s="21" t="s">
        <v>431</v>
      </c>
      <c r="AQ53" s="21" t="s">
        <v>617</v>
      </c>
      <c r="AR53" s="21" t="s">
        <v>8</v>
      </c>
      <c r="AS53" s="21" t="s">
        <v>288</v>
      </c>
      <c r="AT53" s="21" t="s">
        <v>291</v>
      </c>
      <c r="AU53" s="21" t="s">
        <v>618</v>
      </c>
      <c r="AV53" s="21" t="s">
        <v>291</v>
      </c>
      <c r="AW53" s="75" t="s">
        <v>487</v>
      </c>
      <c r="AX53" s="21"/>
      <c r="AY53" s="133" t="s">
        <v>611</v>
      </c>
      <c r="AZ53" s="138" t="s">
        <v>699</v>
      </c>
    </row>
    <row r="54" spans="1:52" s="134" customFormat="1">
      <c r="A54" s="31" t="str">
        <f t="shared" ref="A54" si="10">CONCATENATE(B54,"-",E54)</f>
        <v>43-0</v>
      </c>
      <c r="B54" s="21">
        <v>43</v>
      </c>
      <c r="C54" s="21" t="s">
        <v>96</v>
      </c>
      <c r="D54" s="21" t="s">
        <v>619</v>
      </c>
      <c r="E54" s="23">
        <v>0</v>
      </c>
      <c r="F54" s="21" t="s">
        <v>123</v>
      </c>
      <c r="G54" s="25" t="s">
        <v>614</v>
      </c>
      <c r="H54" s="56" t="str">
        <f t="shared" ref="H54" si="11">CONCATENATE(I54,"; ",J54,"; ",K54," ")</f>
        <v xml:space="preserve">Hose, Ventilation; Ø 15 mm × 22 mm; TSM1671G-1A </v>
      </c>
      <c r="I54" s="21" t="s">
        <v>153</v>
      </c>
      <c r="J54" s="21" t="s">
        <v>170</v>
      </c>
      <c r="K54" s="20" t="s">
        <v>29</v>
      </c>
      <c r="L54" s="22" t="s">
        <v>155</v>
      </c>
      <c r="M54" s="22" t="s">
        <v>127</v>
      </c>
      <c r="N54" s="41" t="s">
        <v>101</v>
      </c>
      <c r="O54" s="41" t="s">
        <v>101</v>
      </c>
      <c r="P54" s="22" t="s">
        <v>117</v>
      </c>
      <c r="Q54" s="22" t="s">
        <v>173</v>
      </c>
      <c r="R54" s="22" t="s">
        <v>620</v>
      </c>
      <c r="S54" s="21" t="s">
        <v>577</v>
      </c>
      <c r="T54" s="21" t="s">
        <v>577</v>
      </c>
      <c r="U54" s="21" t="s">
        <v>118</v>
      </c>
      <c r="V54" s="21" t="s">
        <v>118</v>
      </c>
      <c r="W54" s="21" t="s">
        <v>118</v>
      </c>
      <c r="X54" s="21" t="s">
        <v>118</v>
      </c>
      <c r="Y54" s="21" t="s">
        <v>118</v>
      </c>
      <c r="Z54" s="21" t="s">
        <v>118</v>
      </c>
      <c r="AA54" s="21" t="s">
        <v>8</v>
      </c>
      <c r="AB54" s="21" t="s">
        <v>8</v>
      </c>
      <c r="AC54" s="21" t="s">
        <v>118</v>
      </c>
      <c r="AD54" s="21" t="s">
        <v>118</v>
      </c>
      <c r="AE54" s="21" t="s">
        <v>615</v>
      </c>
      <c r="AF54" s="21" t="s">
        <v>571</v>
      </c>
      <c r="AG54" s="21" t="s">
        <v>399</v>
      </c>
      <c r="AH54" s="21" t="s">
        <v>399</v>
      </c>
      <c r="AI54" s="21"/>
      <c r="AJ54" s="21" t="s">
        <v>621</v>
      </c>
      <c r="AK54" s="21" t="s">
        <v>106</v>
      </c>
      <c r="AL54" s="21" t="s">
        <v>607</v>
      </c>
      <c r="AM54" s="21" t="s">
        <v>62</v>
      </c>
      <c r="AN54" s="21" t="s">
        <v>608</v>
      </c>
      <c r="AO54" s="21" t="s">
        <v>616</v>
      </c>
      <c r="AP54" s="21" t="s">
        <v>431</v>
      </c>
      <c r="AQ54" s="21" t="s">
        <v>350</v>
      </c>
      <c r="AR54" s="21" t="s">
        <v>8</v>
      </c>
      <c r="AS54" s="21" t="s">
        <v>622</v>
      </c>
      <c r="AT54" s="21" t="s">
        <v>291</v>
      </c>
      <c r="AU54" s="21" t="s">
        <v>177</v>
      </c>
      <c r="AV54" s="21" t="s">
        <v>291</v>
      </c>
      <c r="AW54" s="75" t="s">
        <v>487</v>
      </c>
      <c r="AX54" s="21"/>
      <c r="AY54" s="133" t="s">
        <v>723</v>
      </c>
      <c r="AZ54" s="138" t="s">
        <v>699</v>
      </c>
    </row>
    <row r="55" spans="1:52" s="30" customFormat="1">
      <c r="A55" s="20" t="str">
        <f t="shared" si="0"/>
        <v>44-0</v>
      </c>
      <c r="B55" s="34">
        <v>44</v>
      </c>
      <c r="C55" s="21" t="s">
        <v>96</v>
      </c>
      <c r="D55" s="21"/>
      <c r="E55" s="66">
        <v>0</v>
      </c>
      <c r="F55" s="21" t="s">
        <v>623</v>
      </c>
      <c r="G55" s="25" t="s">
        <v>624</v>
      </c>
      <c r="H55" s="56" t="str">
        <f t="shared" si="1"/>
        <v xml:space="preserve">Hose Tube Fuel; Ø 5.3 mm × 10.3 mm; HES B044-10 FT-B2 </v>
      </c>
      <c r="I55" s="20" t="s">
        <v>625</v>
      </c>
      <c r="J55" s="21" t="s">
        <v>626</v>
      </c>
      <c r="K55" s="20" t="s">
        <v>627</v>
      </c>
      <c r="L55" s="40" t="s">
        <v>628</v>
      </c>
      <c r="M55" s="40" t="s">
        <v>629</v>
      </c>
      <c r="N55" s="41" t="s">
        <v>101</v>
      </c>
      <c r="O55" s="41" t="s">
        <v>101</v>
      </c>
      <c r="P55" s="27" t="s">
        <v>160</v>
      </c>
      <c r="Q55" s="22" t="s">
        <v>630</v>
      </c>
      <c r="R55" s="22" t="s">
        <v>631</v>
      </c>
      <c r="S55" s="21" t="s">
        <v>577</v>
      </c>
      <c r="T55" s="21" t="s">
        <v>577</v>
      </c>
      <c r="U55" s="21" t="s">
        <v>103</v>
      </c>
      <c r="V55" s="21" t="s">
        <v>103</v>
      </c>
      <c r="W55" s="21" t="s">
        <v>104</v>
      </c>
      <c r="X55" s="21" t="s">
        <v>103</v>
      </c>
      <c r="Y55" s="21" t="s">
        <v>104</v>
      </c>
      <c r="Z55" s="21" t="s">
        <v>103</v>
      </c>
      <c r="AA55" s="20"/>
      <c r="AB55" s="20"/>
      <c r="AC55" s="21" t="s">
        <v>104</v>
      </c>
      <c r="AD55" s="21" t="s">
        <v>103</v>
      </c>
      <c r="AE55" s="21" t="s">
        <v>270</v>
      </c>
      <c r="AF55" s="21" t="s">
        <v>632</v>
      </c>
      <c r="AG55" s="21" t="s">
        <v>399</v>
      </c>
      <c r="AH55" s="21" t="s">
        <v>399</v>
      </c>
      <c r="AI55" s="20"/>
      <c r="AJ55" s="21" t="s">
        <v>633</v>
      </c>
      <c r="AK55" s="21" t="s">
        <v>106</v>
      </c>
      <c r="AL55" s="21" t="s">
        <v>8</v>
      </c>
      <c r="AM55" s="21" t="s">
        <v>634</v>
      </c>
      <c r="AN55" s="21" t="s">
        <v>608</v>
      </c>
      <c r="AO55" s="21" t="s">
        <v>635</v>
      </c>
      <c r="AP55" s="21" t="s">
        <v>636</v>
      </c>
      <c r="AQ55" s="21" t="s">
        <v>637</v>
      </c>
      <c r="AR55" s="21" t="s">
        <v>8</v>
      </c>
      <c r="AS55" s="21" t="s">
        <v>638</v>
      </c>
      <c r="AT55" s="21" t="s">
        <v>639</v>
      </c>
      <c r="AU55" s="21" t="s">
        <v>151</v>
      </c>
      <c r="AV55" s="21" t="s">
        <v>639</v>
      </c>
      <c r="AW55" s="75" t="e">
        <f>#REF!</f>
        <v>#REF!</v>
      </c>
      <c r="AX55" s="20"/>
      <c r="AY55" s="78" t="s">
        <v>640</v>
      </c>
      <c r="AZ55" s="137" t="s">
        <v>698</v>
      </c>
    </row>
    <row r="56" spans="1:52" s="30" customFormat="1">
      <c r="A56" s="20" t="str">
        <f t="shared" ref="A56:A61" si="12">CONCATENATE(B56,"-",E56)</f>
        <v>37-1</v>
      </c>
      <c r="B56" s="34">
        <v>37</v>
      </c>
      <c r="C56" s="22" t="s">
        <v>96</v>
      </c>
      <c r="D56" s="21" t="s">
        <v>470</v>
      </c>
      <c r="E56" s="66">
        <v>1</v>
      </c>
      <c r="F56" s="24" t="s">
        <v>97</v>
      </c>
      <c r="G56" s="57" t="s">
        <v>390</v>
      </c>
      <c r="H56" s="56" t="str">
        <f t="shared" ref="H56" si="13">CONCATENATE(I56,"; ",J56,"; ",K56," ")</f>
        <v xml:space="preserve">Hose, Actuator; Ø 3.5 mm × 8.5mm; DTSM1649G-1 </v>
      </c>
      <c r="I56" s="20" t="s">
        <v>391</v>
      </c>
      <c r="J56" s="56" t="s">
        <v>394</v>
      </c>
      <c r="K56" s="20" t="s">
        <v>392</v>
      </c>
      <c r="L56" s="40" t="s">
        <v>395</v>
      </c>
      <c r="M56" s="54" t="s">
        <v>24</v>
      </c>
      <c r="N56" s="59" t="s">
        <v>101</v>
      </c>
      <c r="O56" s="59" t="s">
        <v>396</v>
      </c>
      <c r="P56" s="27" t="s">
        <v>128</v>
      </c>
      <c r="Q56" s="28" t="s">
        <v>397</v>
      </c>
      <c r="R56" s="28" t="s">
        <v>631</v>
      </c>
      <c r="S56" s="21" t="s">
        <v>577</v>
      </c>
      <c r="T56" s="21" t="s">
        <v>577</v>
      </c>
      <c r="U56" s="28" t="s">
        <v>104</v>
      </c>
      <c r="V56" s="28" t="s">
        <v>104</v>
      </c>
      <c r="W56" s="61" t="s">
        <v>118</v>
      </c>
      <c r="X56" s="61" t="s">
        <v>118</v>
      </c>
      <c r="Y56" s="61" t="s">
        <v>118</v>
      </c>
      <c r="Z56" s="61" t="s">
        <v>118</v>
      </c>
      <c r="AA56" s="53" t="s">
        <v>8</v>
      </c>
      <c r="AB56" s="53" t="s">
        <v>8</v>
      </c>
      <c r="AC56" s="61" t="s">
        <v>118</v>
      </c>
      <c r="AD56" s="61" t="s">
        <v>118</v>
      </c>
      <c r="AE56" s="21" t="s">
        <v>393</v>
      </c>
      <c r="AF56" s="21" t="s">
        <v>398</v>
      </c>
      <c r="AG56" s="53" t="s">
        <v>399</v>
      </c>
      <c r="AH56" s="53" t="s">
        <v>399</v>
      </c>
      <c r="AI56" s="20" t="s">
        <v>400</v>
      </c>
      <c r="AJ56" s="61" t="s">
        <v>641</v>
      </c>
      <c r="AK56" s="34" t="s">
        <v>106</v>
      </c>
      <c r="AL56" s="20" t="s">
        <v>402</v>
      </c>
      <c r="AM56" s="34" t="s">
        <v>131</v>
      </c>
      <c r="AN56" s="53" t="s">
        <v>423</v>
      </c>
      <c r="AO56" s="69" t="s">
        <v>403</v>
      </c>
      <c r="AP56" s="69" t="s">
        <v>403</v>
      </c>
      <c r="AQ56" s="28" t="s">
        <v>110</v>
      </c>
      <c r="AR56" s="28" t="s">
        <v>404</v>
      </c>
      <c r="AS56" s="28" t="s">
        <v>405</v>
      </c>
      <c r="AT56" s="28" t="s">
        <v>291</v>
      </c>
      <c r="AU56" s="28" t="s">
        <v>152</v>
      </c>
      <c r="AV56" s="71" t="s">
        <v>8</v>
      </c>
      <c r="AW56" s="75" t="s">
        <v>507</v>
      </c>
      <c r="AX56" s="21"/>
      <c r="AY56" s="78" t="s">
        <v>575</v>
      </c>
      <c r="AZ56" s="137" t="s">
        <v>698</v>
      </c>
    </row>
    <row r="57" spans="1:52" s="30" customFormat="1" ht="32.25" customHeight="1">
      <c r="A57" s="20" t="str">
        <f t="shared" si="12"/>
        <v>16-1</v>
      </c>
      <c r="B57" s="21">
        <v>16</v>
      </c>
      <c r="C57" s="22" t="s">
        <v>96</v>
      </c>
      <c r="D57" s="21" t="s">
        <v>449</v>
      </c>
      <c r="E57" s="23">
        <v>1</v>
      </c>
      <c r="F57" s="24" t="s">
        <v>97</v>
      </c>
      <c r="G57" s="25" t="s">
        <v>293</v>
      </c>
      <c r="H57" s="24" t="str">
        <f>CONCATENATE(I57,"; ",J57,"; ",K57," ")</f>
        <v xml:space="preserve">Hose, Ventilation; Ø 9 mm × 17 mm; DTSM1670G-1 </v>
      </c>
      <c r="I57" s="24" t="s">
        <v>153</v>
      </c>
      <c r="J57" s="24" t="s">
        <v>154</v>
      </c>
      <c r="K57" s="24" t="s">
        <v>193</v>
      </c>
      <c r="L57" s="22" t="s">
        <v>155</v>
      </c>
      <c r="M57" s="22" t="s">
        <v>127</v>
      </c>
      <c r="N57" s="26" t="s">
        <v>101</v>
      </c>
      <c r="O57" s="26" t="s">
        <v>101</v>
      </c>
      <c r="P57" s="27" t="s">
        <v>117</v>
      </c>
      <c r="Q57" s="22" t="s">
        <v>642</v>
      </c>
      <c r="R57" s="22" t="s">
        <v>643</v>
      </c>
      <c r="S57" s="21" t="s">
        <v>577</v>
      </c>
      <c r="T57" s="21" t="s">
        <v>577</v>
      </c>
      <c r="U57" s="28" t="s">
        <v>118</v>
      </c>
      <c r="V57" s="28" t="s">
        <v>175</v>
      </c>
      <c r="W57" s="28" t="s">
        <v>175</v>
      </c>
      <c r="X57" s="28" t="s">
        <v>175</v>
      </c>
      <c r="Y57" s="28" t="s">
        <v>175</v>
      </c>
      <c r="Z57" s="28" t="s">
        <v>175</v>
      </c>
      <c r="AA57" s="21" t="s">
        <v>8</v>
      </c>
      <c r="AB57" s="21" t="s">
        <v>8</v>
      </c>
      <c r="AC57" s="28" t="s">
        <v>175</v>
      </c>
      <c r="AD57" s="28" t="s">
        <v>175</v>
      </c>
      <c r="AE57" s="21" t="s">
        <v>646</v>
      </c>
      <c r="AF57" s="21" t="s">
        <v>644</v>
      </c>
      <c r="AG57" s="53" t="s">
        <v>399</v>
      </c>
      <c r="AH57" s="53" t="s">
        <v>399</v>
      </c>
      <c r="AI57" s="20" t="s">
        <v>400</v>
      </c>
      <c r="AJ57" s="28" t="s">
        <v>572</v>
      </c>
      <c r="AK57" s="21" t="s">
        <v>106</v>
      </c>
      <c r="AL57" s="21" t="s">
        <v>645</v>
      </c>
      <c r="AM57" s="21" t="s">
        <v>62</v>
      </c>
      <c r="AN57" s="21" t="s">
        <v>378</v>
      </c>
      <c r="AO57" s="29" t="s">
        <v>573</v>
      </c>
      <c r="AP57" s="29" t="s">
        <v>574</v>
      </c>
      <c r="AQ57" s="28" t="s">
        <v>140</v>
      </c>
      <c r="AR57" s="28" t="s">
        <v>232</v>
      </c>
      <c r="AS57" s="28" t="s">
        <v>288</v>
      </c>
      <c r="AT57" s="28" t="s">
        <v>291</v>
      </c>
      <c r="AU57" s="28" t="s">
        <v>647</v>
      </c>
      <c r="AV57" s="28" t="s">
        <v>291</v>
      </c>
      <c r="AW57" s="75" t="s">
        <v>486</v>
      </c>
      <c r="AX57" s="21"/>
      <c r="AY57" s="78" t="s">
        <v>725</v>
      </c>
      <c r="AZ57" s="137" t="s">
        <v>700</v>
      </c>
    </row>
    <row r="58" spans="1:52" s="30" customFormat="1">
      <c r="A58" s="52" t="str">
        <f t="shared" si="12"/>
        <v>28-2</v>
      </c>
      <c r="B58" s="53">
        <v>28</v>
      </c>
      <c r="C58" s="54" t="s">
        <v>111</v>
      </c>
      <c r="D58" s="21" t="s">
        <v>461</v>
      </c>
      <c r="E58" s="55">
        <v>2</v>
      </c>
      <c r="F58" s="56" t="s">
        <v>97</v>
      </c>
      <c r="G58" s="57" t="s">
        <v>656</v>
      </c>
      <c r="H58" s="56" t="str">
        <f t="shared" ref="H58:H61" si="14">CONCATENATE(I58,"; ",J58,"; ",K58," ")</f>
        <v xml:space="preserve">Hose, Fuel Tank; Ø 34 mm × 42 mm; DTSE7351G-1 </v>
      </c>
      <c r="I58" s="56" t="s">
        <v>221</v>
      </c>
      <c r="J58" s="56" t="s">
        <v>222</v>
      </c>
      <c r="K58" s="58" t="s">
        <v>243</v>
      </c>
      <c r="L58" s="54" t="s">
        <v>235</v>
      </c>
      <c r="M58" s="54" t="s">
        <v>8</v>
      </c>
      <c r="N58" s="59" t="s">
        <v>101</v>
      </c>
      <c r="O58" s="59" t="s">
        <v>101</v>
      </c>
      <c r="P58" s="60" t="s">
        <v>244</v>
      </c>
      <c r="Q58" s="61" t="s">
        <v>225</v>
      </c>
      <c r="R58" s="61" t="s">
        <v>597</v>
      </c>
      <c r="S58" s="21" t="s">
        <v>577</v>
      </c>
      <c r="T58" s="21" t="s">
        <v>577</v>
      </c>
      <c r="U58" s="61" t="s">
        <v>648</v>
      </c>
      <c r="V58" s="53" t="s">
        <v>8</v>
      </c>
      <c r="W58" s="61" t="s">
        <v>648</v>
      </c>
      <c r="X58" s="53" t="s">
        <v>8</v>
      </c>
      <c r="Y58" s="61" t="s">
        <v>648</v>
      </c>
      <c r="Z58" s="53" t="s">
        <v>8</v>
      </c>
      <c r="AA58" s="53" t="s">
        <v>8</v>
      </c>
      <c r="AB58" s="53" t="s">
        <v>8</v>
      </c>
      <c r="AC58" s="61" t="s">
        <v>648</v>
      </c>
      <c r="AD58" s="53" t="s">
        <v>8</v>
      </c>
      <c r="AE58" s="53" t="s">
        <v>649</v>
      </c>
      <c r="AF58" s="53" t="s">
        <v>8</v>
      </c>
      <c r="AG58" s="53" t="s">
        <v>399</v>
      </c>
      <c r="AH58" s="53" t="s">
        <v>597</v>
      </c>
      <c r="AI58" s="20" t="s">
        <v>599</v>
      </c>
      <c r="AJ58" s="61" t="s">
        <v>650</v>
      </c>
      <c r="AK58" s="53" t="s">
        <v>651</v>
      </c>
      <c r="AL58" s="53" t="s">
        <v>227</v>
      </c>
      <c r="AM58" s="53" t="s">
        <v>651</v>
      </c>
      <c r="AN58" s="53" t="s">
        <v>378</v>
      </c>
      <c r="AO58" s="62" t="s">
        <v>652</v>
      </c>
      <c r="AP58" s="62" t="s">
        <v>653</v>
      </c>
      <c r="AQ58" s="61" t="s">
        <v>654</v>
      </c>
      <c r="AR58" s="61" t="s">
        <v>230</v>
      </c>
      <c r="AS58" s="53" t="s">
        <v>8</v>
      </c>
      <c r="AT58" s="53" t="s">
        <v>8</v>
      </c>
      <c r="AU58" s="61" t="s">
        <v>655</v>
      </c>
      <c r="AV58" s="61" t="s">
        <v>291</v>
      </c>
      <c r="AW58" s="75" t="s">
        <v>498</v>
      </c>
      <c r="AX58" s="21"/>
      <c r="AY58" s="78" t="s">
        <v>703</v>
      </c>
      <c r="AZ58" s="137" t="s">
        <v>699</v>
      </c>
    </row>
    <row r="59" spans="1:52" s="45" customFormat="1">
      <c r="A59" s="20" t="str">
        <f t="shared" si="12"/>
        <v>40-1</v>
      </c>
      <c r="B59" s="21">
        <v>40</v>
      </c>
      <c r="C59" s="22" t="s">
        <v>111</v>
      </c>
      <c r="D59" s="21"/>
      <c r="E59" s="23">
        <v>1</v>
      </c>
      <c r="F59" s="24" t="s">
        <v>313</v>
      </c>
      <c r="G59" s="57" t="s">
        <v>656</v>
      </c>
      <c r="H59" s="20" t="str">
        <f t="shared" si="14"/>
        <v xml:space="preserve">Hose, Fuel Tank; Ø 34 mm × 44 mm; TSM1647G-1C </v>
      </c>
      <c r="I59" s="20" t="s">
        <v>221</v>
      </c>
      <c r="J59" s="24" t="s">
        <v>337</v>
      </c>
      <c r="K59" s="20" t="s">
        <v>315</v>
      </c>
      <c r="L59" s="40" t="s">
        <v>316</v>
      </c>
      <c r="M59" s="40" t="s">
        <v>8</v>
      </c>
      <c r="N59" s="41" t="s">
        <v>101</v>
      </c>
      <c r="O59" s="41" t="s">
        <v>8</v>
      </c>
      <c r="P59" s="27" t="s">
        <v>244</v>
      </c>
      <c r="Q59" s="40" t="s">
        <v>596</v>
      </c>
      <c r="R59" s="28" t="s">
        <v>597</v>
      </c>
      <c r="S59" s="21" t="s">
        <v>577</v>
      </c>
      <c r="T59" s="21" t="s">
        <v>8</v>
      </c>
      <c r="U59" s="28" t="s">
        <v>175</v>
      </c>
      <c r="V59" s="21" t="s">
        <v>8</v>
      </c>
      <c r="W59" s="28" t="s">
        <v>175</v>
      </c>
      <c r="X59" s="21" t="s">
        <v>8</v>
      </c>
      <c r="Y59" s="28" t="s">
        <v>175</v>
      </c>
      <c r="Z59" s="21" t="s">
        <v>8</v>
      </c>
      <c r="AA59" s="21" t="s">
        <v>8</v>
      </c>
      <c r="AB59" s="21" t="s">
        <v>8</v>
      </c>
      <c r="AC59" s="28" t="s">
        <v>175</v>
      </c>
      <c r="AD59" s="21" t="s">
        <v>8</v>
      </c>
      <c r="AE59" s="21" t="s">
        <v>598</v>
      </c>
      <c r="AF59" s="21" t="s">
        <v>8</v>
      </c>
      <c r="AG59" s="21" t="s">
        <v>399</v>
      </c>
      <c r="AH59" s="21" t="s">
        <v>8</v>
      </c>
      <c r="AI59" s="33" t="s">
        <v>599</v>
      </c>
      <c r="AJ59" s="28" t="s">
        <v>600</v>
      </c>
      <c r="AK59" s="53" t="s">
        <v>651</v>
      </c>
      <c r="AL59" s="21" t="s">
        <v>325</v>
      </c>
      <c r="AM59" s="53" t="s">
        <v>651</v>
      </c>
      <c r="AN59" s="21" t="s">
        <v>378</v>
      </c>
      <c r="AO59" s="29" t="s">
        <v>601</v>
      </c>
      <c r="AP59" s="29" t="s">
        <v>602</v>
      </c>
      <c r="AQ59" s="28" t="s">
        <v>229</v>
      </c>
      <c r="AR59" s="21" t="s">
        <v>8</v>
      </c>
      <c r="AS59" s="21" t="s">
        <v>8</v>
      </c>
      <c r="AT59" s="21" t="s">
        <v>8</v>
      </c>
      <c r="AU59" s="61" t="s">
        <v>657</v>
      </c>
      <c r="AV59" s="28" t="s">
        <v>291</v>
      </c>
      <c r="AW59" s="75" t="s">
        <v>8</v>
      </c>
      <c r="AX59" s="21"/>
      <c r="AY59" s="78" t="s">
        <v>604</v>
      </c>
      <c r="AZ59" s="137" t="s">
        <v>699</v>
      </c>
    </row>
    <row r="60" spans="1:52" s="134" customFormat="1">
      <c r="A60" s="31" t="str">
        <f t="shared" si="12"/>
        <v>43-1</v>
      </c>
      <c r="B60" s="21">
        <v>43</v>
      </c>
      <c r="C60" s="21" t="s">
        <v>96</v>
      </c>
      <c r="D60" s="21" t="s">
        <v>619</v>
      </c>
      <c r="E60" s="23">
        <v>1</v>
      </c>
      <c r="F60" s="21" t="s">
        <v>123</v>
      </c>
      <c r="G60" s="57" t="s">
        <v>656</v>
      </c>
      <c r="H60" s="56" t="str">
        <f t="shared" si="14"/>
        <v xml:space="preserve">Hose, Ventilation; Ø 15 mm × 22 mm; TSM1671G-1A </v>
      </c>
      <c r="I60" s="21" t="s">
        <v>153</v>
      </c>
      <c r="J60" s="21" t="s">
        <v>170</v>
      </c>
      <c r="K60" s="20" t="s">
        <v>29</v>
      </c>
      <c r="L60" s="22" t="s">
        <v>155</v>
      </c>
      <c r="M60" s="22" t="s">
        <v>127</v>
      </c>
      <c r="N60" s="41" t="s">
        <v>101</v>
      </c>
      <c r="O60" s="41" t="s">
        <v>101</v>
      </c>
      <c r="P60" s="27" t="s">
        <v>172</v>
      </c>
      <c r="Q60" s="22" t="s">
        <v>173</v>
      </c>
      <c r="R60" s="22" t="s">
        <v>620</v>
      </c>
      <c r="S60" s="21" t="s">
        <v>577</v>
      </c>
      <c r="T60" s="21" t="s">
        <v>577</v>
      </c>
      <c r="U60" s="21" t="s">
        <v>118</v>
      </c>
      <c r="V60" s="21" t="s">
        <v>118</v>
      </c>
      <c r="W60" s="21" t="s">
        <v>118</v>
      </c>
      <c r="X60" s="21" t="s">
        <v>118</v>
      </c>
      <c r="Y60" s="21" t="s">
        <v>118</v>
      </c>
      <c r="Z60" s="21" t="s">
        <v>118</v>
      </c>
      <c r="AA60" s="21" t="s">
        <v>8</v>
      </c>
      <c r="AB60" s="21" t="s">
        <v>8</v>
      </c>
      <c r="AC60" s="21" t="s">
        <v>118</v>
      </c>
      <c r="AD60" s="21" t="s">
        <v>118</v>
      </c>
      <c r="AE60" s="21" t="s">
        <v>659</v>
      </c>
      <c r="AF60" s="21" t="s">
        <v>644</v>
      </c>
      <c r="AG60" s="21" t="s">
        <v>399</v>
      </c>
      <c r="AH60" s="21" t="s">
        <v>399</v>
      </c>
      <c r="AI60" s="21"/>
      <c r="AJ60" s="21" t="s">
        <v>621</v>
      </c>
      <c r="AK60" s="21" t="s">
        <v>106</v>
      </c>
      <c r="AL60" s="21" t="s">
        <v>607</v>
      </c>
      <c r="AM60" s="21" t="s">
        <v>62</v>
      </c>
      <c r="AN60" s="21" t="s">
        <v>608</v>
      </c>
      <c r="AO60" s="21" t="s">
        <v>430</v>
      </c>
      <c r="AP60" s="21" t="s">
        <v>431</v>
      </c>
      <c r="AQ60" s="21" t="s">
        <v>350</v>
      </c>
      <c r="AR60" s="21" t="s">
        <v>8</v>
      </c>
      <c r="AS60" s="21" t="s">
        <v>622</v>
      </c>
      <c r="AT60" s="21" t="s">
        <v>291</v>
      </c>
      <c r="AU60" s="21" t="s">
        <v>177</v>
      </c>
      <c r="AV60" s="21" t="s">
        <v>291</v>
      </c>
      <c r="AW60" s="75" t="s">
        <v>487</v>
      </c>
      <c r="AX60" s="21"/>
      <c r="AY60" s="133" t="s">
        <v>658</v>
      </c>
      <c r="AZ60" s="138" t="s">
        <v>699</v>
      </c>
    </row>
    <row r="61" spans="1:52" s="30" customFormat="1">
      <c r="A61" s="20" t="str">
        <f t="shared" si="12"/>
        <v>27-2</v>
      </c>
      <c r="B61" s="21">
        <v>27</v>
      </c>
      <c r="C61" s="22" t="s">
        <v>111</v>
      </c>
      <c r="D61" s="21"/>
      <c r="E61" s="23">
        <v>2</v>
      </c>
      <c r="F61" s="24" t="s">
        <v>97</v>
      </c>
      <c r="G61" s="57" t="s">
        <v>656</v>
      </c>
      <c r="H61" s="24" t="str">
        <f t="shared" si="14"/>
        <v xml:space="preserve">Hose, Fuel Tank; Ø 34 mm × 42 mm; DTSM1647G-1C </v>
      </c>
      <c r="I61" s="24" t="s">
        <v>221</v>
      </c>
      <c r="J61" s="24" t="s">
        <v>222</v>
      </c>
      <c r="K61" s="24" t="s">
        <v>223</v>
      </c>
      <c r="L61" s="22" t="s">
        <v>235</v>
      </c>
      <c r="M61" s="22" t="s">
        <v>8</v>
      </c>
      <c r="N61" s="26" t="s">
        <v>101</v>
      </c>
      <c r="O61" s="26" t="s">
        <v>101</v>
      </c>
      <c r="P61" s="27" t="s">
        <v>244</v>
      </c>
      <c r="Q61" s="28" t="s">
        <v>661</v>
      </c>
      <c r="R61" s="30" t="s">
        <v>597</v>
      </c>
      <c r="S61" s="21" t="s">
        <v>577</v>
      </c>
      <c r="T61" s="21" t="s">
        <v>8</v>
      </c>
      <c r="U61" s="28" t="s">
        <v>175</v>
      </c>
      <c r="V61" s="21" t="s">
        <v>8</v>
      </c>
      <c r="W61" s="28" t="s">
        <v>175</v>
      </c>
      <c r="X61" s="21" t="s">
        <v>8</v>
      </c>
      <c r="Y61" s="28" t="s">
        <v>175</v>
      </c>
      <c r="Z61" s="21" t="s">
        <v>8</v>
      </c>
      <c r="AA61" s="21" t="s">
        <v>8</v>
      </c>
      <c r="AB61" s="21" t="s">
        <v>8</v>
      </c>
      <c r="AC61" s="28" t="s">
        <v>175</v>
      </c>
      <c r="AD61" s="28" t="s">
        <v>597</v>
      </c>
      <c r="AE61" s="21" t="s">
        <v>662</v>
      </c>
      <c r="AF61" s="21" t="s">
        <v>8</v>
      </c>
      <c r="AG61" s="21" t="s">
        <v>399</v>
      </c>
      <c r="AH61" s="21" t="s">
        <v>8</v>
      </c>
      <c r="AI61" s="33" t="s">
        <v>599</v>
      </c>
      <c r="AJ61" s="28" t="s">
        <v>663</v>
      </c>
      <c r="AK61" s="53" t="s">
        <v>651</v>
      </c>
      <c r="AL61" s="21" t="s">
        <v>325</v>
      </c>
      <c r="AM61" s="53" t="s">
        <v>651</v>
      </c>
      <c r="AN61" s="21" t="s">
        <v>378</v>
      </c>
      <c r="AO61" s="29" t="s">
        <v>286</v>
      </c>
      <c r="AP61" s="29" t="s">
        <v>653</v>
      </c>
      <c r="AQ61" s="28" t="s">
        <v>229</v>
      </c>
      <c r="AR61" s="28" t="s">
        <v>230</v>
      </c>
      <c r="AS61" s="21" t="s">
        <v>8</v>
      </c>
      <c r="AT61" s="21" t="s">
        <v>8</v>
      </c>
      <c r="AU61" s="61" t="s">
        <v>655</v>
      </c>
      <c r="AV61" s="28" t="s">
        <v>291</v>
      </c>
      <c r="AW61" s="75" t="s">
        <v>8</v>
      </c>
      <c r="AX61" s="75"/>
      <c r="AY61" s="78" t="s">
        <v>664</v>
      </c>
      <c r="AZ61" s="137" t="s">
        <v>699</v>
      </c>
    </row>
    <row r="62" spans="1:52" s="30" customFormat="1" ht="32.25" customHeight="1">
      <c r="A62" s="20" t="str">
        <f t="shared" ref="A62" si="15">CONCATENATE(B62,"-",E62)</f>
        <v>16-2</v>
      </c>
      <c r="B62" s="21">
        <v>16</v>
      </c>
      <c r="C62" s="22" t="s">
        <v>96</v>
      </c>
      <c r="D62" s="21" t="s">
        <v>449</v>
      </c>
      <c r="E62" s="23">
        <v>2</v>
      </c>
      <c r="F62" s="24" t="s">
        <v>97</v>
      </c>
      <c r="G62" s="57" t="s">
        <v>656</v>
      </c>
      <c r="H62" s="24" t="str">
        <f>CONCATENATE(I62,"; ",J62,"; ",K62," ")</f>
        <v xml:space="preserve">Hose, Ventilation; Ø 9 mm × 17 mm; DTSM1670G-1 </v>
      </c>
      <c r="I62" s="24" t="s">
        <v>153</v>
      </c>
      <c r="J62" s="24" t="s">
        <v>154</v>
      </c>
      <c r="K62" s="24" t="s">
        <v>193</v>
      </c>
      <c r="L62" s="22" t="s">
        <v>155</v>
      </c>
      <c r="M62" s="22" t="s">
        <v>127</v>
      </c>
      <c r="N62" s="26" t="s">
        <v>101</v>
      </c>
      <c r="O62" s="26" t="s">
        <v>101</v>
      </c>
      <c r="P62" s="27" t="s">
        <v>117</v>
      </c>
      <c r="Q62" s="22" t="s">
        <v>642</v>
      </c>
      <c r="R62" s="22" t="s">
        <v>643</v>
      </c>
      <c r="S62" s="21" t="s">
        <v>577</v>
      </c>
      <c r="T62" s="21" t="s">
        <v>577</v>
      </c>
      <c r="U62" s="28" t="s">
        <v>118</v>
      </c>
      <c r="V62" s="28" t="s">
        <v>175</v>
      </c>
      <c r="W62" s="28" t="s">
        <v>175</v>
      </c>
      <c r="X62" s="28" t="s">
        <v>175</v>
      </c>
      <c r="Y62" s="28" t="s">
        <v>175</v>
      </c>
      <c r="Z62" s="28" t="s">
        <v>175</v>
      </c>
      <c r="AA62" s="21" t="s">
        <v>8</v>
      </c>
      <c r="AB62" s="21" t="s">
        <v>8</v>
      </c>
      <c r="AC62" s="28" t="s">
        <v>175</v>
      </c>
      <c r="AD62" s="28" t="s">
        <v>175</v>
      </c>
      <c r="AE62" s="21" t="s">
        <v>646</v>
      </c>
      <c r="AF62" s="21" t="s">
        <v>644</v>
      </c>
      <c r="AG62" s="53" t="s">
        <v>399</v>
      </c>
      <c r="AH62" s="53" t="s">
        <v>399</v>
      </c>
      <c r="AI62" s="33" t="s">
        <v>599</v>
      </c>
      <c r="AJ62" s="28" t="s">
        <v>572</v>
      </c>
      <c r="AK62" s="21" t="s">
        <v>106</v>
      </c>
      <c r="AL62" s="21" t="s">
        <v>645</v>
      </c>
      <c r="AM62" s="21" t="s">
        <v>62</v>
      </c>
      <c r="AN62" s="21" t="s">
        <v>378</v>
      </c>
      <c r="AO62" s="29" t="s">
        <v>665</v>
      </c>
      <c r="AP62" s="29" t="s">
        <v>574</v>
      </c>
      <c r="AQ62" s="28" t="s">
        <v>140</v>
      </c>
      <c r="AR62" s="28" t="s">
        <v>232</v>
      </c>
      <c r="AS62" s="28" t="s">
        <v>288</v>
      </c>
      <c r="AT62" s="28" t="s">
        <v>291</v>
      </c>
      <c r="AU62" s="28" t="s">
        <v>647</v>
      </c>
      <c r="AV62" s="28" t="s">
        <v>291</v>
      </c>
      <c r="AW62" s="75" t="s">
        <v>486</v>
      </c>
      <c r="AX62" s="21"/>
      <c r="AY62" s="78" t="s">
        <v>725</v>
      </c>
      <c r="AZ62" s="137" t="s">
        <v>700</v>
      </c>
    </row>
    <row r="63" spans="1:52" s="30" customFormat="1" ht="24.75" customHeight="1">
      <c r="A63" s="20" t="str">
        <f>CONCATENATE(B63,"-",E63)</f>
        <v>22-2</v>
      </c>
      <c r="B63" s="21">
        <v>22</v>
      </c>
      <c r="C63" s="22" t="s">
        <v>96</v>
      </c>
      <c r="D63" s="21" t="s">
        <v>613</v>
      </c>
      <c r="E63" s="23">
        <v>2</v>
      </c>
      <c r="F63" s="24" t="s">
        <v>673</v>
      </c>
      <c r="G63" s="57" t="s">
        <v>656</v>
      </c>
      <c r="H63" s="24" t="str">
        <f>CONCATENATE(I63,"; ",J63,"; ",K63," ")</f>
        <v xml:space="preserve">Hose, Ventilation; Ø 15 mm × 22 mm; DTSM1670G-1 </v>
      </c>
      <c r="I63" s="24" t="s">
        <v>153</v>
      </c>
      <c r="J63" s="24" t="s">
        <v>170</v>
      </c>
      <c r="K63" s="24" t="s">
        <v>193</v>
      </c>
      <c r="L63" s="22" t="s">
        <v>155</v>
      </c>
      <c r="M63" s="22" t="s">
        <v>127</v>
      </c>
      <c r="N63" s="26" t="s">
        <v>101</v>
      </c>
      <c r="O63" s="26" t="s">
        <v>101</v>
      </c>
      <c r="P63" s="27" t="s">
        <v>172</v>
      </c>
      <c r="Q63" s="28" t="s">
        <v>173</v>
      </c>
      <c r="R63" s="28" t="s">
        <v>667</v>
      </c>
      <c r="S63" s="21" t="s">
        <v>577</v>
      </c>
      <c r="T63" s="21" t="s">
        <v>577</v>
      </c>
      <c r="U63" s="28" t="s">
        <v>118</v>
      </c>
      <c r="V63" s="28" t="s">
        <v>175</v>
      </c>
      <c r="W63" s="28" t="s">
        <v>175</v>
      </c>
      <c r="X63" s="28" t="s">
        <v>175</v>
      </c>
      <c r="Y63" s="28" t="s">
        <v>175</v>
      </c>
      <c r="Z63" s="28" t="s">
        <v>175</v>
      </c>
      <c r="AA63" s="21" t="s">
        <v>8</v>
      </c>
      <c r="AB63" s="21" t="s">
        <v>8</v>
      </c>
      <c r="AC63" s="28" t="s">
        <v>118</v>
      </c>
      <c r="AD63" s="28" t="s">
        <v>175</v>
      </c>
      <c r="AE63" s="21" t="s">
        <v>425</v>
      </c>
      <c r="AF63" s="21" t="s">
        <v>644</v>
      </c>
      <c r="AG63" s="21" t="s">
        <v>399</v>
      </c>
      <c r="AH63" s="53" t="s">
        <v>399</v>
      </c>
      <c r="AI63" s="33" t="s">
        <v>599</v>
      </c>
      <c r="AJ63" s="28" t="s">
        <v>621</v>
      </c>
      <c r="AK63" s="21" t="s">
        <v>106</v>
      </c>
      <c r="AL63" s="21" t="s">
        <v>429</v>
      </c>
      <c r="AM63" s="21" t="s">
        <v>62</v>
      </c>
      <c r="AN63" s="21" t="s">
        <v>378</v>
      </c>
      <c r="AO63" s="29" t="s">
        <v>430</v>
      </c>
      <c r="AP63" s="29" t="s">
        <v>431</v>
      </c>
      <c r="AQ63" s="28" t="s">
        <v>105</v>
      </c>
      <c r="AR63" s="28" t="s">
        <v>195</v>
      </c>
      <c r="AS63" s="28" t="s">
        <v>433</v>
      </c>
      <c r="AT63" s="28" t="s">
        <v>290</v>
      </c>
      <c r="AU63" s="28" t="s">
        <v>432</v>
      </c>
      <c r="AV63" s="28" t="s">
        <v>291</v>
      </c>
      <c r="AW63" s="75" t="s">
        <v>492</v>
      </c>
      <c r="AX63" s="21"/>
      <c r="AY63" s="133" t="s">
        <v>666</v>
      </c>
      <c r="AZ63" s="137" t="s">
        <v>699</v>
      </c>
    </row>
    <row r="64" spans="1:52" s="30" customFormat="1">
      <c r="A64" s="20" t="str">
        <f t="shared" ref="A64:A66" si="16">CONCATENATE(B64,"-",E64)</f>
        <v>24-1</v>
      </c>
      <c r="B64" s="21">
        <v>24</v>
      </c>
      <c r="C64" s="22" t="s">
        <v>96</v>
      </c>
      <c r="D64" s="21" t="s">
        <v>457</v>
      </c>
      <c r="E64" s="23">
        <v>1</v>
      </c>
      <c r="F64" s="24" t="s">
        <v>123</v>
      </c>
      <c r="G64" s="57" t="s">
        <v>656</v>
      </c>
      <c r="H64" s="24" t="str">
        <f t="shared" ref="H64" si="17">CONCATENATE(I64,"; ",J64,"; ",K64," ")</f>
        <v xml:space="preserve">Hose, Air; Ø 18 mm × 25 mm; TSM1671G-1A </v>
      </c>
      <c r="I64" s="24" t="s">
        <v>178</v>
      </c>
      <c r="J64" s="24" t="s">
        <v>179</v>
      </c>
      <c r="K64" s="24" t="s">
        <v>29</v>
      </c>
      <c r="L64" s="22" t="s">
        <v>155</v>
      </c>
      <c r="M64" s="22" t="s">
        <v>127</v>
      </c>
      <c r="N64" s="26" t="s">
        <v>101</v>
      </c>
      <c r="O64" s="26" t="s">
        <v>101</v>
      </c>
      <c r="P64" s="27" t="s">
        <v>180</v>
      </c>
      <c r="Q64" s="22" t="s">
        <v>668</v>
      </c>
      <c r="R64" s="28" t="s">
        <v>669</v>
      </c>
      <c r="S64" s="21" t="s">
        <v>577</v>
      </c>
      <c r="T64" s="21" t="s">
        <v>577</v>
      </c>
      <c r="U64" s="28" t="s">
        <v>118</v>
      </c>
      <c r="V64" s="28" t="s">
        <v>175</v>
      </c>
      <c r="W64" s="28" t="s">
        <v>175</v>
      </c>
      <c r="X64" s="28" t="s">
        <v>175</v>
      </c>
      <c r="Y64" s="28" t="s">
        <v>175</v>
      </c>
      <c r="Z64" s="28" t="s">
        <v>175</v>
      </c>
      <c r="AA64" s="21" t="s">
        <v>8</v>
      </c>
      <c r="AB64" s="21" t="s">
        <v>8</v>
      </c>
      <c r="AC64" s="28" t="s">
        <v>118</v>
      </c>
      <c r="AD64" s="28" t="s">
        <v>175</v>
      </c>
      <c r="AE64" s="21" t="s">
        <v>670</v>
      </c>
      <c r="AF64" s="21" t="s">
        <v>644</v>
      </c>
      <c r="AG64" s="21" t="s">
        <v>399</v>
      </c>
      <c r="AH64" s="53" t="s">
        <v>399</v>
      </c>
      <c r="AI64" s="33" t="s">
        <v>599</v>
      </c>
      <c r="AJ64" s="28" t="s">
        <v>671</v>
      </c>
      <c r="AK64" s="21" t="s">
        <v>106</v>
      </c>
      <c r="AL64" s="21" t="s">
        <v>410</v>
      </c>
      <c r="AM64" s="21" t="s">
        <v>62</v>
      </c>
      <c r="AN64" s="21" t="s">
        <v>378</v>
      </c>
      <c r="AO64" s="29" t="s">
        <v>672</v>
      </c>
      <c r="AP64" s="29" t="s">
        <v>582</v>
      </c>
      <c r="AQ64" s="28" t="s">
        <v>217</v>
      </c>
      <c r="AR64" s="28" t="s">
        <v>185</v>
      </c>
      <c r="AS64" s="28" t="s">
        <v>186</v>
      </c>
      <c r="AT64" s="28" t="s">
        <v>292</v>
      </c>
      <c r="AU64" s="28" t="s">
        <v>110</v>
      </c>
      <c r="AV64" s="28" t="s">
        <v>291</v>
      </c>
      <c r="AW64" s="75" t="s">
        <v>494</v>
      </c>
      <c r="AX64" s="21"/>
      <c r="AY64" s="78" t="s">
        <v>674</v>
      </c>
      <c r="AZ64" s="137" t="s">
        <v>699</v>
      </c>
    </row>
    <row r="65" spans="1:52" s="30" customFormat="1" ht="32.25" customHeight="1">
      <c r="A65" s="20" t="str">
        <f t="shared" si="16"/>
        <v>16-3</v>
      </c>
      <c r="B65" s="21">
        <v>16</v>
      </c>
      <c r="C65" s="22" t="s">
        <v>96</v>
      </c>
      <c r="D65" s="21" t="s">
        <v>449</v>
      </c>
      <c r="E65" s="23">
        <v>3</v>
      </c>
      <c r="F65" s="24" t="s">
        <v>97</v>
      </c>
      <c r="G65" s="57" t="s">
        <v>675</v>
      </c>
      <c r="H65" s="24" t="str">
        <f>CONCATENATE(I65,"; ",J65,"; ",K65," ")</f>
        <v xml:space="preserve">Hose, Ventilation; Ø 9 mm × 17 mm; DTSM1670G-1 </v>
      </c>
      <c r="I65" s="24" t="s">
        <v>153</v>
      </c>
      <c r="J65" s="24" t="s">
        <v>154</v>
      </c>
      <c r="K65" s="24" t="s">
        <v>193</v>
      </c>
      <c r="L65" s="22" t="s">
        <v>155</v>
      </c>
      <c r="M65" s="22" t="s">
        <v>127</v>
      </c>
      <c r="N65" s="26" t="s">
        <v>101</v>
      </c>
      <c r="O65" s="26" t="s">
        <v>101</v>
      </c>
      <c r="P65" s="27" t="s">
        <v>117</v>
      </c>
      <c r="Q65" s="22" t="s">
        <v>642</v>
      </c>
      <c r="R65" s="22" t="s">
        <v>643</v>
      </c>
      <c r="S65" s="21" t="s">
        <v>577</v>
      </c>
      <c r="T65" s="21" t="s">
        <v>577</v>
      </c>
      <c r="U65" s="28" t="s">
        <v>118</v>
      </c>
      <c r="V65" s="28" t="s">
        <v>118</v>
      </c>
      <c r="W65" s="28" t="s">
        <v>118</v>
      </c>
      <c r="X65" s="28" t="s">
        <v>118</v>
      </c>
      <c r="Y65" s="28" t="s">
        <v>118</v>
      </c>
      <c r="Z65" s="28" t="s">
        <v>118</v>
      </c>
      <c r="AA65" s="21" t="s">
        <v>8</v>
      </c>
      <c r="AB65" s="21" t="s">
        <v>8</v>
      </c>
      <c r="AC65" s="28" t="s">
        <v>118</v>
      </c>
      <c r="AD65" s="28" t="s">
        <v>118</v>
      </c>
      <c r="AE65" s="21" t="s">
        <v>646</v>
      </c>
      <c r="AF65" s="21" t="s">
        <v>644</v>
      </c>
      <c r="AG65" s="53" t="s">
        <v>399</v>
      </c>
      <c r="AH65" s="53" t="s">
        <v>399</v>
      </c>
      <c r="AI65" s="33" t="s">
        <v>599</v>
      </c>
      <c r="AJ65" s="28" t="s">
        <v>572</v>
      </c>
      <c r="AK65" s="21" t="s">
        <v>106</v>
      </c>
      <c r="AL65" s="21" t="s">
        <v>645</v>
      </c>
      <c r="AM65" s="21" t="s">
        <v>62</v>
      </c>
      <c r="AN65" s="21" t="s">
        <v>378</v>
      </c>
      <c r="AO65" s="29" t="s">
        <v>665</v>
      </c>
      <c r="AP65" s="29" t="s">
        <v>574</v>
      </c>
      <c r="AQ65" s="28" t="s">
        <v>140</v>
      </c>
      <c r="AR65" s="28" t="s">
        <v>232</v>
      </c>
      <c r="AS65" s="28" t="s">
        <v>676</v>
      </c>
      <c r="AT65" s="28" t="s">
        <v>291</v>
      </c>
      <c r="AU65" s="28" t="s">
        <v>647</v>
      </c>
      <c r="AV65" s="28" t="s">
        <v>291</v>
      </c>
      <c r="AW65" s="75" t="s">
        <v>486</v>
      </c>
      <c r="AX65" s="21"/>
      <c r="AY65" s="78" t="s">
        <v>725</v>
      </c>
      <c r="AZ65" s="137" t="s">
        <v>700</v>
      </c>
    </row>
    <row r="66" spans="1:52" s="45" customFormat="1">
      <c r="A66" s="20" t="str">
        <f t="shared" si="16"/>
        <v>45-0</v>
      </c>
      <c r="B66" s="21">
        <v>45</v>
      </c>
      <c r="C66" s="22" t="s">
        <v>111</v>
      </c>
      <c r="D66" s="21"/>
      <c r="E66" s="23">
        <v>0</v>
      </c>
      <c r="F66" s="24" t="s">
        <v>677</v>
      </c>
      <c r="G66" s="57" t="s">
        <v>678</v>
      </c>
      <c r="H66" s="20" t="str">
        <f t="shared" ref="H66" si="18">CONCATENATE(I66,"; ",J66,"; ",K66," ")</f>
        <v xml:space="preserve">Hose, Drain Staight; Ø 9 mm × 14 mm;  - </v>
      </c>
      <c r="I66" s="20" t="s">
        <v>680</v>
      </c>
      <c r="J66" s="24" t="s">
        <v>326</v>
      </c>
      <c r="K66" s="20" t="s">
        <v>597</v>
      </c>
      <c r="L66" s="40" t="s">
        <v>679</v>
      </c>
      <c r="M66" s="40" t="s">
        <v>8</v>
      </c>
      <c r="N66" s="41" t="s">
        <v>101</v>
      </c>
      <c r="O66" s="41" t="s">
        <v>8</v>
      </c>
      <c r="P66" s="27" t="s">
        <v>117</v>
      </c>
      <c r="Q66" s="22" t="s">
        <v>687</v>
      </c>
      <c r="R66" s="28" t="s">
        <v>597</v>
      </c>
      <c r="S66" s="21" t="s">
        <v>577</v>
      </c>
      <c r="T66" s="21" t="s">
        <v>8</v>
      </c>
      <c r="U66" s="28" t="s">
        <v>175</v>
      </c>
      <c r="V66" s="21" t="s">
        <v>8</v>
      </c>
      <c r="W66" s="28" t="s">
        <v>175</v>
      </c>
      <c r="X66" s="21" t="s">
        <v>8</v>
      </c>
      <c r="Y66" s="28" t="s">
        <v>175</v>
      </c>
      <c r="Z66" s="21" t="s">
        <v>8</v>
      </c>
      <c r="AA66" s="21" t="s">
        <v>8</v>
      </c>
      <c r="AB66" s="21" t="s">
        <v>8</v>
      </c>
      <c r="AC66" s="28" t="s">
        <v>175</v>
      </c>
      <c r="AD66" s="21" t="s">
        <v>8</v>
      </c>
      <c r="AE66" s="21" t="s">
        <v>686</v>
      </c>
      <c r="AF66" s="21" t="s">
        <v>8</v>
      </c>
      <c r="AG66" s="21" t="s">
        <v>399</v>
      </c>
      <c r="AH66" s="21" t="s">
        <v>8</v>
      </c>
      <c r="AI66" s="33" t="s">
        <v>599</v>
      </c>
      <c r="AJ66" s="28" t="s">
        <v>681</v>
      </c>
      <c r="AK66" s="53" t="s">
        <v>651</v>
      </c>
      <c r="AL66" s="21" t="s">
        <v>682</v>
      </c>
      <c r="AM66" s="53" t="s">
        <v>651</v>
      </c>
      <c r="AN66" s="21" t="s">
        <v>378</v>
      </c>
      <c r="AO66" s="29" t="s">
        <v>684</v>
      </c>
      <c r="AP66" s="29" t="s">
        <v>683</v>
      </c>
      <c r="AQ66" s="28" t="s">
        <v>157</v>
      </c>
      <c r="AR66" s="21" t="s">
        <v>8</v>
      </c>
      <c r="AS66" s="21" t="s">
        <v>8</v>
      </c>
      <c r="AT66" s="21" t="s">
        <v>8</v>
      </c>
      <c r="AU66" s="61" t="s">
        <v>289</v>
      </c>
      <c r="AV66" s="28" t="s">
        <v>291</v>
      </c>
      <c r="AW66" s="75" t="s">
        <v>8</v>
      </c>
      <c r="AX66" s="21"/>
      <c r="AY66" s="78" t="s">
        <v>685</v>
      </c>
      <c r="AZ66" s="137" t="s">
        <v>698</v>
      </c>
    </row>
    <row r="67" spans="1:52" s="45" customFormat="1" ht="51.6">
      <c r="A67" s="20" t="str">
        <f t="shared" ref="A67" si="19">CONCATENATE(B67,"-",E67)</f>
        <v>46-0</v>
      </c>
      <c r="B67" s="21">
        <v>46</v>
      </c>
      <c r="C67" s="22" t="s">
        <v>111</v>
      </c>
      <c r="D67" s="21"/>
      <c r="E67" s="23">
        <v>0</v>
      </c>
      <c r="F67" s="24" t="s">
        <v>97</v>
      </c>
      <c r="G67" s="57" t="s">
        <v>688</v>
      </c>
      <c r="H67" s="20" t="str">
        <f t="shared" ref="H67" si="20">CONCATENATE(I67,"; ",J67,"; ",K67," ")</f>
        <v xml:space="preserve">Hose, Clutch Reservoir; Ø 8.5 mm × 16.6 mm; DTSM1650G </v>
      </c>
      <c r="I67" s="20" t="s">
        <v>689</v>
      </c>
      <c r="J67" s="24" t="s">
        <v>113</v>
      </c>
      <c r="K67" s="20" t="s">
        <v>690</v>
      </c>
      <c r="L67" s="40" t="s">
        <v>691</v>
      </c>
      <c r="M67" s="40" t="s">
        <v>8</v>
      </c>
      <c r="N67" s="41" t="s">
        <v>101</v>
      </c>
      <c r="O67" s="41" t="s">
        <v>8</v>
      </c>
      <c r="P67" s="27" t="s">
        <v>117</v>
      </c>
      <c r="Q67" s="22" t="s">
        <v>692</v>
      </c>
      <c r="R67" s="28" t="s">
        <v>597</v>
      </c>
      <c r="S67" s="21" t="s">
        <v>577</v>
      </c>
      <c r="T67" s="21" t="s">
        <v>8</v>
      </c>
      <c r="U67" s="28" t="s">
        <v>175</v>
      </c>
      <c r="V67" s="21" t="s">
        <v>8</v>
      </c>
      <c r="W67" s="28" t="s">
        <v>175</v>
      </c>
      <c r="X67" s="21" t="s">
        <v>8</v>
      </c>
      <c r="Y67" s="28" t="s">
        <v>175</v>
      </c>
      <c r="Z67" s="21" t="s">
        <v>8</v>
      </c>
      <c r="AA67" s="21" t="s">
        <v>8</v>
      </c>
      <c r="AB67" s="21" t="s">
        <v>8</v>
      </c>
      <c r="AC67" s="28" t="s">
        <v>175</v>
      </c>
      <c r="AD67" s="21" t="s">
        <v>8</v>
      </c>
      <c r="AE67" s="21" t="s">
        <v>686</v>
      </c>
      <c r="AF67" s="21" t="s">
        <v>8</v>
      </c>
      <c r="AG67" s="21" t="s">
        <v>399</v>
      </c>
      <c r="AH67" s="21" t="s">
        <v>8</v>
      </c>
      <c r="AI67" s="33" t="s">
        <v>599</v>
      </c>
      <c r="AJ67" s="28" t="s">
        <v>693</v>
      </c>
      <c r="AK67" s="53" t="s">
        <v>651</v>
      </c>
      <c r="AL67" s="21" t="s">
        <v>682</v>
      </c>
      <c r="AM67" s="53" t="s">
        <v>651</v>
      </c>
      <c r="AN67" s="21" t="s">
        <v>378</v>
      </c>
      <c r="AO67" s="29" t="s">
        <v>684</v>
      </c>
      <c r="AP67" s="29" t="s">
        <v>683</v>
      </c>
      <c r="AQ67" s="28" t="s">
        <v>157</v>
      </c>
      <c r="AR67" s="28" t="s">
        <v>694</v>
      </c>
      <c r="AS67" s="21" t="s">
        <v>8</v>
      </c>
      <c r="AT67" s="21" t="s">
        <v>8</v>
      </c>
      <c r="AU67" s="61" t="s">
        <v>695</v>
      </c>
      <c r="AV67" s="28"/>
      <c r="AW67" s="75" t="e">
        <f>#REF!</f>
        <v>#REF!</v>
      </c>
      <c r="AX67" s="21" t="e">
        <f>#REF!</f>
        <v>#REF!</v>
      </c>
      <c r="AY67" s="78" t="s">
        <v>696</v>
      </c>
      <c r="AZ67" s="137" t="s">
        <v>698</v>
      </c>
    </row>
    <row r="68" spans="1:52" s="30" customFormat="1">
      <c r="B68" s="50"/>
      <c r="E68" s="67"/>
      <c r="G68" s="35"/>
      <c r="L68" s="32"/>
      <c r="M68" s="32"/>
      <c r="N68" s="11"/>
      <c r="O68" s="11"/>
      <c r="P68" s="32"/>
      <c r="Q68" s="32"/>
      <c r="R68" s="32"/>
      <c r="AV68" s="50"/>
      <c r="AX68" s="20"/>
      <c r="AY68" s="34"/>
    </row>
    <row r="69" spans="1:52" s="30" customFormat="1">
      <c r="B69" s="50"/>
      <c r="E69" s="67"/>
      <c r="G69" s="35"/>
      <c r="L69" s="32"/>
      <c r="M69" s="32"/>
      <c r="N69" s="11"/>
      <c r="O69" s="11"/>
      <c r="P69" s="32"/>
      <c r="Q69" s="32"/>
      <c r="R69" s="32"/>
      <c r="AV69" s="50"/>
      <c r="AX69" s="20"/>
      <c r="AY69" s="34"/>
    </row>
    <row r="70" spans="1:52" s="30" customFormat="1">
      <c r="B70" s="50"/>
      <c r="E70" s="67"/>
      <c r="G70" s="35"/>
      <c r="L70" s="32"/>
      <c r="M70" s="32"/>
      <c r="N70" s="11"/>
      <c r="O70" s="11"/>
      <c r="P70" s="32"/>
      <c r="Q70" s="32"/>
      <c r="R70" s="32"/>
      <c r="AV70" s="50"/>
      <c r="AX70" s="20"/>
      <c r="AY70" s="34"/>
    </row>
    <row r="71" spans="1:52" s="30" customFormat="1">
      <c r="B71" s="50"/>
      <c r="E71" s="67"/>
      <c r="G71" s="35"/>
      <c r="L71" s="32"/>
      <c r="M71" s="32"/>
      <c r="N71" s="11"/>
      <c r="O71" s="11"/>
      <c r="P71" s="32"/>
      <c r="Q71" s="32"/>
      <c r="R71" s="32"/>
      <c r="AV71" s="50"/>
      <c r="AX71" s="20"/>
      <c r="AY71" s="34"/>
    </row>
    <row r="72" spans="1:52" s="30" customFormat="1">
      <c r="B72" s="50"/>
      <c r="E72" s="67"/>
      <c r="G72" s="35"/>
      <c r="L72" s="32"/>
      <c r="M72" s="32"/>
      <c r="N72" s="11"/>
      <c r="O72" s="11"/>
      <c r="P72" s="32"/>
      <c r="Q72" s="32"/>
      <c r="R72" s="32"/>
      <c r="AV72" s="50"/>
      <c r="AX72" s="20"/>
      <c r="AY72" s="34"/>
    </row>
    <row r="73" spans="1:52" s="30" customFormat="1">
      <c r="B73" s="50"/>
      <c r="E73" s="67"/>
      <c r="G73" s="35"/>
      <c r="L73" s="32"/>
      <c r="M73" s="32"/>
      <c r="N73" s="11"/>
      <c r="O73" s="11"/>
      <c r="P73" s="32"/>
      <c r="Q73" s="32"/>
      <c r="R73" s="32"/>
      <c r="AV73" s="50"/>
      <c r="AX73" s="20"/>
      <c r="AY73" s="34"/>
    </row>
    <row r="74" spans="1:52" s="30" customFormat="1">
      <c r="B74" s="50"/>
      <c r="E74" s="67"/>
      <c r="G74" s="35"/>
      <c r="L74" s="32"/>
      <c r="M74" s="32"/>
      <c r="N74" s="11"/>
      <c r="O74" s="11"/>
      <c r="P74" s="32"/>
      <c r="Q74" s="32"/>
      <c r="R74" s="32"/>
      <c r="AV74" s="50"/>
      <c r="AX74" s="20"/>
      <c r="AY74" s="34"/>
    </row>
    <row r="75" spans="1:52" s="30" customFormat="1">
      <c r="B75" s="50"/>
      <c r="E75" s="67"/>
      <c r="G75" s="35"/>
      <c r="L75" s="32"/>
      <c r="M75" s="32"/>
      <c r="N75" s="11"/>
      <c r="O75" s="11"/>
      <c r="P75" s="32"/>
      <c r="Q75" s="32"/>
      <c r="R75" s="32"/>
      <c r="AV75" s="50"/>
      <c r="AX75" s="20"/>
      <c r="AY75" s="34"/>
    </row>
    <row r="76" spans="1:52" s="30" customFormat="1">
      <c r="B76" s="50"/>
      <c r="E76" s="67"/>
      <c r="G76" s="35"/>
      <c r="L76" s="32"/>
      <c r="M76" s="32"/>
      <c r="N76" s="11"/>
      <c r="O76" s="11"/>
      <c r="P76" s="32"/>
      <c r="Q76" s="32"/>
      <c r="R76" s="32"/>
      <c r="AV76" s="50"/>
      <c r="AX76" s="20"/>
      <c r="AY76" s="34"/>
    </row>
    <row r="77" spans="1:52" s="30" customFormat="1">
      <c r="B77" s="50"/>
      <c r="E77" s="67"/>
      <c r="G77" s="35"/>
      <c r="L77" s="32"/>
      <c r="M77" s="32"/>
      <c r="N77" s="11"/>
      <c r="O77" s="11"/>
      <c r="P77" s="32"/>
      <c r="Q77" s="32"/>
      <c r="R77" s="32"/>
      <c r="AV77" s="50"/>
      <c r="AX77" s="20"/>
      <c r="AY77" s="34"/>
    </row>
    <row r="78" spans="1:52" s="30" customFormat="1">
      <c r="B78" s="50"/>
      <c r="E78" s="67"/>
      <c r="G78" s="35"/>
      <c r="L78" s="32"/>
      <c r="M78" s="32"/>
      <c r="N78" s="11"/>
      <c r="O78" s="11"/>
      <c r="P78" s="32"/>
      <c r="Q78" s="32"/>
      <c r="R78" s="32"/>
      <c r="AV78" s="50"/>
      <c r="AX78" s="20"/>
      <c r="AY78" s="34"/>
    </row>
    <row r="79" spans="1:52" s="30" customFormat="1">
      <c r="B79" s="50"/>
      <c r="E79" s="67"/>
      <c r="G79" s="35"/>
      <c r="L79" s="32"/>
      <c r="M79" s="32"/>
      <c r="N79" s="11"/>
      <c r="O79" s="11"/>
      <c r="P79" s="32"/>
      <c r="Q79" s="32"/>
      <c r="R79" s="32"/>
      <c r="AV79" s="50"/>
      <c r="AX79" s="20"/>
      <c r="AY79" s="34"/>
    </row>
    <row r="80" spans="1:52" s="30" customFormat="1">
      <c r="B80" s="50"/>
      <c r="E80" s="67"/>
      <c r="G80" s="35"/>
      <c r="L80" s="32"/>
      <c r="M80" s="32"/>
      <c r="N80" s="11"/>
      <c r="O80" s="11"/>
      <c r="P80" s="32"/>
      <c r="Q80" s="32"/>
      <c r="R80" s="32"/>
      <c r="AV80" s="50"/>
      <c r="AX80" s="20"/>
      <c r="AY80" s="34"/>
    </row>
    <row r="81" spans="2:51" s="30" customFormat="1">
      <c r="B81" s="50"/>
      <c r="E81" s="67"/>
      <c r="G81" s="35"/>
      <c r="L81" s="32"/>
      <c r="M81" s="32"/>
      <c r="N81" s="11"/>
      <c r="O81" s="11"/>
      <c r="P81" s="32"/>
      <c r="Q81" s="32"/>
      <c r="R81" s="32"/>
      <c r="AV81" s="50"/>
      <c r="AX81" s="20"/>
      <c r="AY81" s="34"/>
    </row>
    <row r="82" spans="2:51" s="30" customFormat="1">
      <c r="B82" s="50"/>
      <c r="E82" s="67"/>
      <c r="G82" s="35"/>
      <c r="L82" s="32"/>
      <c r="M82" s="32"/>
      <c r="N82" s="11"/>
      <c r="O82" s="11"/>
      <c r="P82" s="32"/>
      <c r="Q82" s="32"/>
      <c r="R82" s="32"/>
      <c r="AV82" s="50"/>
      <c r="AX82" s="20"/>
      <c r="AY82" s="34"/>
    </row>
    <row r="83" spans="2:51" s="30" customFormat="1">
      <c r="B83" s="50"/>
      <c r="E83" s="67"/>
      <c r="G83" s="35"/>
      <c r="L83" s="32"/>
      <c r="M83" s="32"/>
      <c r="N83" s="11"/>
      <c r="O83" s="11"/>
      <c r="P83" s="32"/>
      <c r="Q83" s="32"/>
      <c r="R83" s="32"/>
      <c r="AV83" s="50"/>
      <c r="AX83" s="20"/>
      <c r="AY83" s="34"/>
    </row>
    <row r="84" spans="2:51" s="30" customFormat="1">
      <c r="B84" s="50"/>
      <c r="E84" s="67"/>
      <c r="G84" s="35"/>
      <c r="L84" s="32"/>
      <c r="M84" s="32"/>
      <c r="N84" s="11"/>
      <c r="O84" s="11"/>
      <c r="P84" s="32"/>
      <c r="Q84" s="32"/>
      <c r="R84" s="32"/>
      <c r="AV84" s="50"/>
      <c r="AY84" s="50"/>
    </row>
    <row r="85" spans="2:51" s="30" customFormat="1">
      <c r="B85" s="50"/>
      <c r="E85" s="67"/>
      <c r="G85" s="35"/>
      <c r="L85" s="32"/>
      <c r="M85" s="32"/>
      <c r="N85" s="11"/>
      <c r="O85" s="11"/>
      <c r="P85" s="32"/>
      <c r="Q85" s="32"/>
      <c r="R85" s="32"/>
      <c r="AV85" s="50"/>
      <c r="AY85" s="50"/>
    </row>
    <row r="86" spans="2:51" s="30" customFormat="1">
      <c r="B86" s="50"/>
      <c r="E86" s="67"/>
      <c r="G86" s="35"/>
      <c r="L86" s="32"/>
      <c r="M86" s="32"/>
      <c r="N86" s="11"/>
      <c r="O86" s="11"/>
      <c r="P86" s="32"/>
      <c r="Q86" s="32"/>
      <c r="R86" s="32"/>
      <c r="AV86" s="50"/>
      <c r="AY86" s="50"/>
    </row>
    <row r="87" spans="2:51" s="30" customFormat="1">
      <c r="B87" s="50"/>
      <c r="E87" s="67"/>
      <c r="G87" s="35"/>
      <c r="L87" s="32"/>
      <c r="M87" s="32"/>
      <c r="N87" s="11"/>
      <c r="O87" s="11"/>
      <c r="P87" s="32"/>
      <c r="Q87" s="32"/>
      <c r="R87" s="32"/>
      <c r="AV87" s="50"/>
      <c r="AY87" s="50"/>
    </row>
    <row r="88" spans="2:51" s="30" customFormat="1">
      <c r="B88" s="50"/>
      <c r="E88" s="67"/>
      <c r="G88" s="35"/>
      <c r="L88" s="32"/>
      <c r="M88" s="32"/>
      <c r="N88" s="11"/>
      <c r="O88" s="11"/>
      <c r="P88" s="32"/>
      <c r="Q88" s="32"/>
      <c r="R88" s="32"/>
      <c r="AV88" s="50"/>
      <c r="AY88" s="50"/>
    </row>
    <row r="89" spans="2:51" s="30" customFormat="1">
      <c r="B89" s="50"/>
      <c r="E89" s="67"/>
      <c r="G89" s="35"/>
      <c r="L89" s="32"/>
      <c r="M89" s="32"/>
      <c r="N89" s="11"/>
      <c r="O89" s="11"/>
      <c r="P89" s="32"/>
      <c r="Q89" s="32"/>
      <c r="R89" s="32"/>
      <c r="AV89" s="50"/>
      <c r="AY89" s="50"/>
    </row>
    <row r="90" spans="2:51" s="30" customFormat="1">
      <c r="B90" s="50"/>
      <c r="E90" s="67"/>
      <c r="G90" s="35"/>
      <c r="L90" s="32"/>
      <c r="M90" s="32"/>
      <c r="N90" s="11"/>
      <c r="O90" s="11"/>
      <c r="P90" s="32"/>
      <c r="Q90" s="32"/>
      <c r="R90" s="32"/>
      <c r="AV90" s="50"/>
      <c r="AY90" s="50"/>
    </row>
    <row r="91" spans="2:51" s="30" customFormat="1">
      <c r="B91" s="50"/>
      <c r="E91" s="67"/>
      <c r="G91" s="35"/>
      <c r="L91" s="32"/>
      <c r="M91" s="32"/>
      <c r="N91" s="11"/>
      <c r="O91" s="11"/>
      <c r="P91" s="32"/>
      <c r="Q91" s="32"/>
      <c r="R91" s="32"/>
      <c r="AV91" s="50"/>
      <c r="AY91" s="50"/>
    </row>
    <row r="92" spans="2:51" s="30" customFormat="1">
      <c r="B92" s="50"/>
      <c r="E92" s="67"/>
      <c r="G92" s="35"/>
      <c r="L92" s="32"/>
      <c r="M92" s="32"/>
      <c r="N92" s="11"/>
      <c r="O92" s="11"/>
      <c r="P92" s="32"/>
      <c r="Q92" s="32"/>
      <c r="R92" s="32"/>
      <c r="AV92" s="50"/>
      <c r="AY92" s="50"/>
    </row>
    <row r="93" spans="2:51" s="30" customFormat="1">
      <c r="B93" s="50"/>
      <c r="E93" s="67"/>
      <c r="G93" s="35"/>
      <c r="L93" s="32"/>
      <c r="M93" s="32"/>
      <c r="N93" s="11"/>
      <c r="O93" s="11"/>
      <c r="P93" s="32"/>
      <c r="Q93" s="32"/>
      <c r="R93" s="32"/>
      <c r="AV93" s="50"/>
      <c r="AY93" s="50"/>
    </row>
    <row r="94" spans="2:51" s="30" customFormat="1">
      <c r="B94" s="50"/>
      <c r="E94" s="67"/>
      <c r="G94" s="35"/>
      <c r="L94" s="32"/>
      <c r="M94" s="32"/>
      <c r="N94" s="11"/>
      <c r="O94" s="11"/>
      <c r="P94" s="32"/>
      <c r="Q94" s="32"/>
      <c r="R94" s="32"/>
      <c r="AV94" s="50"/>
      <c r="AY94" s="50"/>
    </row>
    <row r="95" spans="2:51" s="30" customFormat="1">
      <c r="B95" s="50"/>
      <c r="E95" s="67"/>
      <c r="G95" s="35"/>
      <c r="L95" s="32"/>
      <c r="M95" s="32"/>
      <c r="N95" s="11"/>
      <c r="O95" s="11"/>
      <c r="P95" s="32"/>
      <c r="Q95" s="32"/>
      <c r="R95" s="32"/>
      <c r="AV95" s="50"/>
      <c r="AY95" s="50"/>
    </row>
    <row r="96" spans="2:51" s="30" customFormat="1">
      <c r="B96" s="50"/>
      <c r="E96" s="67"/>
      <c r="G96" s="35"/>
      <c r="L96" s="32"/>
      <c r="M96" s="32"/>
      <c r="N96" s="11"/>
      <c r="O96" s="11"/>
      <c r="P96" s="32"/>
      <c r="Q96" s="32"/>
      <c r="R96" s="32"/>
      <c r="AV96" s="50"/>
      <c r="AY96" s="50"/>
    </row>
    <row r="97" spans="2:51" s="30" customFormat="1">
      <c r="B97" s="50"/>
      <c r="E97" s="67"/>
      <c r="G97" s="35"/>
      <c r="L97" s="32"/>
      <c r="M97" s="32"/>
      <c r="N97" s="11"/>
      <c r="O97" s="11"/>
      <c r="P97" s="32"/>
      <c r="Q97" s="32"/>
      <c r="R97" s="32"/>
      <c r="AV97" s="50"/>
      <c r="AY97" s="50"/>
    </row>
    <row r="98" spans="2:51" s="30" customFormat="1">
      <c r="B98" s="50"/>
      <c r="E98" s="67"/>
      <c r="G98" s="35"/>
      <c r="L98" s="32"/>
      <c r="M98" s="32"/>
      <c r="N98" s="11"/>
      <c r="O98" s="11"/>
      <c r="P98" s="32"/>
      <c r="Q98" s="32"/>
      <c r="R98" s="32"/>
      <c r="AV98" s="50"/>
      <c r="AY98" s="50"/>
    </row>
    <row r="99" spans="2:51" s="30" customFormat="1">
      <c r="B99" s="50"/>
      <c r="E99" s="67"/>
      <c r="G99" s="35"/>
      <c r="L99" s="32"/>
      <c r="M99" s="32"/>
      <c r="N99" s="11"/>
      <c r="O99" s="11"/>
      <c r="P99" s="32"/>
      <c r="Q99" s="32"/>
      <c r="R99" s="32"/>
      <c r="AV99" s="50"/>
      <c r="AY99" s="50"/>
    </row>
    <row r="100" spans="2:51" s="30" customFormat="1">
      <c r="B100" s="50"/>
      <c r="E100" s="67"/>
      <c r="G100" s="35"/>
      <c r="L100" s="32"/>
      <c r="M100" s="32"/>
      <c r="N100" s="11"/>
      <c r="O100" s="11"/>
      <c r="P100" s="32"/>
      <c r="Q100" s="32"/>
      <c r="R100" s="32"/>
      <c r="AV100" s="50"/>
      <c r="AY100" s="50"/>
    </row>
    <row r="101" spans="2:51" s="30" customFormat="1">
      <c r="B101" s="50"/>
      <c r="E101" s="67"/>
      <c r="G101" s="35"/>
      <c r="L101" s="32"/>
      <c r="M101" s="32"/>
      <c r="N101" s="11"/>
      <c r="O101" s="11"/>
      <c r="P101" s="32"/>
      <c r="Q101" s="32"/>
      <c r="R101" s="32"/>
      <c r="AV101" s="50"/>
      <c r="AY101" s="50"/>
    </row>
    <row r="102" spans="2:51" s="30" customFormat="1">
      <c r="B102" s="50"/>
      <c r="E102" s="67"/>
      <c r="G102" s="35"/>
      <c r="L102" s="32"/>
      <c r="M102" s="32"/>
      <c r="N102" s="11"/>
      <c r="O102" s="11"/>
      <c r="P102" s="32"/>
      <c r="Q102" s="32"/>
      <c r="R102" s="32"/>
      <c r="AV102" s="50"/>
      <c r="AY102" s="50"/>
    </row>
    <row r="103" spans="2:51" s="30" customFormat="1">
      <c r="B103" s="50"/>
      <c r="E103" s="67"/>
      <c r="G103" s="35"/>
      <c r="L103" s="32"/>
      <c r="M103" s="32"/>
      <c r="N103" s="11"/>
      <c r="O103" s="11"/>
      <c r="P103" s="32"/>
      <c r="Q103" s="32"/>
      <c r="R103" s="32"/>
      <c r="AV103" s="50"/>
      <c r="AY103" s="50"/>
    </row>
    <row r="104" spans="2:51" s="30" customFormat="1">
      <c r="B104" s="50"/>
      <c r="E104" s="67"/>
      <c r="G104" s="35"/>
      <c r="L104" s="32"/>
      <c r="M104" s="32"/>
      <c r="N104" s="11"/>
      <c r="O104" s="11"/>
      <c r="P104" s="32"/>
      <c r="Q104" s="32"/>
      <c r="R104" s="32"/>
      <c r="AV104" s="50"/>
      <c r="AY104" s="50"/>
    </row>
    <row r="105" spans="2:51" s="30" customFormat="1">
      <c r="B105" s="50"/>
      <c r="E105" s="67"/>
      <c r="G105" s="35"/>
      <c r="L105" s="32"/>
      <c r="M105" s="32"/>
      <c r="N105" s="11"/>
      <c r="O105" s="11"/>
      <c r="P105" s="32"/>
      <c r="Q105" s="32"/>
      <c r="R105" s="32"/>
      <c r="AV105" s="50"/>
      <c r="AY105" s="50"/>
    </row>
    <row r="106" spans="2:51" s="30" customFormat="1">
      <c r="B106" s="50"/>
      <c r="E106" s="67"/>
      <c r="G106" s="35"/>
      <c r="L106" s="32"/>
      <c r="M106" s="32"/>
      <c r="N106" s="11"/>
      <c r="O106" s="11"/>
      <c r="P106" s="32"/>
      <c r="Q106" s="32"/>
      <c r="R106" s="32"/>
      <c r="AV106" s="50"/>
      <c r="AY106" s="50"/>
    </row>
    <row r="107" spans="2:51" s="30" customFormat="1">
      <c r="B107" s="50"/>
      <c r="E107" s="67"/>
      <c r="G107" s="35"/>
      <c r="L107" s="32"/>
      <c r="M107" s="32"/>
      <c r="N107" s="11"/>
      <c r="O107" s="11"/>
      <c r="P107" s="32"/>
      <c r="Q107" s="32"/>
      <c r="R107" s="32"/>
      <c r="AV107" s="50"/>
      <c r="AY107" s="50"/>
    </row>
    <row r="108" spans="2:51" s="30" customFormat="1">
      <c r="B108" s="50"/>
      <c r="E108" s="67"/>
      <c r="G108" s="35"/>
      <c r="L108" s="32"/>
      <c r="M108" s="32"/>
      <c r="N108" s="11"/>
      <c r="O108" s="11"/>
      <c r="P108" s="32"/>
      <c r="Q108" s="32"/>
      <c r="R108" s="32"/>
      <c r="AV108" s="50"/>
      <c r="AY108" s="50"/>
    </row>
    <row r="109" spans="2:51" s="30" customFormat="1">
      <c r="B109" s="50"/>
      <c r="E109" s="67"/>
      <c r="G109" s="35"/>
      <c r="L109" s="32"/>
      <c r="M109" s="32"/>
      <c r="N109" s="11"/>
      <c r="O109" s="11"/>
      <c r="P109" s="32"/>
      <c r="Q109" s="32"/>
      <c r="R109" s="32"/>
      <c r="AV109" s="50"/>
      <c r="AY109" s="50"/>
    </row>
    <row r="110" spans="2:51" s="30" customFormat="1">
      <c r="B110" s="50"/>
      <c r="E110" s="67"/>
      <c r="G110" s="35"/>
      <c r="L110" s="32"/>
      <c r="M110" s="32"/>
      <c r="N110" s="11"/>
      <c r="O110" s="11"/>
      <c r="P110" s="32"/>
      <c r="Q110" s="32"/>
      <c r="R110" s="32"/>
      <c r="AV110" s="50"/>
      <c r="AY110" s="50"/>
    </row>
    <row r="111" spans="2:51" s="30" customFormat="1">
      <c r="B111" s="50"/>
      <c r="E111" s="67"/>
      <c r="G111" s="35"/>
      <c r="L111" s="32"/>
      <c r="M111" s="32"/>
      <c r="N111" s="11"/>
      <c r="O111" s="11"/>
      <c r="P111" s="32"/>
      <c r="Q111" s="32"/>
      <c r="R111" s="32"/>
      <c r="AV111" s="50"/>
      <c r="AY111" s="50"/>
    </row>
    <row r="112" spans="2:51" s="30" customFormat="1">
      <c r="B112" s="50"/>
      <c r="E112" s="67"/>
      <c r="G112" s="35"/>
      <c r="L112" s="32"/>
      <c r="M112" s="32"/>
      <c r="N112" s="11"/>
      <c r="O112" s="11"/>
      <c r="P112" s="32"/>
      <c r="Q112" s="32"/>
      <c r="R112" s="32"/>
      <c r="AV112" s="50"/>
      <c r="AY112" s="50"/>
    </row>
    <row r="113" spans="2:51" s="30" customFormat="1">
      <c r="B113" s="50"/>
      <c r="E113" s="67"/>
      <c r="G113" s="35"/>
      <c r="L113" s="32"/>
      <c r="M113" s="32"/>
      <c r="N113" s="11"/>
      <c r="O113" s="11"/>
      <c r="P113" s="32"/>
      <c r="Q113" s="32"/>
      <c r="R113" s="32"/>
      <c r="AV113" s="50"/>
      <c r="AY113" s="50"/>
    </row>
    <row r="114" spans="2:51" s="30" customFormat="1">
      <c r="B114" s="50"/>
      <c r="E114" s="67"/>
      <c r="G114" s="35"/>
      <c r="L114" s="32"/>
      <c r="M114" s="32"/>
      <c r="N114" s="11"/>
      <c r="O114" s="11"/>
      <c r="P114" s="32"/>
      <c r="Q114" s="32"/>
      <c r="R114" s="32"/>
      <c r="AV114" s="50"/>
      <c r="AY114" s="50"/>
    </row>
    <row r="115" spans="2:51" s="30" customFormat="1">
      <c r="B115" s="50"/>
      <c r="E115" s="67"/>
      <c r="G115" s="35"/>
      <c r="L115" s="32"/>
      <c r="M115" s="32"/>
      <c r="N115" s="11"/>
      <c r="O115" s="11"/>
      <c r="P115" s="32"/>
      <c r="Q115" s="32"/>
      <c r="R115" s="32"/>
      <c r="AV115" s="50"/>
      <c r="AY115" s="50"/>
    </row>
    <row r="116" spans="2:51" s="30" customFormat="1">
      <c r="B116" s="50"/>
      <c r="E116" s="67"/>
      <c r="G116" s="35"/>
      <c r="L116" s="32"/>
      <c r="M116" s="32"/>
      <c r="N116" s="11"/>
      <c r="O116" s="11"/>
      <c r="P116" s="32"/>
      <c r="Q116" s="32"/>
      <c r="R116" s="32"/>
      <c r="AV116" s="50"/>
      <c r="AY116" s="50"/>
    </row>
    <row r="117" spans="2:51" s="30" customFormat="1">
      <c r="B117" s="50"/>
      <c r="E117" s="67"/>
      <c r="G117" s="35"/>
      <c r="L117" s="32"/>
      <c r="M117" s="32"/>
      <c r="N117" s="11"/>
      <c r="O117" s="11"/>
      <c r="P117" s="32"/>
      <c r="Q117" s="32"/>
      <c r="R117" s="32"/>
      <c r="AV117" s="50"/>
      <c r="AY117" s="50"/>
    </row>
    <row r="118" spans="2:51" s="30" customFormat="1">
      <c r="B118" s="50"/>
      <c r="E118" s="67"/>
      <c r="G118" s="35"/>
      <c r="L118" s="32"/>
      <c r="M118" s="32"/>
      <c r="N118" s="11"/>
      <c r="O118" s="11"/>
      <c r="P118" s="32"/>
      <c r="Q118" s="32"/>
      <c r="R118" s="32"/>
      <c r="AV118" s="50"/>
      <c r="AY118" s="50"/>
    </row>
    <row r="119" spans="2:51" s="30" customFormat="1">
      <c r="B119" s="50"/>
      <c r="E119" s="67"/>
      <c r="G119" s="35"/>
      <c r="L119" s="32"/>
      <c r="M119" s="32"/>
      <c r="N119" s="11"/>
      <c r="O119" s="11"/>
      <c r="P119" s="32"/>
      <c r="Q119" s="32"/>
      <c r="R119" s="32"/>
      <c r="AV119" s="50"/>
      <c r="AY119" s="50"/>
    </row>
    <row r="120" spans="2:51" s="30" customFormat="1">
      <c r="B120" s="50"/>
      <c r="E120" s="67"/>
      <c r="G120" s="35"/>
      <c r="L120" s="32"/>
      <c r="M120" s="32"/>
      <c r="N120" s="11"/>
      <c r="O120" s="11"/>
      <c r="P120" s="32"/>
      <c r="Q120" s="32"/>
      <c r="R120" s="32"/>
      <c r="AV120" s="50"/>
      <c r="AY120" s="50"/>
    </row>
    <row r="121" spans="2:51" s="30" customFormat="1">
      <c r="B121" s="50"/>
      <c r="E121" s="67"/>
      <c r="G121" s="35"/>
      <c r="L121" s="32"/>
      <c r="M121" s="32"/>
      <c r="N121" s="11"/>
      <c r="O121" s="11"/>
      <c r="P121" s="32"/>
      <c r="Q121" s="32"/>
      <c r="R121" s="32"/>
      <c r="AV121" s="50"/>
      <c r="AY121" s="50"/>
    </row>
    <row r="122" spans="2:51" s="30" customFormat="1">
      <c r="B122" s="50"/>
      <c r="E122" s="67"/>
      <c r="G122" s="35"/>
      <c r="L122" s="32"/>
      <c r="M122" s="32"/>
      <c r="N122" s="11"/>
      <c r="O122" s="11"/>
      <c r="P122" s="32"/>
      <c r="Q122" s="32"/>
      <c r="R122" s="32"/>
      <c r="AV122" s="50"/>
      <c r="AY122" s="50"/>
    </row>
    <row r="123" spans="2:51" s="30" customFormat="1">
      <c r="B123" s="50"/>
      <c r="E123" s="67"/>
      <c r="G123" s="35"/>
      <c r="L123" s="32"/>
      <c r="M123" s="32"/>
      <c r="N123" s="11"/>
      <c r="O123" s="11"/>
      <c r="P123" s="32"/>
      <c r="Q123" s="32"/>
      <c r="R123" s="32"/>
      <c r="AV123" s="50"/>
      <c r="AY123" s="50"/>
    </row>
    <row r="124" spans="2:51" s="30" customFormat="1">
      <c r="B124" s="50"/>
      <c r="E124" s="67"/>
      <c r="G124" s="35"/>
      <c r="L124" s="32"/>
      <c r="M124" s="32"/>
      <c r="N124" s="11"/>
      <c r="O124" s="11"/>
      <c r="P124" s="32"/>
      <c r="Q124" s="32"/>
      <c r="R124" s="32"/>
      <c r="AV124" s="50"/>
      <c r="AY124" s="50"/>
    </row>
    <row r="125" spans="2:51" s="30" customFormat="1">
      <c r="B125" s="50"/>
      <c r="E125" s="67"/>
      <c r="G125" s="35"/>
      <c r="L125" s="32"/>
      <c r="M125" s="32"/>
      <c r="N125" s="11"/>
      <c r="O125" s="11"/>
      <c r="P125" s="32"/>
      <c r="Q125" s="32"/>
      <c r="R125" s="32"/>
      <c r="AV125" s="50"/>
      <c r="AY125" s="50"/>
    </row>
    <row r="126" spans="2:51" s="30" customFormat="1">
      <c r="B126" s="50"/>
      <c r="E126" s="67"/>
      <c r="G126" s="35"/>
      <c r="L126" s="32"/>
      <c r="M126" s="32"/>
      <c r="N126" s="11"/>
      <c r="O126" s="11"/>
      <c r="P126" s="32"/>
      <c r="Q126" s="32"/>
      <c r="R126" s="32"/>
      <c r="AV126" s="50"/>
      <c r="AY126" s="50"/>
    </row>
    <row r="127" spans="2:51" s="30" customFormat="1">
      <c r="B127" s="50"/>
      <c r="E127" s="67"/>
      <c r="G127" s="35"/>
      <c r="L127" s="32"/>
      <c r="M127" s="32"/>
      <c r="N127" s="11"/>
      <c r="O127" s="11"/>
      <c r="P127" s="32"/>
      <c r="Q127" s="32"/>
      <c r="R127" s="32"/>
      <c r="AV127" s="50"/>
      <c r="AY127" s="50"/>
    </row>
    <row r="128" spans="2:51" s="30" customFormat="1">
      <c r="B128" s="50"/>
      <c r="E128" s="67"/>
      <c r="G128" s="35"/>
      <c r="L128" s="32"/>
      <c r="M128" s="32"/>
      <c r="N128" s="11"/>
      <c r="O128" s="11"/>
      <c r="P128" s="32"/>
      <c r="Q128" s="32"/>
      <c r="R128" s="32"/>
      <c r="AV128" s="50"/>
      <c r="AY128" s="50"/>
    </row>
    <row r="129" spans="2:51" s="30" customFormat="1">
      <c r="B129" s="50"/>
      <c r="E129" s="67"/>
      <c r="G129" s="35"/>
      <c r="L129" s="32"/>
      <c r="M129" s="32"/>
      <c r="N129" s="11"/>
      <c r="O129" s="11"/>
      <c r="P129" s="32"/>
      <c r="Q129" s="32"/>
      <c r="R129" s="32"/>
      <c r="AV129" s="50"/>
      <c r="AY129" s="50"/>
    </row>
    <row r="130" spans="2:51" s="30" customFormat="1">
      <c r="B130" s="50"/>
      <c r="E130" s="67"/>
      <c r="G130" s="35"/>
      <c r="L130" s="32"/>
      <c r="M130" s="32"/>
      <c r="N130" s="11"/>
      <c r="O130" s="11"/>
      <c r="P130" s="32"/>
      <c r="Q130" s="32"/>
      <c r="R130" s="32"/>
      <c r="AV130" s="50"/>
      <c r="AY130" s="50"/>
    </row>
    <row r="131" spans="2:51" s="30" customFormat="1">
      <c r="B131" s="50"/>
      <c r="E131" s="67"/>
      <c r="G131" s="35"/>
      <c r="L131" s="32"/>
      <c r="M131" s="32"/>
      <c r="N131" s="11"/>
      <c r="O131" s="11"/>
      <c r="P131" s="32"/>
      <c r="Q131" s="32"/>
      <c r="R131" s="32"/>
      <c r="AV131" s="50"/>
      <c r="AY131" s="50"/>
    </row>
    <row r="132" spans="2:51" s="30" customFormat="1">
      <c r="B132" s="50"/>
      <c r="E132" s="67"/>
      <c r="G132" s="35"/>
      <c r="L132" s="32"/>
      <c r="M132" s="32"/>
      <c r="N132" s="11"/>
      <c r="O132" s="11"/>
      <c r="P132" s="32"/>
      <c r="Q132" s="32"/>
      <c r="R132" s="32"/>
      <c r="AV132" s="50"/>
      <c r="AY132" s="50"/>
    </row>
    <row r="133" spans="2:51" s="30" customFormat="1">
      <c r="B133" s="50"/>
      <c r="E133" s="67"/>
      <c r="G133" s="35"/>
      <c r="L133" s="32"/>
      <c r="M133" s="32"/>
      <c r="N133" s="11"/>
      <c r="O133" s="11"/>
      <c r="P133" s="32"/>
      <c r="Q133" s="32"/>
      <c r="R133" s="32"/>
      <c r="AV133" s="50"/>
      <c r="AY133" s="50"/>
    </row>
    <row r="134" spans="2:51" s="30" customFormat="1">
      <c r="B134" s="50"/>
      <c r="E134" s="67"/>
      <c r="G134" s="35"/>
      <c r="L134" s="32"/>
      <c r="M134" s="32"/>
      <c r="N134" s="11"/>
      <c r="O134" s="11"/>
      <c r="P134" s="32"/>
      <c r="Q134" s="32"/>
      <c r="R134" s="32"/>
      <c r="AV134" s="50"/>
      <c r="AY134" s="50"/>
    </row>
    <row r="135" spans="2:51" s="30" customFormat="1">
      <c r="B135" s="50"/>
      <c r="E135" s="67"/>
      <c r="G135" s="35"/>
      <c r="L135" s="32"/>
      <c r="M135" s="32"/>
      <c r="N135" s="11"/>
      <c r="O135" s="11"/>
      <c r="P135" s="32"/>
      <c r="Q135" s="32"/>
      <c r="R135" s="32"/>
      <c r="AV135" s="50"/>
      <c r="AY135" s="50"/>
    </row>
    <row r="136" spans="2:51" s="30" customFormat="1">
      <c r="B136" s="50"/>
      <c r="E136" s="67"/>
      <c r="G136" s="35"/>
      <c r="L136" s="32"/>
      <c r="M136" s="32"/>
      <c r="N136" s="11"/>
      <c r="O136" s="11"/>
      <c r="P136" s="32"/>
      <c r="Q136" s="32"/>
      <c r="R136" s="32"/>
      <c r="AV136" s="50"/>
      <c r="AY136" s="50"/>
    </row>
    <row r="137" spans="2:51" s="30" customFormat="1">
      <c r="B137" s="50"/>
      <c r="E137" s="67"/>
      <c r="G137" s="35"/>
      <c r="L137" s="32"/>
      <c r="M137" s="32"/>
      <c r="N137" s="11"/>
      <c r="O137" s="11"/>
      <c r="P137" s="32"/>
      <c r="Q137" s="32"/>
      <c r="R137" s="32"/>
      <c r="AV137" s="50"/>
      <c r="AY137" s="50"/>
    </row>
    <row r="138" spans="2:51" s="30" customFormat="1">
      <c r="B138" s="50"/>
      <c r="E138" s="67"/>
      <c r="G138" s="35"/>
      <c r="L138" s="32"/>
      <c r="M138" s="32"/>
      <c r="N138" s="11"/>
      <c r="O138" s="11"/>
      <c r="P138" s="32"/>
      <c r="Q138" s="32"/>
      <c r="R138" s="32"/>
      <c r="AV138" s="50"/>
      <c r="AY138" s="50"/>
    </row>
    <row r="139" spans="2:51" s="30" customFormat="1">
      <c r="B139" s="50"/>
      <c r="E139" s="67"/>
      <c r="G139" s="35"/>
      <c r="L139" s="32"/>
      <c r="M139" s="32"/>
      <c r="N139" s="11"/>
      <c r="O139" s="11"/>
      <c r="P139" s="32"/>
      <c r="Q139" s="32"/>
      <c r="R139" s="32"/>
      <c r="AV139" s="50"/>
      <c r="AY139" s="50"/>
    </row>
    <row r="140" spans="2:51" s="30" customFormat="1">
      <c r="B140" s="50"/>
      <c r="E140" s="67"/>
      <c r="G140" s="35"/>
      <c r="L140" s="32"/>
      <c r="M140" s="32"/>
      <c r="N140" s="11"/>
      <c r="O140" s="11"/>
      <c r="P140" s="32"/>
      <c r="Q140" s="32"/>
      <c r="R140" s="32"/>
      <c r="AV140" s="50"/>
      <c r="AY140" s="50"/>
    </row>
    <row r="141" spans="2:51" s="30" customFormat="1">
      <c r="B141" s="50"/>
      <c r="E141" s="67"/>
      <c r="G141" s="35"/>
      <c r="L141" s="32"/>
      <c r="M141" s="32"/>
      <c r="N141" s="11"/>
      <c r="O141" s="11"/>
      <c r="P141" s="32"/>
      <c r="Q141" s="32"/>
      <c r="R141" s="32"/>
      <c r="AV141" s="50"/>
      <c r="AY141" s="50"/>
    </row>
    <row r="142" spans="2:51" s="30" customFormat="1">
      <c r="B142" s="50"/>
      <c r="E142" s="67"/>
      <c r="G142" s="35"/>
      <c r="L142" s="32"/>
      <c r="M142" s="32"/>
      <c r="N142" s="11"/>
      <c r="O142" s="11"/>
      <c r="P142" s="32"/>
      <c r="Q142" s="32"/>
      <c r="R142" s="32"/>
      <c r="AV142" s="50"/>
      <c r="AY142" s="50"/>
    </row>
    <row r="143" spans="2:51" s="30" customFormat="1">
      <c r="B143" s="50"/>
      <c r="E143" s="67"/>
      <c r="G143" s="35"/>
      <c r="L143" s="32"/>
      <c r="M143" s="32"/>
      <c r="N143" s="11"/>
      <c r="O143" s="11"/>
      <c r="P143" s="32"/>
      <c r="Q143" s="32"/>
      <c r="R143" s="32"/>
      <c r="AV143" s="50"/>
      <c r="AY143" s="50"/>
    </row>
    <row r="144" spans="2:51" s="30" customFormat="1">
      <c r="B144" s="50"/>
      <c r="E144" s="67"/>
      <c r="G144" s="35"/>
      <c r="L144" s="32"/>
      <c r="M144" s="32"/>
      <c r="N144" s="11"/>
      <c r="O144" s="11"/>
      <c r="P144" s="32"/>
      <c r="Q144" s="32"/>
      <c r="R144" s="32"/>
      <c r="AV144" s="50"/>
      <c r="AY144" s="50"/>
    </row>
    <row r="145" spans="2:51" s="30" customFormat="1">
      <c r="B145" s="50"/>
      <c r="E145" s="67"/>
      <c r="G145" s="35"/>
      <c r="L145" s="32"/>
      <c r="M145" s="32"/>
      <c r="N145" s="11"/>
      <c r="O145" s="11"/>
      <c r="P145" s="32"/>
      <c r="Q145" s="32"/>
      <c r="R145" s="32"/>
      <c r="AV145" s="50"/>
      <c r="AY145" s="50"/>
    </row>
    <row r="146" spans="2:51" s="30" customFormat="1">
      <c r="B146" s="50"/>
      <c r="E146" s="67"/>
      <c r="G146" s="35"/>
      <c r="L146" s="32"/>
      <c r="M146" s="32"/>
      <c r="N146" s="11"/>
      <c r="O146" s="11"/>
      <c r="P146" s="32"/>
      <c r="Q146" s="32"/>
      <c r="R146" s="32"/>
      <c r="AV146" s="50"/>
      <c r="AY146" s="50"/>
    </row>
    <row r="147" spans="2:51" s="30" customFormat="1">
      <c r="B147" s="50"/>
      <c r="E147" s="67"/>
      <c r="G147" s="35"/>
      <c r="L147" s="32"/>
      <c r="M147" s="32"/>
      <c r="N147" s="11"/>
      <c r="O147" s="11"/>
      <c r="P147" s="32"/>
      <c r="Q147" s="32"/>
      <c r="R147" s="32"/>
      <c r="AV147" s="50"/>
      <c r="AY147" s="50"/>
    </row>
    <row r="148" spans="2:51" s="30" customFormat="1">
      <c r="B148" s="50"/>
      <c r="E148" s="67"/>
      <c r="G148" s="35"/>
      <c r="L148" s="32"/>
      <c r="M148" s="32"/>
      <c r="N148" s="11"/>
      <c r="O148" s="11"/>
      <c r="P148" s="32"/>
      <c r="Q148" s="32"/>
      <c r="R148" s="32"/>
      <c r="AV148" s="50"/>
      <c r="AY148" s="50"/>
    </row>
    <row r="149" spans="2:51" s="30" customFormat="1">
      <c r="B149" s="50"/>
      <c r="E149" s="67"/>
      <c r="G149" s="35"/>
      <c r="L149" s="32"/>
      <c r="M149" s="32"/>
      <c r="N149" s="11"/>
      <c r="O149" s="11"/>
      <c r="P149" s="32"/>
      <c r="Q149" s="32"/>
      <c r="R149" s="32"/>
      <c r="AV149" s="50"/>
      <c r="AY149" s="50"/>
    </row>
    <row r="150" spans="2:51" s="30" customFormat="1">
      <c r="B150" s="50"/>
      <c r="E150" s="67"/>
      <c r="G150" s="35"/>
      <c r="L150" s="32"/>
      <c r="M150" s="32"/>
      <c r="N150" s="11"/>
      <c r="O150" s="11"/>
      <c r="P150" s="32"/>
      <c r="Q150" s="32"/>
      <c r="R150" s="32"/>
      <c r="AV150" s="50"/>
      <c r="AY150" s="50"/>
    </row>
    <row r="151" spans="2:51" s="30" customFormat="1">
      <c r="B151" s="50"/>
      <c r="E151" s="67"/>
      <c r="G151" s="35"/>
      <c r="L151" s="32"/>
      <c r="M151" s="32"/>
      <c r="N151" s="11"/>
      <c r="O151" s="11"/>
      <c r="P151" s="32"/>
      <c r="Q151" s="32"/>
      <c r="R151" s="32"/>
      <c r="AV151" s="50"/>
      <c r="AY151" s="50"/>
    </row>
    <row r="152" spans="2:51" s="30" customFormat="1">
      <c r="B152" s="50"/>
      <c r="E152" s="67"/>
      <c r="G152" s="35"/>
      <c r="L152" s="32"/>
      <c r="M152" s="32"/>
      <c r="N152" s="11"/>
      <c r="O152" s="11"/>
      <c r="P152" s="32"/>
      <c r="Q152" s="32"/>
      <c r="R152" s="32"/>
      <c r="AV152" s="50"/>
      <c r="AY152" s="50"/>
    </row>
    <row r="153" spans="2:51" s="30" customFormat="1">
      <c r="B153" s="50"/>
      <c r="E153" s="67"/>
      <c r="G153" s="35"/>
      <c r="L153" s="32"/>
      <c r="M153" s="32"/>
      <c r="N153" s="11"/>
      <c r="O153" s="11"/>
      <c r="P153" s="32"/>
      <c r="Q153" s="32"/>
      <c r="R153" s="32"/>
      <c r="AV153" s="50"/>
      <c r="AY153" s="50"/>
    </row>
    <row r="154" spans="2:51" s="30" customFormat="1">
      <c r="B154" s="50"/>
      <c r="E154" s="67"/>
      <c r="G154" s="35"/>
      <c r="L154" s="32"/>
      <c r="M154" s="32"/>
      <c r="N154" s="11"/>
      <c r="O154" s="11"/>
      <c r="P154" s="32"/>
      <c r="Q154" s="32"/>
      <c r="R154" s="32"/>
      <c r="AV154" s="50"/>
      <c r="AY154" s="50"/>
    </row>
    <row r="155" spans="2:51" s="30" customFormat="1">
      <c r="B155" s="50"/>
      <c r="E155" s="67"/>
      <c r="G155" s="35"/>
      <c r="L155" s="32"/>
      <c r="M155" s="32"/>
      <c r="N155" s="11"/>
      <c r="O155" s="11"/>
      <c r="P155" s="32"/>
      <c r="Q155" s="32"/>
      <c r="R155" s="32"/>
      <c r="AV155" s="50"/>
      <c r="AY155" s="50"/>
    </row>
    <row r="156" spans="2:51" s="30" customFormat="1">
      <c r="B156" s="50"/>
      <c r="E156" s="67"/>
      <c r="G156" s="35"/>
      <c r="L156" s="32"/>
      <c r="M156" s="32"/>
      <c r="N156" s="11"/>
      <c r="O156" s="11"/>
      <c r="P156" s="32"/>
      <c r="Q156" s="32"/>
      <c r="R156" s="32"/>
      <c r="AV156" s="50"/>
      <c r="AY156" s="50"/>
    </row>
    <row r="157" spans="2:51" s="30" customFormat="1">
      <c r="B157" s="50"/>
      <c r="E157" s="67"/>
      <c r="G157" s="35"/>
      <c r="L157" s="32"/>
      <c r="M157" s="32"/>
      <c r="N157" s="11"/>
      <c r="O157" s="11"/>
      <c r="P157" s="32"/>
      <c r="Q157" s="32"/>
      <c r="R157" s="32"/>
      <c r="AV157" s="50"/>
      <c r="AY157" s="50"/>
    </row>
    <row r="158" spans="2:51" s="30" customFormat="1">
      <c r="B158" s="50"/>
      <c r="E158" s="67"/>
      <c r="G158" s="35"/>
      <c r="L158" s="32"/>
      <c r="M158" s="32"/>
      <c r="N158" s="11"/>
      <c r="O158" s="11"/>
      <c r="P158" s="32"/>
      <c r="Q158" s="32"/>
      <c r="R158" s="32"/>
      <c r="AV158" s="50"/>
      <c r="AY158" s="50"/>
    </row>
    <row r="159" spans="2:51" s="30" customFormat="1">
      <c r="B159" s="50"/>
      <c r="E159" s="67"/>
      <c r="G159" s="35"/>
      <c r="L159" s="32"/>
      <c r="M159" s="32"/>
      <c r="N159" s="11"/>
      <c r="O159" s="11"/>
      <c r="P159" s="32"/>
      <c r="Q159" s="32"/>
      <c r="R159" s="32"/>
      <c r="AV159" s="50"/>
      <c r="AY159" s="50"/>
    </row>
    <row r="160" spans="2:51" s="30" customFormat="1">
      <c r="B160" s="50"/>
      <c r="E160" s="67"/>
      <c r="G160" s="35"/>
      <c r="L160" s="32"/>
      <c r="M160" s="32"/>
      <c r="N160" s="11"/>
      <c r="O160" s="11"/>
      <c r="P160" s="32"/>
      <c r="Q160" s="32"/>
      <c r="R160" s="32"/>
      <c r="AV160" s="50"/>
      <c r="AY160" s="50"/>
    </row>
    <row r="161" spans="2:51" s="30" customFormat="1">
      <c r="B161" s="50"/>
      <c r="E161" s="67"/>
      <c r="G161" s="35"/>
      <c r="L161" s="32"/>
      <c r="M161" s="32"/>
      <c r="N161" s="11"/>
      <c r="O161" s="11"/>
      <c r="P161" s="32"/>
      <c r="Q161" s="32"/>
      <c r="R161" s="32"/>
      <c r="AV161" s="50"/>
      <c r="AY161" s="50"/>
    </row>
    <row r="162" spans="2:51" s="30" customFormat="1">
      <c r="B162" s="50"/>
      <c r="E162" s="67"/>
      <c r="G162" s="35"/>
      <c r="L162" s="32"/>
      <c r="M162" s="32"/>
      <c r="N162" s="11"/>
      <c r="O162" s="11"/>
      <c r="P162" s="32"/>
      <c r="Q162" s="32"/>
      <c r="R162" s="32"/>
      <c r="AV162" s="50"/>
      <c r="AY162" s="50"/>
    </row>
    <row r="163" spans="2:51" s="30" customFormat="1">
      <c r="B163" s="50"/>
      <c r="E163" s="67"/>
      <c r="G163" s="35"/>
      <c r="L163" s="32"/>
      <c r="M163" s="32"/>
      <c r="N163" s="11"/>
      <c r="O163" s="11"/>
      <c r="P163" s="32"/>
      <c r="Q163" s="32"/>
      <c r="R163" s="32"/>
      <c r="AV163" s="50"/>
      <c r="AY163" s="50"/>
    </row>
    <row r="164" spans="2:51" s="30" customFormat="1">
      <c r="B164" s="50"/>
      <c r="E164" s="67"/>
      <c r="G164" s="35"/>
      <c r="L164" s="32"/>
      <c r="M164" s="32"/>
      <c r="N164" s="11"/>
      <c r="O164" s="11"/>
      <c r="P164" s="32"/>
      <c r="Q164" s="32"/>
      <c r="R164" s="32"/>
      <c r="AV164" s="50"/>
      <c r="AY164" s="50"/>
    </row>
    <row r="165" spans="2:51" s="30" customFormat="1">
      <c r="B165" s="50"/>
      <c r="E165" s="67"/>
      <c r="G165" s="35"/>
      <c r="L165" s="32"/>
      <c r="M165" s="32"/>
      <c r="N165" s="11"/>
      <c r="O165" s="11"/>
      <c r="P165" s="32"/>
      <c r="Q165" s="32"/>
      <c r="R165" s="32"/>
      <c r="AV165" s="50"/>
      <c r="AY165" s="50"/>
    </row>
    <row r="166" spans="2:51" s="30" customFormat="1">
      <c r="B166" s="50"/>
      <c r="E166" s="67"/>
      <c r="G166" s="35"/>
      <c r="L166" s="32"/>
      <c r="M166" s="32"/>
      <c r="N166" s="11"/>
      <c r="O166" s="11"/>
      <c r="P166" s="32"/>
      <c r="Q166" s="32"/>
      <c r="R166" s="32"/>
      <c r="AV166" s="50"/>
      <c r="AY166" s="50"/>
    </row>
    <row r="167" spans="2:51" s="30" customFormat="1">
      <c r="B167" s="50"/>
      <c r="E167" s="67"/>
      <c r="G167" s="35"/>
      <c r="L167" s="32"/>
      <c r="M167" s="32"/>
      <c r="N167" s="11"/>
      <c r="O167" s="11"/>
      <c r="P167" s="32"/>
      <c r="Q167" s="32"/>
      <c r="R167" s="32"/>
      <c r="AV167" s="50"/>
      <c r="AY167" s="50"/>
    </row>
    <row r="168" spans="2:51" s="30" customFormat="1">
      <c r="B168" s="50"/>
      <c r="E168" s="67"/>
      <c r="G168" s="35"/>
      <c r="L168" s="32"/>
      <c r="M168" s="32"/>
      <c r="N168" s="11"/>
      <c r="O168" s="11"/>
      <c r="P168" s="32"/>
      <c r="Q168" s="32"/>
      <c r="R168" s="32"/>
      <c r="AV168" s="50"/>
      <c r="AY168" s="50"/>
    </row>
    <row r="169" spans="2:51" s="30" customFormat="1">
      <c r="B169" s="50"/>
      <c r="E169" s="67"/>
      <c r="G169" s="35"/>
      <c r="L169" s="32"/>
      <c r="M169" s="32"/>
      <c r="N169" s="11"/>
      <c r="O169" s="11"/>
      <c r="P169" s="32"/>
      <c r="Q169" s="32"/>
      <c r="R169" s="32"/>
      <c r="AV169" s="50"/>
      <c r="AY169" s="50"/>
    </row>
    <row r="170" spans="2:51" s="30" customFormat="1">
      <c r="B170" s="50"/>
      <c r="E170" s="67"/>
      <c r="G170" s="35"/>
      <c r="L170" s="32"/>
      <c r="M170" s="32"/>
      <c r="N170" s="11"/>
      <c r="O170" s="11"/>
      <c r="P170" s="32"/>
      <c r="Q170" s="32"/>
      <c r="R170" s="32"/>
      <c r="AV170" s="50"/>
      <c r="AY170" s="50"/>
    </row>
    <row r="171" spans="2:51" s="30" customFormat="1">
      <c r="B171" s="50"/>
      <c r="E171" s="67"/>
      <c r="G171" s="35"/>
      <c r="L171" s="32"/>
      <c r="M171" s="32"/>
      <c r="N171" s="11"/>
      <c r="O171" s="11"/>
      <c r="P171" s="32"/>
      <c r="Q171" s="32"/>
      <c r="R171" s="32"/>
      <c r="AV171" s="50"/>
      <c r="AY171" s="50"/>
    </row>
    <row r="172" spans="2:51" s="30" customFormat="1">
      <c r="B172" s="50"/>
      <c r="E172" s="67"/>
      <c r="G172" s="35"/>
      <c r="L172" s="32"/>
      <c r="M172" s="32"/>
      <c r="N172" s="11"/>
      <c r="O172" s="11"/>
      <c r="P172" s="32"/>
      <c r="Q172" s="32"/>
      <c r="R172" s="32"/>
      <c r="AV172" s="50"/>
      <c r="AY172" s="50"/>
    </row>
    <row r="173" spans="2:51" s="30" customFormat="1">
      <c r="B173" s="50"/>
      <c r="E173" s="67"/>
      <c r="G173" s="35"/>
      <c r="L173" s="32"/>
      <c r="M173" s="32"/>
      <c r="N173" s="11"/>
      <c r="O173" s="11"/>
      <c r="P173" s="32"/>
      <c r="Q173" s="32"/>
      <c r="R173" s="32"/>
      <c r="AV173" s="50"/>
      <c r="AY173" s="50"/>
    </row>
    <row r="174" spans="2:51" s="30" customFormat="1">
      <c r="B174" s="50"/>
      <c r="E174" s="67"/>
      <c r="G174" s="35"/>
      <c r="L174" s="32"/>
      <c r="M174" s="32"/>
      <c r="N174" s="11"/>
      <c r="O174" s="11"/>
      <c r="P174" s="32"/>
      <c r="Q174" s="32"/>
      <c r="R174" s="32"/>
      <c r="AV174" s="50"/>
      <c r="AY174" s="50"/>
    </row>
    <row r="175" spans="2:51" s="30" customFormat="1">
      <c r="B175" s="50"/>
      <c r="E175" s="67"/>
      <c r="G175" s="35"/>
      <c r="L175" s="32"/>
      <c r="M175" s="32"/>
      <c r="N175" s="11"/>
      <c r="O175" s="11"/>
      <c r="P175" s="32"/>
      <c r="Q175" s="32"/>
      <c r="R175" s="32"/>
      <c r="AV175" s="50"/>
      <c r="AY175" s="50"/>
    </row>
    <row r="176" spans="2:51" s="30" customFormat="1">
      <c r="B176" s="50"/>
      <c r="E176" s="67"/>
      <c r="G176" s="35"/>
      <c r="L176" s="32"/>
      <c r="M176" s="32"/>
      <c r="N176" s="11"/>
      <c r="O176" s="11"/>
      <c r="P176" s="32"/>
      <c r="Q176" s="32"/>
      <c r="R176" s="32"/>
      <c r="AV176" s="50"/>
      <c r="AY176" s="50"/>
    </row>
    <row r="177" spans="2:51" s="30" customFormat="1">
      <c r="B177" s="50"/>
      <c r="E177" s="67"/>
      <c r="G177" s="35"/>
      <c r="L177" s="32"/>
      <c r="M177" s="32"/>
      <c r="N177" s="11"/>
      <c r="O177" s="11"/>
      <c r="P177" s="32"/>
      <c r="Q177" s="32"/>
      <c r="R177" s="32"/>
      <c r="AV177" s="50"/>
      <c r="AY177" s="50"/>
    </row>
    <row r="178" spans="2:51" s="30" customFormat="1">
      <c r="B178" s="50"/>
      <c r="E178" s="67"/>
      <c r="G178" s="35"/>
      <c r="L178" s="32"/>
      <c r="M178" s="32"/>
      <c r="N178" s="11"/>
      <c r="O178" s="11"/>
      <c r="P178" s="32"/>
      <c r="Q178" s="32"/>
      <c r="R178" s="32"/>
      <c r="AV178" s="50"/>
      <c r="AY178" s="50"/>
    </row>
    <row r="179" spans="2:51" s="30" customFormat="1">
      <c r="B179" s="50"/>
      <c r="E179" s="67"/>
      <c r="G179" s="35"/>
      <c r="L179" s="32"/>
      <c r="M179" s="32"/>
      <c r="N179" s="11"/>
      <c r="O179" s="11"/>
      <c r="P179" s="32"/>
      <c r="Q179" s="32"/>
      <c r="R179" s="32"/>
      <c r="AV179" s="50"/>
      <c r="AY179" s="50"/>
    </row>
    <row r="180" spans="2:51" s="30" customFormat="1">
      <c r="B180" s="50"/>
      <c r="E180" s="67"/>
      <c r="G180" s="35"/>
      <c r="L180" s="32"/>
      <c r="M180" s="32"/>
      <c r="N180" s="11"/>
      <c r="O180" s="11"/>
      <c r="P180" s="32"/>
      <c r="Q180" s="32"/>
      <c r="R180" s="32"/>
      <c r="AV180" s="50"/>
      <c r="AY180" s="50"/>
    </row>
    <row r="181" spans="2:51" s="30" customFormat="1">
      <c r="B181" s="50"/>
      <c r="E181" s="67"/>
      <c r="G181" s="35"/>
      <c r="L181" s="32"/>
      <c r="M181" s="32"/>
      <c r="N181" s="11"/>
      <c r="O181" s="11"/>
      <c r="P181" s="32"/>
      <c r="Q181" s="32"/>
      <c r="R181" s="32"/>
      <c r="AV181" s="50"/>
      <c r="AY181" s="50"/>
    </row>
    <row r="182" spans="2:51" s="30" customFormat="1">
      <c r="B182" s="50"/>
      <c r="E182" s="67"/>
      <c r="G182" s="35"/>
      <c r="L182" s="32"/>
      <c r="M182" s="32"/>
      <c r="N182" s="11"/>
      <c r="O182" s="11"/>
      <c r="P182" s="32"/>
      <c r="Q182" s="32"/>
      <c r="R182" s="32"/>
      <c r="AV182" s="50"/>
      <c r="AY182" s="50"/>
    </row>
    <row r="183" spans="2:51" s="30" customFormat="1">
      <c r="B183" s="50"/>
      <c r="E183" s="67"/>
      <c r="G183" s="35"/>
      <c r="L183" s="32"/>
      <c r="M183" s="32"/>
      <c r="N183" s="11"/>
      <c r="O183" s="11"/>
      <c r="P183" s="32"/>
      <c r="Q183" s="32"/>
      <c r="R183" s="32"/>
      <c r="AV183" s="50"/>
      <c r="AY183" s="50"/>
    </row>
    <row r="184" spans="2:51" s="30" customFormat="1">
      <c r="B184" s="50"/>
      <c r="E184" s="67"/>
      <c r="G184" s="35"/>
      <c r="L184" s="32"/>
      <c r="M184" s="32"/>
      <c r="N184" s="11"/>
      <c r="O184" s="11"/>
      <c r="P184" s="32"/>
      <c r="Q184" s="32"/>
      <c r="R184" s="32"/>
      <c r="AV184" s="50"/>
      <c r="AY184" s="50"/>
    </row>
    <row r="185" spans="2:51" s="30" customFormat="1">
      <c r="B185" s="50"/>
      <c r="E185" s="67"/>
      <c r="G185" s="35"/>
      <c r="L185" s="32"/>
      <c r="M185" s="32"/>
      <c r="N185" s="11"/>
      <c r="O185" s="11"/>
      <c r="P185" s="32"/>
      <c r="Q185" s="32"/>
      <c r="R185" s="32"/>
      <c r="AV185" s="50"/>
      <c r="AY185" s="50"/>
    </row>
    <row r="186" spans="2:51" s="30" customFormat="1">
      <c r="B186" s="50"/>
      <c r="E186" s="67"/>
      <c r="G186" s="35"/>
      <c r="L186" s="32"/>
      <c r="M186" s="32"/>
      <c r="N186" s="11"/>
      <c r="O186" s="11"/>
      <c r="P186" s="32"/>
      <c r="Q186" s="32"/>
      <c r="R186" s="32"/>
      <c r="AV186" s="50"/>
      <c r="AY186" s="50"/>
    </row>
    <row r="187" spans="2:51" s="30" customFormat="1">
      <c r="B187" s="50"/>
      <c r="E187" s="67"/>
      <c r="G187" s="35"/>
      <c r="L187" s="32"/>
      <c r="M187" s="32"/>
      <c r="N187" s="11"/>
      <c r="O187" s="11"/>
      <c r="P187" s="32"/>
      <c r="Q187" s="32"/>
      <c r="R187" s="32"/>
      <c r="AV187" s="50"/>
      <c r="AY187" s="50"/>
    </row>
    <row r="188" spans="2:51" s="30" customFormat="1">
      <c r="B188" s="50"/>
      <c r="E188" s="67"/>
      <c r="G188" s="35"/>
      <c r="L188" s="32"/>
      <c r="M188" s="32"/>
      <c r="N188" s="11"/>
      <c r="O188" s="11"/>
      <c r="P188" s="32"/>
      <c r="Q188" s="32"/>
      <c r="R188" s="32"/>
      <c r="AV188" s="50"/>
      <c r="AY188" s="50"/>
    </row>
    <row r="189" spans="2:51" s="30" customFormat="1">
      <c r="B189" s="50"/>
      <c r="E189" s="67"/>
      <c r="G189" s="35"/>
      <c r="L189" s="32"/>
      <c r="M189" s="32"/>
      <c r="N189" s="11"/>
      <c r="O189" s="11"/>
      <c r="P189" s="32"/>
      <c r="Q189" s="32"/>
      <c r="R189" s="32"/>
      <c r="AV189" s="50"/>
      <c r="AY189" s="50"/>
    </row>
    <row r="190" spans="2:51" s="30" customFormat="1">
      <c r="B190" s="50"/>
      <c r="E190" s="67"/>
      <c r="G190" s="35"/>
      <c r="L190" s="32"/>
      <c r="M190" s="32"/>
      <c r="N190" s="11"/>
      <c r="O190" s="11"/>
      <c r="P190" s="32"/>
      <c r="Q190" s="32"/>
      <c r="R190" s="32"/>
      <c r="AV190" s="50"/>
      <c r="AY190" s="50"/>
    </row>
    <row r="191" spans="2:51" s="30" customFormat="1">
      <c r="B191" s="50"/>
      <c r="E191" s="67"/>
      <c r="G191" s="35"/>
      <c r="L191" s="32"/>
      <c r="M191" s="32"/>
      <c r="N191" s="11"/>
      <c r="O191" s="11"/>
      <c r="P191" s="32"/>
      <c r="Q191" s="32"/>
      <c r="R191" s="32"/>
      <c r="AV191" s="50"/>
      <c r="AY191" s="50"/>
    </row>
    <row r="192" spans="2:51" s="30" customFormat="1">
      <c r="B192" s="50"/>
      <c r="E192" s="67"/>
      <c r="G192" s="35"/>
      <c r="L192" s="32"/>
      <c r="M192" s="32"/>
      <c r="N192" s="11"/>
      <c r="O192" s="11"/>
      <c r="P192" s="32"/>
      <c r="Q192" s="32"/>
      <c r="R192" s="32"/>
      <c r="AV192" s="50"/>
      <c r="AY192" s="50"/>
    </row>
    <row r="193" spans="2:51" s="30" customFormat="1">
      <c r="B193" s="50"/>
      <c r="E193" s="67"/>
      <c r="G193" s="35"/>
      <c r="L193" s="32"/>
      <c r="M193" s="32"/>
      <c r="N193" s="11"/>
      <c r="O193" s="11"/>
      <c r="P193" s="32"/>
      <c r="Q193" s="32"/>
      <c r="R193" s="32"/>
      <c r="AV193" s="50"/>
      <c r="AY193" s="50"/>
    </row>
    <row r="194" spans="2:51" s="30" customFormat="1">
      <c r="B194" s="50"/>
      <c r="E194" s="67"/>
      <c r="G194" s="35"/>
      <c r="L194" s="32"/>
      <c r="M194" s="32"/>
      <c r="N194" s="11"/>
      <c r="O194" s="11"/>
      <c r="P194" s="32"/>
      <c r="Q194" s="32"/>
      <c r="R194" s="32"/>
      <c r="AV194" s="50"/>
      <c r="AY194" s="50"/>
    </row>
    <row r="195" spans="2:51" s="30" customFormat="1">
      <c r="B195" s="50"/>
      <c r="E195" s="67"/>
      <c r="G195" s="35"/>
      <c r="L195" s="32"/>
      <c r="M195" s="32"/>
      <c r="N195" s="11"/>
      <c r="O195" s="11"/>
      <c r="P195" s="32"/>
      <c r="Q195" s="32"/>
      <c r="R195" s="32"/>
      <c r="AV195" s="50"/>
      <c r="AY195" s="50"/>
    </row>
    <row r="196" spans="2:51" s="30" customFormat="1">
      <c r="B196" s="50"/>
      <c r="E196" s="67"/>
      <c r="G196" s="35"/>
      <c r="L196" s="32"/>
      <c r="M196" s="32"/>
      <c r="N196" s="11"/>
      <c r="O196" s="11"/>
      <c r="P196" s="32"/>
      <c r="Q196" s="32"/>
      <c r="R196" s="32"/>
      <c r="AV196" s="50"/>
      <c r="AY196" s="50"/>
    </row>
    <row r="197" spans="2:51" s="30" customFormat="1">
      <c r="B197" s="50"/>
      <c r="E197" s="67"/>
      <c r="G197" s="35"/>
      <c r="L197" s="32"/>
      <c r="M197" s="32"/>
      <c r="N197" s="11"/>
      <c r="O197" s="11"/>
      <c r="P197" s="32"/>
      <c r="Q197" s="32"/>
      <c r="R197" s="32"/>
      <c r="AV197" s="50"/>
      <c r="AY197" s="50"/>
    </row>
    <row r="198" spans="2:51" s="30" customFormat="1">
      <c r="B198" s="50"/>
      <c r="E198" s="67"/>
      <c r="G198" s="35"/>
      <c r="L198" s="32"/>
      <c r="M198" s="32"/>
      <c r="N198" s="11"/>
      <c r="O198" s="11"/>
      <c r="P198" s="32"/>
      <c r="Q198" s="32"/>
      <c r="R198" s="32"/>
      <c r="AV198" s="50"/>
      <c r="AY198" s="50"/>
    </row>
    <row r="199" spans="2:51" s="30" customFormat="1">
      <c r="B199" s="50"/>
      <c r="E199" s="67"/>
      <c r="G199" s="35"/>
      <c r="L199" s="32"/>
      <c r="M199" s="32"/>
      <c r="N199" s="11"/>
      <c r="O199" s="11"/>
      <c r="P199" s="32"/>
      <c r="Q199" s="32"/>
      <c r="R199" s="32"/>
      <c r="AV199" s="50"/>
      <c r="AY199" s="50"/>
    </row>
    <row r="200" spans="2:51" s="30" customFormat="1">
      <c r="B200" s="50"/>
      <c r="E200" s="67"/>
      <c r="G200" s="35"/>
      <c r="L200" s="32"/>
      <c r="M200" s="32"/>
      <c r="N200" s="11"/>
      <c r="O200" s="11"/>
      <c r="P200" s="32"/>
      <c r="Q200" s="32"/>
      <c r="R200" s="32"/>
      <c r="AV200" s="50"/>
      <c r="AY200" s="50"/>
    </row>
    <row r="201" spans="2:51" s="30" customFormat="1">
      <c r="B201" s="50"/>
      <c r="E201" s="67"/>
      <c r="G201" s="35"/>
      <c r="L201" s="32"/>
      <c r="M201" s="32"/>
      <c r="N201" s="11"/>
      <c r="O201" s="11"/>
      <c r="P201" s="32"/>
      <c r="Q201" s="32"/>
      <c r="R201" s="32"/>
      <c r="AV201" s="50"/>
      <c r="AY201" s="50"/>
    </row>
    <row r="202" spans="2:51" s="30" customFormat="1">
      <c r="B202" s="50"/>
      <c r="E202" s="67"/>
      <c r="G202" s="35"/>
      <c r="L202" s="32"/>
      <c r="M202" s="32"/>
      <c r="N202" s="11"/>
      <c r="O202" s="11"/>
      <c r="P202" s="32"/>
      <c r="Q202" s="32"/>
      <c r="R202" s="32"/>
      <c r="AV202" s="50"/>
      <c r="AY202" s="50"/>
    </row>
    <row r="203" spans="2:51" s="30" customFormat="1">
      <c r="B203" s="50"/>
      <c r="E203" s="67"/>
      <c r="G203" s="35"/>
      <c r="L203" s="32"/>
      <c r="M203" s="32"/>
      <c r="N203" s="11"/>
      <c r="O203" s="11"/>
      <c r="P203" s="32"/>
      <c r="Q203" s="32"/>
      <c r="R203" s="32"/>
      <c r="AV203" s="50"/>
      <c r="AY203" s="50"/>
    </row>
    <row r="204" spans="2:51" s="30" customFormat="1">
      <c r="B204" s="50"/>
      <c r="E204" s="67"/>
      <c r="G204" s="35"/>
      <c r="L204" s="32"/>
      <c r="M204" s="32"/>
      <c r="N204" s="11"/>
      <c r="O204" s="11"/>
      <c r="P204" s="32"/>
      <c r="Q204" s="32"/>
      <c r="R204" s="32"/>
      <c r="AV204" s="50"/>
      <c r="AY204" s="50"/>
    </row>
    <row r="205" spans="2:51" s="30" customFormat="1">
      <c r="B205" s="50"/>
      <c r="E205" s="67"/>
      <c r="G205" s="35"/>
      <c r="L205" s="32"/>
      <c r="M205" s="32"/>
      <c r="N205" s="11"/>
      <c r="O205" s="11"/>
      <c r="P205" s="32"/>
      <c r="Q205" s="32"/>
      <c r="R205" s="32"/>
      <c r="AV205" s="50"/>
      <c r="AY205" s="50"/>
    </row>
    <row r="206" spans="2:51" s="30" customFormat="1">
      <c r="B206" s="50"/>
      <c r="E206" s="67"/>
      <c r="G206" s="35"/>
      <c r="L206" s="32"/>
      <c r="M206" s="32"/>
      <c r="N206" s="11"/>
      <c r="O206" s="11"/>
      <c r="P206" s="32"/>
      <c r="Q206" s="32"/>
      <c r="R206" s="32"/>
      <c r="AV206" s="50"/>
      <c r="AY206" s="50"/>
    </row>
    <row r="207" spans="2:51" s="30" customFormat="1">
      <c r="B207" s="50"/>
      <c r="E207" s="67"/>
      <c r="G207" s="35"/>
      <c r="L207" s="32"/>
      <c r="M207" s="32"/>
      <c r="N207" s="11"/>
      <c r="O207" s="11"/>
      <c r="P207" s="32"/>
      <c r="Q207" s="32"/>
      <c r="R207" s="32"/>
      <c r="AV207" s="50"/>
      <c r="AY207" s="50"/>
    </row>
    <row r="208" spans="2:51" s="30" customFormat="1">
      <c r="B208" s="50"/>
      <c r="E208" s="67"/>
      <c r="G208" s="35"/>
      <c r="L208" s="32"/>
      <c r="M208" s="32"/>
      <c r="N208" s="11"/>
      <c r="O208" s="11"/>
      <c r="P208" s="32"/>
      <c r="Q208" s="32"/>
      <c r="R208" s="32"/>
      <c r="AV208" s="50"/>
      <c r="AY208" s="50"/>
    </row>
    <row r="209" spans="2:51" s="30" customFormat="1">
      <c r="B209" s="50"/>
      <c r="E209" s="67"/>
      <c r="G209" s="35"/>
      <c r="L209" s="32"/>
      <c r="M209" s="32"/>
      <c r="N209" s="11"/>
      <c r="O209" s="11"/>
      <c r="P209" s="32"/>
      <c r="Q209" s="32"/>
      <c r="R209" s="32"/>
      <c r="AV209" s="50"/>
      <c r="AY209" s="50"/>
    </row>
    <row r="210" spans="2:51" s="30" customFormat="1">
      <c r="B210" s="50"/>
      <c r="E210" s="67"/>
      <c r="G210" s="35"/>
      <c r="L210" s="32"/>
      <c r="M210" s="32"/>
      <c r="N210" s="11"/>
      <c r="O210" s="11"/>
      <c r="P210" s="32"/>
      <c r="Q210" s="32"/>
      <c r="R210" s="32"/>
      <c r="AV210" s="50"/>
      <c r="AY210" s="50"/>
    </row>
    <row r="211" spans="2:51" s="30" customFormat="1">
      <c r="B211" s="50"/>
      <c r="E211" s="67"/>
      <c r="G211" s="35"/>
      <c r="L211" s="32"/>
      <c r="M211" s="32"/>
      <c r="N211" s="11"/>
      <c r="O211" s="11"/>
      <c r="P211" s="32"/>
      <c r="Q211" s="32"/>
      <c r="R211" s="32"/>
      <c r="AV211" s="50"/>
      <c r="AY211" s="50"/>
    </row>
    <row r="212" spans="2:51" s="30" customFormat="1">
      <c r="B212" s="50"/>
      <c r="E212" s="67"/>
      <c r="G212" s="35"/>
      <c r="L212" s="32"/>
      <c r="M212" s="32"/>
      <c r="N212" s="11"/>
      <c r="O212" s="11"/>
      <c r="P212" s="32"/>
      <c r="Q212" s="32"/>
      <c r="R212" s="32"/>
      <c r="AV212" s="50"/>
      <c r="AY212" s="50"/>
    </row>
    <row r="213" spans="2:51" s="30" customFormat="1">
      <c r="B213" s="50"/>
      <c r="E213" s="67"/>
      <c r="G213" s="35"/>
      <c r="L213" s="32"/>
      <c r="M213" s="32"/>
      <c r="N213" s="11"/>
      <c r="O213" s="11"/>
      <c r="P213" s="32"/>
      <c r="Q213" s="32"/>
      <c r="R213" s="32"/>
      <c r="AV213" s="50"/>
      <c r="AY213" s="50"/>
    </row>
    <row r="214" spans="2:51" s="30" customFormat="1">
      <c r="B214" s="50"/>
      <c r="E214" s="67"/>
      <c r="G214" s="35"/>
      <c r="L214" s="32"/>
      <c r="M214" s="32"/>
      <c r="N214" s="11"/>
      <c r="O214" s="11"/>
      <c r="P214" s="32"/>
      <c r="Q214" s="32"/>
      <c r="R214" s="32"/>
      <c r="AV214" s="50"/>
      <c r="AY214" s="50"/>
    </row>
    <row r="215" spans="2:51" s="30" customFormat="1">
      <c r="B215" s="50"/>
      <c r="E215" s="67"/>
      <c r="G215" s="35"/>
      <c r="L215" s="32"/>
      <c r="M215" s="32"/>
      <c r="N215" s="11"/>
      <c r="O215" s="11"/>
      <c r="P215" s="32"/>
      <c r="Q215" s="32"/>
      <c r="R215" s="32"/>
      <c r="AV215" s="50"/>
      <c r="AY215" s="50"/>
    </row>
    <row r="216" spans="2:51" s="30" customFormat="1">
      <c r="B216" s="50"/>
      <c r="E216" s="67"/>
      <c r="G216" s="35"/>
      <c r="L216" s="32"/>
      <c r="M216" s="32"/>
      <c r="N216" s="11"/>
      <c r="O216" s="11"/>
      <c r="P216" s="32"/>
      <c r="Q216" s="32"/>
      <c r="R216" s="32"/>
      <c r="AV216" s="50"/>
      <c r="AY216" s="50"/>
    </row>
    <row r="217" spans="2:51" s="30" customFormat="1">
      <c r="B217" s="50"/>
      <c r="E217" s="67"/>
      <c r="G217" s="35"/>
      <c r="L217" s="32"/>
      <c r="M217" s="32"/>
      <c r="N217" s="11"/>
      <c r="O217" s="11"/>
      <c r="P217" s="32"/>
      <c r="Q217" s="32"/>
      <c r="R217" s="32"/>
      <c r="AV217" s="50"/>
      <c r="AY217" s="50"/>
    </row>
    <row r="218" spans="2:51" s="30" customFormat="1">
      <c r="B218" s="50"/>
      <c r="E218" s="67"/>
      <c r="G218" s="35"/>
      <c r="L218" s="32"/>
      <c r="M218" s="32"/>
      <c r="N218" s="11"/>
      <c r="O218" s="11"/>
      <c r="P218" s="32"/>
      <c r="Q218" s="32"/>
      <c r="R218" s="32"/>
      <c r="AV218" s="50"/>
      <c r="AY218" s="50"/>
    </row>
    <row r="219" spans="2:51" s="30" customFormat="1">
      <c r="B219" s="50"/>
      <c r="E219" s="67"/>
      <c r="G219" s="35"/>
      <c r="L219" s="32"/>
      <c r="M219" s="32"/>
      <c r="N219" s="11"/>
      <c r="O219" s="11"/>
      <c r="P219" s="32"/>
      <c r="Q219" s="32"/>
      <c r="R219" s="32"/>
      <c r="AV219" s="50"/>
      <c r="AY219" s="50"/>
    </row>
    <row r="220" spans="2:51" s="30" customFormat="1">
      <c r="B220" s="50"/>
      <c r="E220" s="67"/>
      <c r="G220" s="35"/>
      <c r="L220" s="32"/>
      <c r="M220" s="32"/>
      <c r="N220" s="11"/>
      <c r="O220" s="11"/>
      <c r="P220" s="32"/>
      <c r="Q220" s="32"/>
      <c r="R220" s="32"/>
      <c r="AV220" s="50"/>
      <c r="AY220" s="50"/>
    </row>
    <row r="221" spans="2:51" s="30" customFormat="1">
      <c r="B221" s="50"/>
      <c r="E221" s="67"/>
      <c r="G221" s="35"/>
      <c r="L221" s="32"/>
      <c r="M221" s="32"/>
      <c r="N221" s="11"/>
      <c r="O221" s="11"/>
      <c r="P221" s="32"/>
      <c r="Q221" s="32"/>
      <c r="R221" s="32"/>
      <c r="AV221" s="50"/>
      <c r="AY221" s="50"/>
    </row>
    <row r="222" spans="2:51" s="30" customFormat="1">
      <c r="B222" s="50"/>
      <c r="E222" s="67"/>
      <c r="G222" s="35"/>
      <c r="L222" s="32"/>
      <c r="M222" s="32"/>
      <c r="N222" s="11"/>
      <c r="O222" s="11"/>
      <c r="P222" s="32"/>
      <c r="Q222" s="32"/>
      <c r="R222" s="32"/>
      <c r="AV222" s="50"/>
      <c r="AY222" s="50"/>
    </row>
    <row r="223" spans="2:51" s="30" customFormat="1">
      <c r="B223" s="50"/>
      <c r="E223" s="67"/>
      <c r="G223" s="35"/>
      <c r="L223" s="32"/>
      <c r="M223" s="32"/>
      <c r="N223" s="11"/>
      <c r="O223" s="11"/>
      <c r="P223" s="32"/>
      <c r="Q223" s="32"/>
      <c r="R223" s="32"/>
      <c r="AV223" s="50"/>
      <c r="AY223" s="50"/>
    </row>
    <row r="224" spans="2:51" s="30" customFormat="1">
      <c r="B224" s="50"/>
      <c r="E224" s="67"/>
      <c r="G224" s="35"/>
      <c r="L224" s="32"/>
      <c r="M224" s="32"/>
      <c r="N224" s="11"/>
      <c r="O224" s="11"/>
      <c r="P224" s="32"/>
      <c r="Q224" s="32"/>
      <c r="R224" s="32"/>
      <c r="AV224" s="50"/>
      <c r="AY224" s="50"/>
    </row>
    <row r="225" spans="2:51" s="30" customFormat="1">
      <c r="B225" s="50"/>
      <c r="E225" s="67"/>
      <c r="G225" s="35"/>
      <c r="L225" s="32"/>
      <c r="M225" s="32"/>
      <c r="N225" s="11"/>
      <c r="O225" s="11"/>
      <c r="P225" s="32"/>
      <c r="Q225" s="32"/>
      <c r="R225" s="32"/>
      <c r="AV225" s="50"/>
      <c r="AY225" s="50"/>
    </row>
    <row r="226" spans="2:51" s="30" customFormat="1">
      <c r="B226" s="50"/>
      <c r="E226" s="67"/>
      <c r="G226" s="35"/>
      <c r="L226" s="32"/>
      <c r="M226" s="32"/>
      <c r="N226" s="11"/>
      <c r="O226" s="11"/>
      <c r="P226" s="32"/>
      <c r="Q226" s="32"/>
      <c r="R226" s="32"/>
      <c r="AV226" s="50"/>
      <c r="AY226" s="50"/>
    </row>
    <row r="227" spans="2:51" s="30" customFormat="1">
      <c r="B227" s="50"/>
      <c r="E227" s="67"/>
      <c r="G227" s="35"/>
      <c r="L227" s="32"/>
      <c r="M227" s="32"/>
      <c r="N227" s="11"/>
      <c r="O227" s="11"/>
      <c r="P227" s="32"/>
      <c r="Q227" s="32"/>
      <c r="R227" s="32"/>
      <c r="AV227" s="50"/>
      <c r="AY227" s="50"/>
    </row>
    <row r="228" spans="2:51" s="30" customFormat="1">
      <c r="B228" s="50"/>
      <c r="E228" s="67"/>
      <c r="G228" s="35"/>
      <c r="L228" s="32"/>
      <c r="M228" s="32"/>
      <c r="N228" s="11"/>
      <c r="O228" s="11"/>
      <c r="P228" s="32"/>
      <c r="Q228" s="32"/>
      <c r="R228" s="32"/>
      <c r="AV228" s="50"/>
      <c r="AY228" s="50"/>
    </row>
    <row r="229" spans="2:51" s="30" customFormat="1">
      <c r="B229" s="50"/>
      <c r="E229" s="67"/>
      <c r="G229" s="35"/>
      <c r="L229" s="32"/>
      <c r="M229" s="32"/>
      <c r="N229" s="11"/>
      <c r="O229" s="11"/>
      <c r="P229" s="32"/>
      <c r="Q229" s="32"/>
      <c r="R229" s="32"/>
      <c r="AV229" s="50"/>
      <c r="AY229" s="50"/>
    </row>
    <row r="230" spans="2:51" s="30" customFormat="1">
      <c r="B230" s="50"/>
      <c r="E230" s="67"/>
      <c r="G230" s="35"/>
      <c r="L230" s="32"/>
      <c r="M230" s="32"/>
      <c r="N230" s="11"/>
      <c r="O230" s="11"/>
      <c r="P230" s="32"/>
      <c r="Q230" s="32"/>
      <c r="R230" s="32"/>
      <c r="AV230" s="50"/>
      <c r="AY230" s="50"/>
    </row>
    <row r="231" spans="2:51" s="30" customFormat="1">
      <c r="B231" s="50"/>
      <c r="E231" s="67"/>
      <c r="G231" s="35"/>
      <c r="L231" s="32"/>
      <c r="M231" s="32"/>
      <c r="N231" s="11"/>
      <c r="O231" s="11"/>
      <c r="P231" s="32"/>
      <c r="Q231" s="32"/>
      <c r="R231" s="32"/>
      <c r="AV231" s="50"/>
      <c r="AY231" s="50"/>
    </row>
    <row r="232" spans="2:51" s="30" customFormat="1">
      <c r="B232" s="50"/>
      <c r="E232" s="67"/>
      <c r="G232" s="35"/>
      <c r="L232" s="32"/>
      <c r="M232" s="32"/>
      <c r="N232" s="11"/>
      <c r="O232" s="11"/>
      <c r="P232" s="32"/>
      <c r="Q232" s="32"/>
      <c r="R232" s="32"/>
      <c r="AV232" s="50"/>
      <c r="AY232" s="50"/>
    </row>
    <row r="233" spans="2:51" s="30" customFormat="1">
      <c r="B233" s="50"/>
      <c r="E233" s="67"/>
      <c r="G233" s="35"/>
      <c r="L233" s="32"/>
      <c r="M233" s="32"/>
      <c r="N233" s="11"/>
      <c r="O233" s="11"/>
      <c r="P233" s="32"/>
      <c r="Q233" s="32"/>
      <c r="R233" s="32"/>
      <c r="AV233" s="50"/>
      <c r="AY233" s="50"/>
    </row>
    <row r="234" spans="2:51" s="30" customFormat="1">
      <c r="B234" s="50"/>
      <c r="E234" s="67"/>
      <c r="G234" s="35"/>
      <c r="L234" s="32"/>
      <c r="M234" s="32"/>
      <c r="N234" s="11"/>
      <c r="O234" s="11"/>
      <c r="P234" s="32"/>
      <c r="Q234" s="32"/>
      <c r="R234" s="32"/>
      <c r="AV234" s="50"/>
      <c r="AY234" s="50"/>
    </row>
    <row r="235" spans="2:51" s="30" customFormat="1">
      <c r="B235" s="50"/>
      <c r="E235" s="67"/>
      <c r="G235" s="35"/>
      <c r="L235" s="32"/>
      <c r="M235" s="32"/>
      <c r="N235" s="11"/>
      <c r="O235" s="11"/>
      <c r="P235" s="32"/>
      <c r="Q235" s="32"/>
      <c r="R235" s="32"/>
      <c r="AV235" s="50"/>
      <c r="AY235" s="50"/>
    </row>
    <row r="236" spans="2:51" s="30" customFormat="1">
      <c r="B236" s="50"/>
      <c r="E236" s="67"/>
      <c r="G236" s="35"/>
      <c r="L236" s="32"/>
      <c r="M236" s="32"/>
      <c r="N236" s="11"/>
      <c r="O236" s="11"/>
      <c r="P236" s="32"/>
      <c r="Q236" s="32"/>
      <c r="R236" s="32"/>
      <c r="AV236" s="50"/>
      <c r="AY236" s="50"/>
    </row>
    <row r="237" spans="2:51" s="30" customFormat="1">
      <c r="B237" s="50"/>
      <c r="E237" s="67"/>
      <c r="G237" s="35"/>
      <c r="L237" s="32"/>
      <c r="M237" s="32"/>
      <c r="N237" s="11"/>
      <c r="O237" s="11"/>
      <c r="P237" s="32"/>
      <c r="Q237" s="32"/>
      <c r="R237" s="32"/>
      <c r="AV237" s="50"/>
      <c r="AY237" s="50"/>
    </row>
    <row r="238" spans="2:51" s="30" customFormat="1">
      <c r="B238" s="50"/>
      <c r="E238" s="67"/>
      <c r="G238" s="35"/>
      <c r="L238" s="32"/>
      <c r="M238" s="32"/>
      <c r="N238" s="11"/>
      <c r="O238" s="11"/>
      <c r="P238" s="32"/>
      <c r="Q238" s="32"/>
      <c r="R238" s="32"/>
      <c r="AV238" s="50"/>
      <c r="AY238" s="50"/>
    </row>
    <row r="239" spans="2:51" s="30" customFormat="1">
      <c r="B239" s="50"/>
      <c r="E239" s="67"/>
      <c r="G239" s="35"/>
      <c r="L239" s="32"/>
      <c r="M239" s="32"/>
      <c r="N239" s="11"/>
      <c r="O239" s="11"/>
      <c r="P239" s="32"/>
      <c r="Q239" s="32"/>
      <c r="R239" s="32"/>
      <c r="AV239" s="50"/>
      <c r="AY239" s="50"/>
    </row>
    <row r="240" spans="2:51" s="30" customFormat="1">
      <c r="B240" s="50"/>
      <c r="E240" s="67"/>
      <c r="G240" s="35"/>
      <c r="L240" s="32"/>
      <c r="M240" s="32"/>
      <c r="N240" s="11"/>
      <c r="O240" s="11"/>
      <c r="P240" s="32"/>
      <c r="Q240" s="32"/>
      <c r="R240" s="32"/>
      <c r="AV240" s="50"/>
      <c r="AY240" s="50"/>
    </row>
    <row r="241" spans="2:51" s="30" customFormat="1">
      <c r="B241" s="50"/>
      <c r="E241" s="67"/>
      <c r="G241" s="35"/>
      <c r="L241" s="32"/>
      <c r="M241" s="32"/>
      <c r="N241" s="11"/>
      <c r="O241" s="11"/>
      <c r="P241" s="32"/>
      <c r="Q241" s="32"/>
      <c r="R241" s="32"/>
      <c r="AV241" s="50"/>
      <c r="AY241" s="50"/>
    </row>
    <row r="242" spans="2:51" s="30" customFormat="1">
      <c r="B242" s="50"/>
      <c r="E242" s="67"/>
      <c r="G242" s="35"/>
      <c r="L242" s="32"/>
      <c r="M242" s="32"/>
      <c r="N242" s="11"/>
      <c r="O242" s="11"/>
      <c r="P242" s="32"/>
      <c r="Q242" s="32"/>
      <c r="R242" s="32"/>
      <c r="AV242" s="50"/>
      <c r="AY242" s="50"/>
    </row>
    <row r="243" spans="2:51" s="30" customFormat="1">
      <c r="B243" s="50"/>
      <c r="E243" s="67"/>
      <c r="G243" s="35"/>
      <c r="L243" s="32"/>
      <c r="M243" s="32"/>
      <c r="N243" s="11"/>
      <c r="O243" s="11"/>
      <c r="P243" s="32"/>
      <c r="Q243" s="32"/>
      <c r="R243" s="32"/>
      <c r="AV243" s="50"/>
      <c r="AY243" s="50"/>
    </row>
    <row r="244" spans="2:51" s="30" customFormat="1">
      <c r="B244" s="50"/>
      <c r="E244" s="67"/>
      <c r="G244" s="35"/>
      <c r="L244" s="32"/>
      <c r="M244" s="32"/>
      <c r="N244" s="11"/>
      <c r="O244" s="11"/>
      <c r="P244" s="32"/>
      <c r="Q244" s="32"/>
      <c r="R244" s="32"/>
      <c r="AV244" s="50"/>
      <c r="AY244" s="50"/>
    </row>
    <row r="245" spans="2:51" s="30" customFormat="1">
      <c r="B245" s="50"/>
      <c r="E245" s="67"/>
      <c r="G245" s="35"/>
      <c r="L245" s="32"/>
      <c r="M245" s="32"/>
      <c r="N245" s="11"/>
      <c r="O245" s="11"/>
      <c r="P245" s="32"/>
      <c r="Q245" s="32"/>
      <c r="R245" s="32"/>
      <c r="AV245" s="50"/>
      <c r="AY245" s="50"/>
    </row>
    <row r="246" spans="2:51" s="30" customFormat="1">
      <c r="B246" s="50"/>
      <c r="E246" s="67"/>
      <c r="G246" s="35"/>
      <c r="L246" s="32"/>
      <c r="M246" s="32"/>
      <c r="N246" s="11"/>
      <c r="O246" s="11"/>
      <c r="P246" s="32"/>
      <c r="Q246" s="32"/>
      <c r="R246" s="32"/>
      <c r="AV246" s="50"/>
      <c r="AY246" s="50"/>
    </row>
    <row r="247" spans="2:51" s="30" customFormat="1">
      <c r="B247" s="50"/>
      <c r="E247" s="67"/>
      <c r="G247" s="35"/>
      <c r="L247" s="32"/>
      <c r="M247" s="32"/>
      <c r="N247" s="11"/>
      <c r="O247" s="11"/>
      <c r="P247" s="32"/>
      <c r="Q247" s="32"/>
      <c r="R247" s="32"/>
      <c r="AV247" s="50"/>
      <c r="AY247" s="50"/>
    </row>
    <row r="248" spans="2:51" s="30" customFormat="1">
      <c r="B248" s="50"/>
      <c r="E248" s="67"/>
      <c r="G248" s="35"/>
      <c r="L248" s="32"/>
      <c r="M248" s="32"/>
      <c r="N248" s="11"/>
      <c r="O248" s="11"/>
      <c r="P248" s="32"/>
      <c r="Q248" s="32"/>
      <c r="R248" s="32"/>
      <c r="AV248" s="50"/>
      <c r="AY248" s="50"/>
    </row>
    <row r="249" spans="2:51" s="30" customFormat="1">
      <c r="B249" s="50"/>
      <c r="E249" s="67"/>
      <c r="G249" s="35"/>
      <c r="L249" s="32"/>
      <c r="M249" s="32"/>
      <c r="N249" s="11"/>
      <c r="O249" s="11"/>
      <c r="P249" s="32"/>
      <c r="Q249" s="32"/>
      <c r="R249" s="32"/>
      <c r="AV249" s="50"/>
      <c r="AY249" s="50"/>
    </row>
    <row r="250" spans="2:51" s="30" customFormat="1">
      <c r="B250" s="50"/>
      <c r="E250" s="67"/>
      <c r="G250" s="35"/>
      <c r="L250" s="32"/>
      <c r="M250" s="32"/>
      <c r="N250" s="11"/>
      <c r="O250" s="11"/>
      <c r="P250" s="32"/>
      <c r="Q250" s="32"/>
      <c r="R250" s="32"/>
      <c r="AV250" s="50"/>
      <c r="AY250" s="50"/>
    </row>
    <row r="251" spans="2:51" s="30" customFormat="1">
      <c r="B251" s="50"/>
      <c r="E251" s="67"/>
      <c r="G251" s="35"/>
      <c r="L251" s="32"/>
      <c r="M251" s="32"/>
      <c r="N251" s="11"/>
      <c r="O251" s="11"/>
      <c r="P251" s="32"/>
      <c r="Q251" s="32"/>
      <c r="R251" s="32"/>
      <c r="AV251" s="50"/>
      <c r="AY251" s="50"/>
    </row>
    <row r="252" spans="2:51" s="30" customFormat="1">
      <c r="B252" s="50"/>
      <c r="E252" s="67"/>
      <c r="G252" s="35"/>
      <c r="L252" s="32"/>
      <c r="M252" s="32"/>
      <c r="N252" s="11"/>
      <c r="O252" s="11"/>
      <c r="P252" s="32"/>
      <c r="Q252" s="32"/>
      <c r="R252" s="32"/>
      <c r="AV252" s="50"/>
      <c r="AY252" s="50"/>
    </row>
    <row r="253" spans="2:51" s="30" customFormat="1">
      <c r="B253" s="50"/>
      <c r="E253" s="67"/>
      <c r="G253" s="35"/>
      <c r="L253" s="32"/>
      <c r="M253" s="32"/>
      <c r="N253" s="11"/>
      <c r="O253" s="11"/>
      <c r="P253" s="32"/>
      <c r="Q253" s="32"/>
      <c r="R253" s="32"/>
      <c r="AV253" s="50"/>
      <c r="AY253" s="50"/>
    </row>
    <row r="254" spans="2:51" s="30" customFormat="1">
      <c r="B254" s="50"/>
      <c r="E254" s="67"/>
      <c r="G254" s="35"/>
      <c r="L254" s="32"/>
      <c r="M254" s="32"/>
      <c r="N254" s="11"/>
      <c r="O254" s="11"/>
      <c r="P254" s="32"/>
      <c r="Q254" s="32"/>
      <c r="R254" s="32"/>
      <c r="AV254" s="50"/>
      <c r="AY254" s="50"/>
    </row>
    <row r="255" spans="2:51" s="30" customFormat="1">
      <c r="B255" s="50"/>
      <c r="E255" s="67"/>
      <c r="G255" s="35"/>
      <c r="L255" s="32"/>
      <c r="M255" s="32"/>
      <c r="N255" s="11"/>
      <c r="O255" s="11"/>
      <c r="P255" s="32"/>
      <c r="Q255" s="32"/>
      <c r="R255" s="32"/>
      <c r="AV255" s="50"/>
      <c r="AY255" s="50"/>
    </row>
    <row r="256" spans="2:51" s="30" customFormat="1">
      <c r="B256" s="50"/>
      <c r="E256" s="67"/>
      <c r="G256" s="35"/>
      <c r="L256" s="32"/>
      <c r="M256" s="32"/>
      <c r="N256" s="11"/>
      <c r="O256" s="11"/>
      <c r="P256" s="32"/>
      <c r="Q256" s="32"/>
      <c r="R256" s="32"/>
      <c r="AV256" s="50"/>
      <c r="AY256" s="50"/>
    </row>
    <row r="257" spans="2:51" s="30" customFormat="1">
      <c r="B257" s="50"/>
      <c r="E257" s="67"/>
      <c r="G257" s="35"/>
      <c r="L257" s="32"/>
      <c r="M257" s="32"/>
      <c r="N257" s="11"/>
      <c r="O257" s="11"/>
      <c r="P257" s="32"/>
      <c r="Q257" s="32"/>
      <c r="R257" s="32"/>
      <c r="AV257" s="50"/>
      <c r="AY257" s="50"/>
    </row>
    <row r="258" spans="2:51" s="30" customFormat="1">
      <c r="B258" s="50"/>
      <c r="E258" s="67"/>
      <c r="G258" s="35"/>
      <c r="L258" s="32"/>
      <c r="M258" s="32"/>
      <c r="N258" s="11"/>
      <c r="O258" s="11"/>
      <c r="P258" s="32"/>
      <c r="Q258" s="32"/>
      <c r="R258" s="32"/>
      <c r="AV258" s="50"/>
      <c r="AY258" s="50"/>
    </row>
    <row r="259" spans="2:51" s="30" customFormat="1">
      <c r="B259" s="50"/>
      <c r="E259" s="67"/>
      <c r="G259" s="35"/>
      <c r="L259" s="32"/>
      <c r="M259" s="32"/>
      <c r="N259" s="11"/>
      <c r="O259" s="11"/>
      <c r="P259" s="32"/>
      <c r="Q259" s="32"/>
      <c r="R259" s="32"/>
      <c r="AV259" s="50"/>
      <c r="AY259" s="50"/>
    </row>
    <row r="260" spans="2:51" s="30" customFormat="1">
      <c r="B260" s="50"/>
      <c r="E260" s="67"/>
      <c r="G260" s="35"/>
      <c r="L260" s="32"/>
      <c r="M260" s="32"/>
      <c r="N260" s="11"/>
      <c r="O260" s="11"/>
      <c r="P260" s="32"/>
      <c r="Q260" s="32"/>
      <c r="R260" s="32"/>
      <c r="AV260" s="50"/>
      <c r="AY260" s="50"/>
    </row>
    <row r="261" spans="2:51" s="30" customFormat="1">
      <c r="B261" s="50"/>
      <c r="E261" s="67"/>
      <c r="G261" s="35"/>
      <c r="L261" s="32"/>
      <c r="M261" s="32"/>
      <c r="N261" s="11"/>
      <c r="O261" s="11"/>
      <c r="P261" s="32"/>
      <c r="Q261" s="32"/>
      <c r="R261" s="32"/>
      <c r="AV261" s="50"/>
      <c r="AY261" s="50"/>
    </row>
    <row r="262" spans="2:51" s="30" customFormat="1">
      <c r="B262" s="50"/>
      <c r="E262" s="67"/>
      <c r="G262" s="35"/>
      <c r="L262" s="32"/>
      <c r="M262" s="32"/>
      <c r="N262" s="11"/>
      <c r="O262" s="11"/>
      <c r="P262" s="32"/>
      <c r="Q262" s="32"/>
      <c r="R262" s="32"/>
      <c r="AV262" s="50"/>
      <c r="AY262" s="50"/>
    </row>
    <row r="263" spans="2:51" s="30" customFormat="1">
      <c r="B263" s="50"/>
      <c r="E263" s="67"/>
      <c r="G263" s="35"/>
      <c r="L263" s="32"/>
      <c r="M263" s="32"/>
      <c r="N263" s="11"/>
      <c r="O263" s="11"/>
      <c r="P263" s="32"/>
      <c r="Q263" s="32"/>
      <c r="R263" s="32"/>
      <c r="AV263" s="50"/>
      <c r="AY263" s="50"/>
    </row>
    <row r="264" spans="2:51" s="30" customFormat="1">
      <c r="B264" s="50"/>
      <c r="E264" s="67"/>
      <c r="G264" s="35"/>
      <c r="L264" s="32"/>
      <c r="M264" s="32"/>
      <c r="N264" s="11"/>
      <c r="O264" s="11"/>
      <c r="P264" s="32"/>
      <c r="Q264" s="32"/>
      <c r="R264" s="32"/>
      <c r="AV264" s="50"/>
      <c r="AY264" s="50"/>
    </row>
    <row r="265" spans="2:51" s="30" customFormat="1">
      <c r="B265" s="50"/>
      <c r="E265" s="67"/>
      <c r="G265" s="35"/>
      <c r="L265" s="32"/>
      <c r="M265" s="32"/>
      <c r="N265" s="11"/>
      <c r="O265" s="11"/>
      <c r="P265" s="32"/>
      <c r="Q265" s="32"/>
      <c r="R265" s="32"/>
      <c r="AV265" s="50"/>
      <c r="AY265" s="50"/>
    </row>
    <row r="266" spans="2:51" s="30" customFormat="1">
      <c r="B266" s="50"/>
      <c r="E266" s="67"/>
      <c r="G266" s="35"/>
      <c r="L266" s="32"/>
      <c r="M266" s="32"/>
      <c r="N266" s="11"/>
      <c r="O266" s="11"/>
      <c r="P266" s="32"/>
      <c r="Q266" s="32"/>
      <c r="R266" s="32"/>
      <c r="AV266" s="50"/>
      <c r="AY266" s="50"/>
    </row>
    <row r="267" spans="2:51" s="30" customFormat="1">
      <c r="B267" s="50"/>
      <c r="E267" s="67"/>
      <c r="G267" s="35"/>
      <c r="L267" s="32"/>
      <c r="M267" s="32"/>
      <c r="N267" s="11"/>
      <c r="O267" s="11"/>
      <c r="P267" s="32"/>
      <c r="Q267" s="32"/>
      <c r="R267" s="32"/>
      <c r="AV267" s="50"/>
      <c r="AY267" s="50"/>
    </row>
    <row r="268" spans="2:51" s="30" customFormat="1">
      <c r="B268" s="50"/>
      <c r="E268" s="67"/>
      <c r="G268" s="35"/>
      <c r="L268" s="32"/>
      <c r="M268" s="32"/>
      <c r="N268" s="11"/>
      <c r="O268" s="11"/>
      <c r="P268" s="32"/>
      <c r="Q268" s="32"/>
      <c r="R268" s="32"/>
      <c r="AV268" s="50"/>
      <c r="AY268" s="50"/>
    </row>
    <row r="269" spans="2:51" s="30" customFormat="1">
      <c r="B269" s="50"/>
      <c r="E269" s="67"/>
      <c r="G269" s="35"/>
      <c r="L269" s="32"/>
      <c r="M269" s="32"/>
      <c r="N269" s="11"/>
      <c r="O269" s="11"/>
      <c r="P269" s="32"/>
      <c r="Q269" s="32"/>
      <c r="R269" s="32"/>
      <c r="AV269" s="50"/>
      <c r="AY269" s="50"/>
    </row>
    <row r="270" spans="2:51" s="30" customFormat="1">
      <c r="B270" s="50"/>
      <c r="E270" s="67"/>
      <c r="G270" s="35"/>
      <c r="L270" s="32"/>
      <c r="M270" s="32"/>
      <c r="N270" s="11"/>
      <c r="O270" s="11"/>
      <c r="P270" s="32"/>
      <c r="Q270" s="32"/>
      <c r="R270" s="32"/>
      <c r="AV270" s="50"/>
      <c r="AY270" s="50"/>
    </row>
    <row r="271" spans="2:51" s="30" customFormat="1">
      <c r="B271" s="50"/>
      <c r="E271" s="67"/>
      <c r="G271" s="35"/>
      <c r="L271" s="32"/>
      <c r="M271" s="32"/>
      <c r="N271" s="11"/>
      <c r="O271" s="11"/>
      <c r="P271" s="32"/>
      <c r="Q271" s="32"/>
      <c r="R271" s="32"/>
      <c r="AV271" s="50"/>
      <c r="AY271" s="50"/>
    </row>
    <row r="272" spans="2:51" s="30" customFormat="1">
      <c r="B272" s="50"/>
      <c r="E272" s="67"/>
      <c r="G272" s="35"/>
      <c r="L272" s="32"/>
      <c r="M272" s="32"/>
      <c r="N272" s="11"/>
      <c r="O272" s="11"/>
      <c r="P272" s="32"/>
      <c r="Q272" s="32"/>
      <c r="R272" s="32"/>
      <c r="AV272" s="50"/>
      <c r="AY272" s="50"/>
    </row>
    <row r="273" spans="2:51" s="30" customFormat="1">
      <c r="B273" s="50"/>
      <c r="E273" s="67"/>
      <c r="G273" s="35"/>
      <c r="L273" s="32"/>
      <c r="M273" s="32"/>
      <c r="N273" s="11"/>
      <c r="O273" s="11"/>
      <c r="P273" s="32"/>
      <c r="Q273" s="32"/>
      <c r="R273" s="32"/>
      <c r="AV273" s="50"/>
      <c r="AY273" s="50"/>
    </row>
    <row r="274" spans="2:51" s="30" customFormat="1">
      <c r="B274" s="50"/>
      <c r="E274" s="67"/>
      <c r="G274" s="35"/>
      <c r="L274" s="32"/>
      <c r="M274" s="32"/>
      <c r="N274" s="11"/>
      <c r="O274" s="11"/>
      <c r="P274" s="32"/>
      <c r="Q274" s="32"/>
      <c r="R274" s="32"/>
      <c r="AV274" s="50"/>
      <c r="AY274" s="50"/>
    </row>
    <row r="275" spans="2:51" s="30" customFormat="1">
      <c r="B275" s="50"/>
      <c r="E275" s="67"/>
      <c r="G275" s="35"/>
      <c r="L275" s="32"/>
      <c r="M275" s="32"/>
      <c r="N275" s="11"/>
      <c r="O275" s="11"/>
      <c r="P275" s="32"/>
      <c r="Q275" s="32"/>
      <c r="R275" s="32"/>
      <c r="AV275" s="50"/>
      <c r="AY275" s="50"/>
    </row>
    <row r="276" spans="2:51" s="30" customFormat="1">
      <c r="B276" s="50"/>
      <c r="E276" s="67"/>
      <c r="G276" s="35"/>
      <c r="L276" s="32"/>
      <c r="M276" s="32"/>
      <c r="N276" s="11"/>
      <c r="O276" s="11"/>
      <c r="P276" s="32"/>
      <c r="Q276" s="32"/>
      <c r="R276" s="32"/>
      <c r="AV276" s="50"/>
      <c r="AY276" s="50"/>
    </row>
    <row r="277" spans="2:51" s="30" customFormat="1">
      <c r="B277" s="50"/>
      <c r="E277" s="67"/>
      <c r="G277" s="35"/>
      <c r="L277" s="32"/>
      <c r="M277" s="32"/>
      <c r="N277" s="11"/>
      <c r="O277" s="11"/>
      <c r="P277" s="32"/>
      <c r="Q277" s="32"/>
      <c r="R277" s="32"/>
      <c r="AV277" s="50"/>
      <c r="AY277" s="50"/>
    </row>
    <row r="278" spans="2:51" s="30" customFormat="1">
      <c r="B278" s="50"/>
      <c r="E278" s="67"/>
      <c r="G278" s="35"/>
      <c r="L278" s="32"/>
      <c r="M278" s="32"/>
      <c r="N278" s="11"/>
      <c r="O278" s="11"/>
      <c r="P278" s="32"/>
      <c r="Q278" s="32"/>
      <c r="R278" s="32"/>
      <c r="AV278" s="50"/>
      <c r="AY278" s="50"/>
    </row>
    <row r="279" spans="2:51" s="30" customFormat="1">
      <c r="B279" s="50"/>
      <c r="E279" s="67"/>
      <c r="G279" s="35"/>
      <c r="L279" s="32"/>
      <c r="M279" s="32"/>
      <c r="N279" s="11"/>
      <c r="O279" s="11"/>
      <c r="P279" s="32"/>
      <c r="Q279" s="32"/>
      <c r="R279" s="32"/>
      <c r="AV279" s="50"/>
      <c r="AY279" s="50"/>
    </row>
    <row r="280" spans="2:51" s="30" customFormat="1">
      <c r="B280" s="50"/>
      <c r="E280" s="67"/>
      <c r="G280" s="35"/>
      <c r="L280" s="32"/>
      <c r="M280" s="32"/>
      <c r="N280" s="11"/>
      <c r="O280" s="11"/>
      <c r="P280" s="32"/>
      <c r="Q280" s="32"/>
      <c r="R280" s="32"/>
      <c r="AV280" s="50"/>
      <c r="AY280" s="50"/>
    </row>
    <row r="281" spans="2:51" s="30" customFormat="1">
      <c r="B281" s="50"/>
      <c r="E281" s="67"/>
      <c r="G281" s="35"/>
      <c r="L281" s="32"/>
      <c r="M281" s="32"/>
      <c r="N281" s="11"/>
      <c r="O281" s="11"/>
      <c r="P281" s="32"/>
      <c r="Q281" s="32"/>
      <c r="R281" s="32"/>
      <c r="AV281" s="50"/>
      <c r="AY281" s="50"/>
    </row>
    <row r="282" spans="2:51" s="30" customFormat="1">
      <c r="B282" s="50"/>
      <c r="E282" s="67"/>
      <c r="G282" s="35"/>
      <c r="L282" s="32"/>
      <c r="M282" s="32"/>
      <c r="N282" s="11"/>
      <c r="O282" s="11"/>
      <c r="P282" s="32"/>
      <c r="Q282" s="32"/>
      <c r="R282" s="32"/>
      <c r="AV282" s="50"/>
      <c r="AY282" s="50"/>
    </row>
    <row r="283" spans="2:51" s="30" customFormat="1">
      <c r="B283" s="50"/>
      <c r="E283" s="67"/>
      <c r="G283" s="35"/>
      <c r="L283" s="32"/>
      <c r="M283" s="32"/>
      <c r="N283" s="11"/>
      <c r="O283" s="11"/>
      <c r="P283" s="32"/>
      <c r="Q283" s="32"/>
      <c r="R283" s="32"/>
      <c r="AV283" s="50"/>
      <c r="AY283" s="50"/>
    </row>
    <row r="284" spans="2:51" s="30" customFormat="1">
      <c r="B284" s="50"/>
      <c r="E284" s="67"/>
      <c r="G284" s="35"/>
      <c r="L284" s="32"/>
      <c r="M284" s="32"/>
      <c r="N284" s="11"/>
      <c r="O284" s="11"/>
      <c r="P284" s="32"/>
      <c r="Q284" s="32"/>
      <c r="R284" s="32"/>
      <c r="AV284" s="50"/>
      <c r="AY284" s="50"/>
    </row>
    <row r="285" spans="2:51" s="30" customFormat="1">
      <c r="B285" s="50"/>
      <c r="E285" s="67"/>
      <c r="G285" s="35"/>
      <c r="L285" s="32"/>
      <c r="M285" s="32"/>
      <c r="N285" s="11"/>
      <c r="O285" s="11"/>
      <c r="P285" s="32"/>
      <c r="Q285" s="32"/>
      <c r="R285" s="32"/>
      <c r="AV285" s="50"/>
      <c r="AY285" s="50"/>
    </row>
    <row r="286" spans="2:51" s="30" customFormat="1">
      <c r="B286" s="50"/>
      <c r="E286" s="67"/>
      <c r="G286" s="35"/>
      <c r="L286" s="32"/>
      <c r="M286" s="32"/>
      <c r="N286" s="11"/>
      <c r="O286" s="11"/>
      <c r="P286" s="32"/>
      <c r="Q286" s="32"/>
      <c r="R286" s="32"/>
      <c r="AV286" s="50"/>
      <c r="AY286" s="50"/>
    </row>
    <row r="287" spans="2:51" s="30" customFormat="1">
      <c r="B287" s="50"/>
      <c r="E287" s="67"/>
      <c r="G287" s="35"/>
      <c r="L287" s="32"/>
      <c r="M287" s="32"/>
      <c r="N287" s="11"/>
      <c r="O287" s="11"/>
      <c r="P287" s="32"/>
      <c r="Q287" s="32"/>
      <c r="R287" s="32"/>
      <c r="AV287" s="50"/>
      <c r="AY287" s="50"/>
    </row>
    <row r="288" spans="2:51" s="30" customFormat="1">
      <c r="B288" s="50"/>
      <c r="E288" s="67"/>
      <c r="G288" s="35"/>
      <c r="L288" s="32"/>
      <c r="M288" s="32"/>
      <c r="N288" s="11"/>
      <c r="O288" s="11"/>
      <c r="P288" s="32"/>
      <c r="Q288" s="32"/>
      <c r="R288" s="32"/>
      <c r="AV288" s="50"/>
      <c r="AY288" s="50"/>
    </row>
    <row r="289" spans="2:51" s="30" customFormat="1">
      <c r="B289" s="50"/>
      <c r="E289" s="67"/>
      <c r="G289" s="35"/>
      <c r="L289" s="32"/>
      <c r="M289" s="32"/>
      <c r="N289" s="11"/>
      <c r="O289" s="11"/>
      <c r="P289" s="32"/>
      <c r="Q289" s="32"/>
      <c r="R289" s="32"/>
      <c r="AV289" s="50"/>
      <c r="AY289" s="50"/>
    </row>
    <row r="290" spans="2:51" s="30" customFormat="1">
      <c r="B290" s="50"/>
      <c r="E290" s="67"/>
      <c r="G290" s="35"/>
      <c r="L290" s="32"/>
      <c r="M290" s="32"/>
      <c r="N290" s="11"/>
      <c r="O290" s="11"/>
      <c r="P290" s="32"/>
      <c r="Q290" s="32"/>
      <c r="R290" s="32"/>
      <c r="AV290" s="50"/>
      <c r="AY290" s="50"/>
    </row>
    <row r="291" spans="2:51" s="30" customFormat="1">
      <c r="B291" s="50"/>
      <c r="E291" s="67"/>
      <c r="G291" s="35"/>
      <c r="L291" s="32"/>
      <c r="M291" s="32"/>
      <c r="N291" s="11"/>
      <c r="O291" s="11"/>
      <c r="P291" s="32"/>
      <c r="Q291" s="32"/>
      <c r="R291" s="32"/>
      <c r="AV291" s="50"/>
      <c r="AY291" s="50"/>
    </row>
    <row r="292" spans="2:51" s="30" customFormat="1">
      <c r="B292" s="50"/>
      <c r="E292" s="67"/>
      <c r="G292" s="35"/>
      <c r="L292" s="32"/>
      <c r="M292" s="32"/>
      <c r="N292" s="11"/>
      <c r="O292" s="11"/>
      <c r="P292" s="32"/>
      <c r="Q292" s="32"/>
      <c r="R292" s="32"/>
      <c r="AV292" s="50"/>
      <c r="AY292" s="50"/>
    </row>
    <row r="293" spans="2:51" s="30" customFormat="1">
      <c r="B293" s="50"/>
      <c r="E293" s="67"/>
      <c r="G293" s="35"/>
      <c r="L293" s="32"/>
      <c r="M293" s="32"/>
      <c r="N293" s="11"/>
      <c r="O293" s="11"/>
      <c r="P293" s="32"/>
      <c r="Q293" s="32"/>
      <c r="R293" s="32"/>
      <c r="AV293" s="50"/>
      <c r="AY293" s="50"/>
    </row>
    <row r="294" spans="2:51" s="30" customFormat="1">
      <c r="B294" s="50"/>
      <c r="E294" s="67"/>
      <c r="G294" s="35"/>
      <c r="L294" s="32"/>
      <c r="M294" s="32"/>
      <c r="N294" s="11"/>
      <c r="O294" s="11"/>
      <c r="P294" s="32"/>
      <c r="Q294" s="32"/>
      <c r="R294" s="32"/>
      <c r="AV294" s="50"/>
      <c r="AY294" s="50"/>
    </row>
    <row r="295" spans="2:51" s="30" customFormat="1">
      <c r="B295" s="50"/>
      <c r="E295" s="67"/>
      <c r="G295" s="35"/>
      <c r="L295" s="32"/>
      <c r="M295" s="32"/>
      <c r="N295" s="11"/>
      <c r="O295" s="11"/>
      <c r="P295" s="32"/>
      <c r="Q295" s="32"/>
      <c r="R295" s="32"/>
      <c r="AV295" s="50"/>
      <c r="AY295" s="50"/>
    </row>
    <row r="296" spans="2:51" s="30" customFormat="1">
      <c r="B296" s="50"/>
      <c r="E296" s="67"/>
      <c r="G296" s="35"/>
      <c r="L296" s="32"/>
      <c r="M296" s="32"/>
      <c r="N296" s="11"/>
      <c r="O296" s="11"/>
      <c r="P296" s="32"/>
      <c r="Q296" s="32"/>
      <c r="R296" s="32"/>
      <c r="AV296" s="50"/>
      <c r="AY296" s="50"/>
    </row>
    <row r="297" spans="2:51" s="30" customFormat="1">
      <c r="B297" s="50"/>
      <c r="E297" s="67"/>
      <c r="G297" s="35"/>
      <c r="L297" s="32"/>
      <c r="M297" s="32"/>
      <c r="N297" s="11"/>
      <c r="O297" s="11"/>
      <c r="P297" s="32"/>
      <c r="Q297" s="32"/>
      <c r="R297" s="32"/>
      <c r="AV297" s="50"/>
      <c r="AY297" s="50"/>
    </row>
    <row r="298" spans="2:51" s="30" customFormat="1">
      <c r="B298" s="50"/>
      <c r="E298" s="67"/>
      <c r="G298" s="35"/>
      <c r="L298" s="32"/>
      <c r="M298" s="32"/>
      <c r="N298" s="11"/>
      <c r="O298" s="11"/>
      <c r="P298" s="32"/>
      <c r="Q298" s="32"/>
      <c r="R298" s="32"/>
      <c r="AV298" s="50"/>
      <c r="AY298" s="50"/>
    </row>
    <row r="299" spans="2:51" s="30" customFormat="1">
      <c r="B299" s="50"/>
      <c r="E299" s="67"/>
      <c r="G299" s="35"/>
      <c r="L299" s="32"/>
      <c r="M299" s="32"/>
      <c r="N299" s="11"/>
      <c r="O299" s="11"/>
      <c r="P299" s="32"/>
      <c r="Q299" s="32"/>
      <c r="R299" s="32"/>
      <c r="AV299" s="50"/>
      <c r="AY299" s="50"/>
    </row>
    <row r="300" spans="2:51" s="30" customFormat="1">
      <c r="B300" s="50"/>
      <c r="E300" s="67"/>
      <c r="G300" s="35"/>
      <c r="L300" s="32"/>
      <c r="M300" s="32"/>
      <c r="N300" s="11"/>
      <c r="O300" s="11"/>
      <c r="P300" s="32"/>
      <c r="Q300" s="32"/>
      <c r="R300" s="32"/>
      <c r="AV300" s="50"/>
      <c r="AY300" s="50"/>
    </row>
    <row r="301" spans="2:51" s="30" customFormat="1">
      <c r="B301" s="50"/>
      <c r="E301" s="67"/>
      <c r="G301" s="35"/>
      <c r="L301" s="32"/>
      <c r="M301" s="32"/>
      <c r="N301" s="11"/>
      <c r="O301" s="11"/>
      <c r="P301" s="32"/>
      <c r="Q301" s="32"/>
      <c r="R301" s="32"/>
      <c r="AV301" s="50"/>
      <c r="AY301" s="50"/>
    </row>
    <row r="302" spans="2:51" s="30" customFormat="1">
      <c r="B302" s="50"/>
      <c r="E302" s="67"/>
      <c r="G302" s="35"/>
      <c r="L302" s="32"/>
      <c r="M302" s="32"/>
      <c r="N302" s="11"/>
      <c r="O302" s="11"/>
      <c r="P302" s="32"/>
      <c r="Q302" s="32"/>
      <c r="R302" s="32"/>
      <c r="AV302" s="50"/>
      <c r="AY302" s="50"/>
    </row>
    <row r="303" spans="2:51" s="30" customFormat="1">
      <c r="B303" s="50"/>
      <c r="E303" s="67"/>
      <c r="G303" s="35"/>
      <c r="L303" s="32"/>
      <c r="M303" s="32"/>
      <c r="N303" s="11"/>
      <c r="O303" s="11"/>
      <c r="P303" s="32"/>
      <c r="Q303" s="32"/>
      <c r="R303" s="32"/>
      <c r="AV303" s="50"/>
      <c r="AY303" s="50"/>
    </row>
    <row r="304" spans="2:51" s="30" customFormat="1">
      <c r="B304" s="50"/>
      <c r="E304" s="67"/>
      <c r="G304" s="35"/>
      <c r="L304" s="32"/>
      <c r="M304" s="32"/>
      <c r="N304" s="11"/>
      <c r="O304" s="11"/>
      <c r="P304" s="32"/>
      <c r="Q304" s="32"/>
      <c r="R304" s="32"/>
      <c r="AV304" s="50"/>
      <c r="AY304" s="50"/>
    </row>
    <row r="305" spans="2:51" s="30" customFormat="1">
      <c r="B305" s="50"/>
      <c r="E305" s="67"/>
      <c r="G305" s="35"/>
      <c r="L305" s="32"/>
      <c r="M305" s="32"/>
      <c r="N305" s="11"/>
      <c r="O305" s="11"/>
      <c r="P305" s="32"/>
      <c r="Q305" s="32"/>
      <c r="R305" s="32"/>
      <c r="AV305" s="50"/>
      <c r="AY305" s="50"/>
    </row>
    <row r="306" spans="2:51" s="30" customFormat="1">
      <c r="B306" s="50"/>
      <c r="E306" s="67"/>
      <c r="G306" s="35"/>
      <c r="L306" s="32"/>
      <c r="M306" s="32"/>
      <c r="N306" s="11"/>
      <c r="O306" s="11"/>
      <c r="P306" s="32"/>
      <c r="Q306" s="32"/>
      <c r="R306" s="32"/>
      <c r="AV306" s="50"/>
      <c r="AY306" s="50"/>
    </row>
    <row r="307" spans="2:51" s="30" customFormat="1">
      <c r="B307" s="50"/>
      <c r="E307" s="67"/>
      <c r="G307" s="35"/>
      <c r="L307" s="32"/>
      <c r="M307" s="32"/>
      <c r="N307" s="11"/>
      <c r="O307" s="11"/>
      <c r="P307" s="32"/>
      <c r="Q307" s="32"/>
      <c r="R307" s="32"/>
      <c r="AV307" s="50"/>
      <c r="AY307" s="50"/>
    </row>
    <row r="308" spans="2:51" s="30" customFormat="1">
      <c r="B308" s="50"/>
      <c r="E308" s="67"/>
      <c r="G308" s="35"/>
      <c r="L308" s="32"/>
      <c r="M308" s="32"/>
      <c r="N308" s="11"/>
      <c r="O308" s="11"/>
      <c r="P308" s="32"/>
      <c r="Q308" s="32"/>
      <c r="R308" s="32"/>
      <c r="AV308" s="50"/>
      <c r="AY308" s="50"/>
    </row>
    <row r="309" spans="2:51" s="30" customFormat="1">
      <c r="B309" s="50"/>
      <c r="E309" s="67"/>
      <c r="G309" s="35"/>
      <c r="L309" s="32"/>
      <c r="M309" s="32"/>
      <c r="N309" s="11"/>
      <c r="O309" s="11"/>
      <c r="P309" s="32"/>
      <c r="Q309" s="32"/>
      <c r="R309" s="32"/>
      <c r="AV309" s="50"/>
      <c r="AY309" s="50"/>
    </row>
    <row r="310" spans="2:51" s="30" customFormat="1">
      <c r="B310" s="50"/>
      <c r="E310" s="67"/>
      <c r="G310" s="35"/>
      <c r="L310" s="32"/>
      <c r="M310" s="32"/>
      <c r="N310" s="11"/>
      <c r="O310" s="11"/>
      <c r="P310" s="32"/>
      <c r="Q310" s="32"/>
      <c r="R310" s="32"/>
      <c r="AV310" s="50"/>
      <c r="AY310" s="50"/>
    </row>
    <row r="311" spans="2:51" s="30" customFormat="1">
      <c r="B311" s="50"/>
      <c r="E311" s="67"/>
      <c r="G311" s="35"/>
      <c r="L311" s="32"/>
      <c r="M311" s="32"/>
      <c r="N311" s="11"/>
      <c r="O311" s="11"/>
      <c r="P311" s="32"/>
      <c r="Q311" s="32"/>
      <c r="R311" s="32"/>
      <c r="AV311" s="50"/>
      <c r="AY311" s="50"/>
    </row>
    <row r="312" spans="2:51" s="30" customFormat="1">
      <c r="B312" s="50"/>
      <c r="E312" s="67"/>
      <c r="G312" s="35"/>
      <c r="L312" s="32"/>
      <c r="M312" s="32"/>
      <c r="N312" s="11"/>
      <c r="O312" s="11"/>
      <c r="P312" s="32"/>
      <c r="Q312" s="32"/>
      <c r="R312" s="32"/>
      <c r="AV312" s="50"/>
      <c r="AY312" s="50"/>
    </row>
    <row r="313" spans="2:51" s="30" customFormat="1">
      <c r="B313" s="50"/>
      <c r="E313" s="67"/>
      <c r="G313" s="35"/>
      <c r="L313" s="32"/>
      <c r="M313" s="32"/>
      <c r="N313" s="11"/>
      <c r="O313" s="11"/>
      <c r="P313" s="32"/>
      <c r="Q313" s="32"/>
      <c r="R313" s="32"/>
      <c r="AV313" s="50"/>
      <c r="AY313" s="50"/>
    </row>
    <row r="314" spans="2:51" s="30" customFormat="1">
      <c r="B314" s="50"/>
      <c r="E314" s="67"/>
      <c r="G314" s="35"/>
      <c r="L314" s="32"/>
      <c r="M314" s="32"/>
      <c r="N314" s="11"/>
      <c r="O314" s="11"/>
      <c r="P314" s="32"/>
      <c r="Q314" s="32"/>
      <c r="R314" s="32"/>
      <c r="AV314" s="50"/>
      <c r="AY314" s="50"/>
    </row>
    <row r="315" spans="2:51" s="30" customFormat="1">
      <c r="B315" s="50"/>
      <c r="E315" s="67"/>
      <c r="G315" s="35"/>
      <c r="L315" s="32"/>
      <c r="M315" s="32"/>
      <c r="N315" s="11"/>
      <c r="O315" s="11"/>
      <c r="P315" s="32"/>
      <c r="Q315" s="32"/>
      <c r="R315" s="32"/>
      <c r="AV315" s="50"/>
      <c r="AY315" s="50"/>
    </row>
    <row r="316" spans="2:51" s="30" customFormat="1">
      <c r="B316" s="50"/>
      <c r="E316" s="67"/>
      <c r="G316" s="35"/>
      <c r="L316" s="32"/>
      <c r="M316" s="32"/>
      <c r="N316" s="11"/>
      <c r="O316" s="11"/>
      <c r="P316" s="32"/>
      <c r="Q316" s="32"/>
      <c r="R316" s="32"/>
      <c r="AV316" s="50"/>
      <c r="AY316" s="50"/>
    </row>
    <row r="317" spans="2:51" s="30" customFormat="1">
      <c r="B317" s="50"/>
      <c r="E317" s="67"/>
      <c r="G317" s="35"/>
      <c r="L317" s="32"/>
      <c r="M317" s="32"/>
      <c r="N317" s="11"/>
      <c r="O317" s="11"/>
      <c r="P317" s="32"/>
      <c r="Q317" s="32"/>
      <c r="R317" s="32"/>
      <c r="AV317" s="50"/>
      <c r="AY317" s="50"/>
    </row>
    <row r="318" spans="2:51" s="30" customFormat="1">
      <c r="B318" s="50"/>
      <c r="E318" s="67"/>
      <c r="G318" s="35"/>
      <c r="L318" s="32"/>
      <c r="M318" s="32"/>
      <c r="N318" s="11"/>
      <c r="O318" s="11"/>
      <c r="P318" s="32"/>
      <c r="Q318" s="32"/>
      <c r="R318" s="32"/>
      <c r="AV318" s="50"/>
      <c r="AY318" s="50"/>
    </row>
    <row r="319" spans="2:51" s="30" customFormat="1">
      <c r="B319" s="50"/>
      <c r="E319" s="67"/>
      <c r="G319" s="35"/>
      <c r="L319" s="32"/>
      <c r="M319" s="32"/>
      <c r="N319" s="11"/>
      <c r="O319" s="11"/>
      <c r="P319" s="32"/>
      <c r="Q319" s="32"/>
      <c r="R319" s="32"/>
      <c r="AV319" s="50"/>
      <c r="AY319" s="50"/>
    </row>
    <row r="320" spans="2:51" s="30" customFormat="1">
      <c r="B320" s="50"/>
      <c r="E320" s="67"/>
      <c r="G320" s="35"/>
      <c r="L320" s="32"/>
      <c r="M320" s="32"/>
      <c r="N320" s="11"/>
      <c r="O320" s="11"/>
      <c r="P320" s="32"/>
      <c r="Q320" s="32"/>
      <c r="R320" s="32"/>
      <c r="AV320" s="50"/>
      <c r="AY320" s="50"/>
    </row>
    <row r="321" spans="2:51" s="30" customFormat="1">
      <c r="B321" s="50"/>
      <c r="E321" s="67"/>
      <c r="G321" s="35"/>
      <c r="L321" s="32"/>
      <c r="M321" s="32"/>
      <c r="N321" s="11"/>
      <c r="O321" s="11"/>
      <c r="P321" s="32"/>
      <c r="Q321" s="32"/>
      <c r="R321" s="32"/>
      <c r="AV321" s="50"/>
      <c r="AY321" s="50"/>
    </row>
    <row r="322" spans="2:51" s="30" customFormat="1">
      <c r="B322" s="50"/>
      <c r="E322" s="67"/>
      <c r="G322" s="35"/>
      <c r="L322" s="32"/>
      <c r="M322" s="32"/>
      <c r="N322" s="11"/>
      <c r="O322" s="11"/>
      <c r="P322" s="32"/>
      <c r="Q322" s="32"/>
      <c r="R322" s="32"/>
      <c r="AV322" s="50"/>
      <c r="AY322" s="50"/>
    </row>
    <row r="323" spans="2:51" s="30" customFormat="1">
      <c r="B323" s="50"/>
      <c r="E323" s="67"/>
      <c r="G323" s="35"/>
      <c r="L323" s="32"/>
      <c r="M323" s="32"/>
      <c r="N323" s="11"/>
      <c r="O323" s="11"/>
      <c r="P323" s="32"/>
      <c r="Q323" s="32"/>
      <c r="R323" s="32"/>
      <c r="AV323" s="50"/>
      <c r="AY323" s="50"/>
    </row>
    <row r="324" spans="2:51" s="30" customFormat="1">
      <c r="B324" s="50"/>
      <c r="E324" s="67"/>
      <c r="G324" s="35"/>
      <c r="L324" s="32"/>
      <c r="M324" s="32"/>
      <c r="N324" s="11"/>
      <c r="O324" s="11"/>
      <c r="P324" s="32"/>
      <c r="Q324" s="32"/>
      <c r="R324" s="32"/>
      <c r="AV324" s="50"/>
      <c r="AY324" s="50"/>
    </row>
    <row r="325" spans="2:51" s="30" customFormat="1">
      <c r="B325" s="50"/>
      <c r="E325" s="67"/>
      <c r="G325" s="35"/>
      <c r="L325" s="32"/>
      <c r="M325" s="32"/>
      <c r="N325" s="11"/>
      <c r="O325" s="11"/>
      <c r="P325" s="32"/>
      <c r="Q325" s="32"/>
      <c r="R325" s="32"/>
      <c r="AV325" s="50"/>
      <c r="AY325" s="50"/>
    </row>
    <row r="326" spans="2:51" s="30" customFormat="1">
      <c r="B326" s="50"/>
      <c r="E326" s="67"/>
      <c r="G326" s="35"/>
      <c r="L326" s="32"/>
      <c r="M326" s="32"/>
      <c r="N326" s="11"/>
      <c r="O326" s="11"/>
      <c r="P326" s="32"/>
      <c r="Q326" s="32"/>
      <c r="R326" s="32"/>
      <c r="AV326" s="50"/>
      <c r="AY326" s="50"/>
    </row>
    <row r="327" spans="2:51" s="30" customFormat="1">
      <c r="B327" s="50"/>
      <c r="E327" s="67"/>
      <c r="G327" s="35"/>
      <c r="L327" s="32"/>
      <c r="M327" s="32"/>
      <c r="N327" s="11"/>
      <c r="O327" s="11"/>
      <c r="P327" s="32"/>
      <c r="Q327" s="32"/>
      <c r="R327" s="32"/>
      <c r="AV327" s="50"/>
      <c r="AY327" s="50"/>
    </row>
    <row r="328" spans="2:51" s="30" customFormat="1">
      <c r="B328" s="50"/>
      <c r="E328" s="67"/>
      <c r="G328" s="35"/>
      <c r="L328" s="32"/>
      <c r="M328" s="32"/>
      <c r="N328" s="11"/>
      <c r="O328" s="11"/>
      <c r="P328" s="32"/>
      <c r="Q328" s="32"/>
      <c r="R328" s="32"/>
      <c r="AV328" s="50"/>
      <c r="AY328" s="50"/>
    </row>
    <row r="329" spans="2:51" s="30" customFormat="1">
      <c r="B329" s="50"/>
      <c r="E329" s="67"/>
      <c r="G329" s="35"/>
      <c r="L329" s="32"/>
      <c r="M329" s="32"/>
      <c r="N329" s="11"/>
      <c r="O329" s="11"/>
      <c r="P329" s="32"/>
      <c r="Q329" s="32"/>
      <c r="R329" s="32"/>
      <c r="AV329" s="50"/>
      <c r="AY329" s="50"/>
    </row>
    <row r="330" spans="2:51" s="30" customFormat="1">
      <c r="B330" s="50"/>
      <c r="E330" s="67"/>
      <c r="G330" s="35"/>
      <c r="L330" s="32"/>
      <c r="M330" s="32"/>
      <c r="N330" s="11"/>
      <c r="O330" s="11"/>
      <c r="P330" s="32"/>
      <c r="Q330" s="32"/>
      <c r="R330" s="32"/>
      <c r="AV330" s="50"/>
      <c r="AY330" s="50"/>
    </row>
    <row r="331" spans="2:51" s="30" customFormat="1">
      <c r="B331" s="50"/>
      <c r="E331" s="67"/>
      <c r="G331" s="35"/>
      <c r="L331" s="32"/>
      <c r="M331" s="32"/>
      <c r="N331" s="11"/>
      <c r="O331" s="11"/>
      <c r="P331" s="32"/>
      <c r="Q331" s="32"/>
      <c r="R331" s="32"/>
      <c r="AV331" s="50"/>
      <c r="AY331" s="50"/>
    </row>
    <row r="332" spans="2:51" s="30" customFormat="1">
      <c r="B332" s="50"/>
      <c r="E332" s="67"/>
      <c r="G332" s="35"/>
      <c r="L332" s="32"/>
      <c r="M332" s="32"/>
      <c r="N332" s="11"/>
      <c r="O332" s="11"/>
      <c r="P332" s="32"/>
      <c r="Q332" s="32"/>
      <c r="R332" s="32"/>
      <c r="AV332" s="50"/>
      <c r="AY332" s="50"/>
    </row>
    <row r="333" spans="2:51" s="30" customFormat="1">
      <c r="B333" s="50"/>
      <c r="E333" s="67"/>
      <c r="G333" s="35"/>
      <c r="L333" s="32"/>
      <c r="M333" s="32"/>
      <c r="N333" s="11"/>
      <c r="O333" s="11"/>
      <c r="P333" s="32"/>
      <c r="Q333" s="32"/>
      <c r="R333" s="32"/>
      <c r="AV333" s="50"/>
      <c r="AY333" s="50"/>
    </row>
    <row r="334" spans="2:51" s="30" customFormat="1">
      <c r="B334" s="50"/>
      <c r="E334" s="67"/>
      <c r="G334" s="35"/>
      <c r="L334" s="32"/>
      <c r="M334" s="32"/>
      <c r="N334" s="11"/>
      <c r="O334" s="11"/>
      <c r="P334" s="32"/>
      <c r="Q334" s="32"/>
      <c r="R334" s="32"/>
      <c r="AV334" s="50"/>
      <c r="AY334" s="50"/>
    </row>
    <row r="335" spans="2:51" s="30" customFormat="1">
      <c r="B335" s="50"/>
      <c r="E335" s="67"/>
      <c r="G335" s="35"/>
      <c r="L335" s="32"/>
      <c r="M335" s="32"/>
      <c r="N335" s="11"/>
      <c r="O335" s="11"/>
      <c r="P335" s="32"/>
      <c r="Q335" s="32"/>
      <c r="R335" s="32"/>
      <c r="AV335" s="50"/>
      <c r="AY335" s="50"/>
    </row>
    <row r="336" spans="2:51" s="30" customFormat="1">
      <c r="B336" s="50"/>
      <c r="E336" s="67"/>
      <c r="G336" s="35"/>
      <c r="L336" s="32"/>
      <c r="M336" s="32"/>
      <c r="N336" s="11"/>
      <c r="O336" s="11"/>
      <c r="P336" s="32"/>
      <c r="Q336" s="32"/>
      <c r="R336" s="32"/>
      <c r="AV336" s="50"/>
      <c r="AY336" s="50"/>
    </row>
    <row r="337" spans="2:51" s="30" customFormat="1">
      <c r="B337" s="50"/>
      <c r="E337" s="67"/>
      <c r="G337" s="35"/>
      <c r="L337" s="32"/>
      <c r="M337" s="32"/>
      <c r="N337" s="11"/>
      <c r="O337" s="11"/>
      <c r="P337" s="32"/>
      <c r="Q337" s="32"/>
      <c r="R337" s="32"/>
      <c r="AV337" s="50"/>
      <c r="AY337" s="50"/>
    </row>
    <row r="338" spans="2:51" s="30" customFormat="1">
      <c r="B338" s="50"/>
      <c r="E338" s="67"/>
      <c r="G338" s="35"/>
      <c r="L338" s="32"/>
      <c r="M338" s="32"/>
      <c r="N338" s="11"/>
      <c r="O338" s="11"/>
      <c r="P338" s="32"/>
      <c r="Q338" s="32"/>
      <c r="R338" s="32"/>
      <c r="AV338" s="50"/>
      <c r="AY338" s="50"/>
    </row>
    <row r="339" spans="2:51" s="30" customFormat="1">
      <c r="B339" s="50"/>
      <c r="E339" s="67"/>
      <c r="G339" s="35"/>
      <c r="L339" s="32"/>
      <c r="M339" s="32"/>
      <c r="N339" s="11"/>
      <c r="O339" s="11"/>
      <c r="P339" s="32"/>
      <c r="Q339" s="32"/>
      <c r="R339" s="32"/>
      <c r="AV339" s="50"/>
      <c r="AY339" s="50"/>
    </row>
    <row r="340" spans="2:51" s="30" customFormat="1">
      <c r="B340" s="50"/>
      <c r="E340" s="67"/>
      <c r="G340" s="35"/>
      <c r="L340" s="32"/>
      <c r="M340" s="32"/>
      <c r="N340" s="11"/>
      <c r="O340" s="11"/>
      <c r="P340" s="32"/>
      <c r="Q340" s="32"/>
      <c r="R340" s="32"/>
      <c r="AV340" s="50"/>
      <c r="AY340" s="50"/>
    </row>
    <row r="341" spans="2:51" s="30" customFormat="1">
      <c r="B341" s="50"/>
      <c r="E341" s="67"/>
      <c r="G341" s="35"/>
      <c r="L341" s="32"/>
      <c r="M341" s="32"/>
      <c r="N341" s="11"/>
      <c r="O341" s="11"/>
      <c r="P341" s="32"/>
      <c r="Q341" s="32"/>
      <c r="R341" s="32"/>
      <c r="AV341" s="50"/>
      <c r="AY341" s="50"/>
    </row>
    <row r="342" spans="2:51" s="30" customFormat="1">
      <c r="B342" s="50"/>
      <c r="E342" s="67"/>
      <c r="G342" s="35"/>
      <c r="L342" s="32"/>
      <c r="M342" s="32"/>
      <c r="N342" s="11"/>
      <c r="O342" s="11"/>
      <c r="P342" s="32"/>
      <c r="Q342" s="32"/>
      <c r="R342" s="32"/>
      <c r="AV342" s="50"/>
      <c r="AY342" s="50"/>
    </row>
    <row r="343" spans="2:51" s="30" customFormat="1">
      <c r="B343" s="50"/>
      <c r="E343" s="67"/>
      <c r="G343" s="35"/>
      <c r="L343" s="32"/>
      <c r="M343" s="32"/>
      <c r="N343" s="11"/>
      <c r="O343" s="11"/>
      <c r="P343" s="32"/>
      <c r="Q343" s="32"/>
      <c r="R343" s="32"/>
      <c r="AV343" s="50"/>
      <c r="AY343" s="50"/>
    </row>
    <row r="344" spans="2:51" s="30" customFormat="1">
      <c r="B344" s="50"/>
      <c r="E344" s="67"/>
      <c r="G344" s="35"/>
      <c r="L344" s="32"/>
      <c r="M344" s="32"/>
      <c r="N344" s="11"/>
      <c r="O344" s="11"/>
      <c r="P344" s="32"/>
      <c r="Q344" s="32"/>
      <c r="R344" s="32"/>
      <c r="AV344" s="50"/>
      <c r="AY344" s="50"/>
    </row>
    <row r="345" spans="2:51" s="30" customFormat="1">
      <c r="B345" s="50"/>
      <c r="E345" s="67"/>
      <c r="G345" s="35"/>
      <c r="L345" s="32"/>
      <c r="M345" s="32"/>
      <c r="N345" s="11"/>
      <c r="O345" s="11"/>
      <c r="P345" s="32"/>
      <c r="Q345" s="32"/>
      <c r="R345" s="32"/>
      <c r="AV345" s="50"/>
      <c r="AY345" s="50"/>
    </row>
    <row r="346" spans="2:51" s="30" customFormat="1">
      <c r="B346" s="50"/>
      <c r="E346" s="67"/>
      <c r="G346" s="35"/>
      <c r="L346" s="32"/>
      <c r="M346" s="32"/>
      <c r="N346" s="11"/>
      <c r="O346" s="11"/>
      <c r="P346" s="32"/>
      <c r="Q346" s="32"/>
      <c r="R346" s="32"/>
      <c r="AV346" s="50"/>
      <c r="AY346" s="50"/>
    </row>
    <row r="347" spans="2:51" s="30" customFormat="1">
      <c r="B347" s="50"/>
      <c r="E347" s="67"/>
      <c r="G347" s="35"/>
      <c r="L347" s="32"/>
      <c r="M347" s="32"/>
      <c r="N347" s="11"/>
      <c r="O347" s="11"/>
      <c r="P347" s="32"/>
      <c r="Q347" s="32"/>
      <c r="R347" s="32"/>
      <c r="AV347" s="50"/>
      <c r="AY347" s="50"/>
    </row>
    <row r="348" spans="2:51" s="30" customFormat="1">
      <c r="B348" s="50"/>
      <c r="E348" s="67"/>
      <c r="G348" s="35"/>
      <c r="L348" s="32"/>
      <c r="M348" s="32"/>
      <c r="N348" s="11"/>
      <c r="O348" s="11"/>
      <c r="P348" s="32"/>
      <c r="Q348" s="32"/>
      <c r="R348" s="32"/>
      <c r="AV348" s="50"/>
      <c r="AY348" s="50"/>
    </row>
    <row r="349" spans="2:51" s="30" customFormat="1">
      <c r="B349" s="50"/>
      <c r="E349" s="67"/>
      <c r="G349" s="35"/>
      <c r="L349" s="32"/>
      <c r="M349" s="32"/>
      <c r="N349" s="11"/>
      <c r="O349" s="11"/>
      <c r="P349" s="32"/>
      <c r="Q349" s="32"/>
      <c r="R349" s="32"/>
      <c r="AV349" s="50"/>
      <c r="AY349" s="50"/>
    </row>
    <row r="350" spans="2:51" s="30" customFormat="1">
      <c r="B350" s="50"/>
      <c r="E350" s="67"/>
      <c r="G350" s="35"/>
      <c r="L350" s="32"/>
      <c r="M350" s="32"/>
      <c r="N350" s="11"/>
      <c r="O350" s="11"/>
      <c r="P350" s="32"/>
      <c r="Q350" s="32"/>
      <c r="R350" s="32"/>
      <c r="AV350" s="50"/>
      <c r="AY350" s="50"/>
    </row>
    <row r="351" spans="2:51" s="30" customFormat="1">
      <c r="B351" s="50"/>
      <c r="E351" s="67"/>
      <c r="G351" s="35"/>
      <c r="L351" s="32"/>
      <c r="M351" s="32"/>
      <c r="N351" s="11"/>
      <c r="O351" s="11"/>
      <c r="P351" s="32"/>
      <c r="Q351" s="32"/>
      <c r="R351" s="32"/>
      <c r="AV351" s="50"/>
      <c r="AY351" s="50"/>
    </row>
    <row r="352" spans="2:51" s="30" customFormat="1">
      <c r="B352" s="50"/>
      <c r="E352" s="67"/>
      <c r="G352" s="35"/>
      <c r="L352" s="32"/>
      <c r="M352" s="32"/>
      <c r="N352" s="11"/>
      <c r="O352" s="11"/>
      <c r="P352" s="32"/>
      <c r="Q352" s="32"/>
      <c r="R352" s="32"/>
      <c r="AV352" s="50"/>
      <c r="AY352" s="50"/>
    </row>
    <row r="353" spans="2:51" s="30" customFormat="1">
      <c r="B353" s="50"/>
      <c r="E353" s="67"/>
      <c r="G353" s="35"/>
      <c r="L353" s="32"/>
      <c r="M353" s="32"/>
      <c r="N353" s="11"/>
      <c r="O353" s="11"/>
      <c r="P353" s="32"/>
      <c r="Q353" s="32"/>
      <c r="R353" s="32"/>
      <c r="AV353" s="50"/>
      <c r="AY353" s="50"/>
    </row>
    <row r="354" spans="2:51" s="30" customFormat="1">
      <c r="B354" s="50"/>
      <c r="E354" s="67"/>
      <c r="G354" s="35"/>
      <c r="L354" s="32"/>
      <c r="M354" s="32"/>
      <c r="N354" s="11"/>
      <c r="O354" s="11"/>
      <c r="P354" s="32"/>
      <c r="Q354" s="32"/>
      <c r="R354" s="32"/>
      <c r="AV354" s="50"/>
      <c r="AY354" s="50"/>
    </row>
    <row r="355" spans="2:51" s="30" customFormat="1">
      <c r="B355" s="50"/>
      <c r="E355" s="67"/>
      <c r="G355" s="35"/>
      <c r="L355" s="32"/>
      <c r="M355" s="32"/>
      <c r="N355" s="11"/>
      <c r="O355" s="11"/>
      <c r="P355" s="32"/>
      <c r="Q355" s="32"/>
      <c r="R355" s="32"/>
      <c r="AV355" s="50"/>
      <c r="AY355" s="50"/>
    </row>
    <row r="356" spans="2:51" s="30" customFormat="1">
      <c r="B356" s="50"/>
      <c r="E356" s="67"/>
      <c r="G356" s="35"/>
      <c r="L356" s="32"/>
      <c r="M356" s="32"/>
      <c r="N356" s="11"/>
      <c r="O356" s="11"/>
      <c r="P356" s="32"/>
      <c r="Q356" s="32"/>
      <c r="R356" s="32"/>
      <c r="AV356" s="50"/>
      <c r="AY356" s="50"/>
    </row>
    <row r="357" spans="2:51" s="30" customFormat="1">
      <c r="B357" s="50"/>
      <c r="E357" s="67"/>
      <c r="G357" s="35"/>
      <c r="L357" s="32"/>
      <c r="M357" s="32"/>
      <c r="N357" s="11"/>
      <c r="O357" s="11"/>
      <c r="P357" s="32"/>
      <c r="Q357" s="32"/>
      <c r="R357" s="32"/>
      <c r="AV357" s="50"/>
      <c r="AY357" s="50"/>
    </row>
    <row r="358" spans="2:51" s="30" customFormat="1">
      <c r="B358" s="50"/>
      <c r="E358" s="67"/>
      <c r="G358" s="35"/>
      <c r="L358" s="32"/>
      <c r="M358" s="32"/>
      <c r="N358" s="11"/>
      <c r="O358" s="11"/>
      <c r="P358" s="32"/>
      <c r="Q358" s="32"/>
      <c r="R358" s="32"/>
      <c r="AV358" s="50"/>
      <c r="AY358" s="50"/>
    </row>
    <row r="359" spans="2:51" s="30" customFormat="1">
      <c r="B359" s="50"/>
      <c r="E359" s="67"/>
      <c r="G359" s="35"/>
      <c r="L359" s="32"/>
      <c r="M359" s="32"/>
      <c r="N359" s="11"/>
      <c r="O359" s="11"/>
      <c r="P359" s="32"/>
      <c r="Q359" s="32"/>
      <c r="R359" s="32"/>
      <c r="AV359" s="50"/>
      <c r="AY359" s="50"/>
    </row>
    <row r="360" spans="2:51" s="30" customFormat="1">
      <c r="B360" s="50"/>
      <c r="E360" s="67"/>
      <c r="G360" s="35"/>
      <c r="L360" s="32"/>
      <c r="M360" s="32"/>
      <c r="N360" s="11"/>
      <c r="O360" s="11"/>
      <c r="P360" s="32"/>
      <c r="Q360" s="32"/>
      <c r="R360" s="32"/>
      <c r="AV360" s="50"/>
      <c r="AY360" s="50"/>
    </row>
    <row r="361" spans="2:51" s="30" customFormat="1">
      <c r="B361" s="50"/>
      <c r="E361" s="67"/>
      <c r="G361" s="35"/>
      <c r="L361" s="32"/>
      <c r="M361" s="32"/>
      <c r="N361" s="11"/>
      <c r="O361" s="11"/>
      <c r="P361" s="32"/>
      <c r="Q361" s="32"/>
      <c r="R361" s="32"/>
      <c r="AV361" s="50"/>
      <c r="AY361" s="50"/>
    </row>
    <row r="362" spans="2:51" s="30" customFormat="1">
      <c r="B362" s="50"/>
      <c r="E362" s="67"/>
      <c r="G362" s="35"/>
      <c r="L362" s="32"/>
      <c r="M362" s="32"/>
      <c r="N362" s="11"/>
      <c r="O362" s="11"/>
      <c r="P362" s="32"/>
      <c r="Q362" s="32"/>
      <c r="R362" s="32"/>
      <c r="AV362" s="50"/>
      <c r="AY362" s="50"/>
    </row>
    <row r="363" spans="2:51" s="30" customFormat="1">
      <c r="B363" s="50"/>
      <c r="E363" s="67"/>
      <c r="G363" s="35"/>
      <c r="L363" s="32"/>
      <c r="M363" s="32"/>
      <c r="N363" s="11"/>
      <c r="O363" s="11"/>
      <c r="P363" s="32"/>
      <c r="Q363" s="32"/>
      <c r="R363" s="32"/>
      <c r="AV363" s="50"/>
      <c r="AY363" s="50"/>
    </row>
    <row r="364" spans="2:51" s="30" customFormat="1">
      <c r="B364" s="50"/>
      <c r="E364" s="67"/>
      <c r="G364" s="35"/>
      <c r="L364" s="32"/>
      <c r="M364" s="32"/>
      <c r="N364" s="11"/>
      <c r="O364" s="11"/>
      <c r="P364" s="32"/>
      <c r="Q364" s="32"/>
      <c r="R364" s="32"/>
      <c r="AV364" s="50"/>
      <c r="AY364" s="50"/>
    </row>
    <row r="365" spans="2:51" s="30" customFormat="1">
      <c r="B365" s="50"/>
      <c r="E365" s="67"/>
      <c r="G365" s="35"/>
      <c r="L365" s="32"/>
      <c r="M365" s="32"/>
      <c r="N365" s="11"/>
      <c r="O365" s="11"/>
      <c r="P365" s="32"/>
      <c r="Q365" s="32"/>
      <c r="R365" s="32"/>
      <c r="AV365" s="50"/>
      <c r="AY365" s="50"/>
    </row>
    <row r="366" spans="2:51" s="30" customFormat="1">
      <c r="B366" s="50"/>
      <c r="E366" s="67"/>
      <c r="G366" s="35"/>
      <c r="L366" s="32"/>
      <c r="M366" s="32"/>
      <c r="N366" s="11"/>
      <c r="O366" s="11"/>
      <c r="P366" s="32"/>
      <c r="Q366" s="32"/>
      <c r="R366" s="32"/>
      <c r="AV366" s="50"/>
      <c r="AY366" s="50"/>
    </row>
    <row r="367" spans="2:51" s="30" customFormat="1">
      <c r="B367" s="50"/>
      <c r="E367" s="67"/>
      <c r="G367" s="35"/>
      <c r="L367" s="32"/>
      <c r="M367" s="32"/>
      <c r="N367" s="11"/>
      <c r="O367" s="11"/>
      <c r="P367" s="32"/>
      <c r="Q367" s="32"/>
      <c r="R367" s="32"/>
      <c r="AV367" s="50"/>
      <c r="AY367" s="50"/>
    </row>
    <row r="368" spans="2:51" s="30" customFormat="1">
      <c r="B368" s="50"/>
      <c r="E368" s="67"/>
      <c r="G368" s="35"/>
      <c r="L368" s="32"/>
      <c r="M368" s="32"/>
      <c r="N368" s="11"/>
      <c r="O368" s="11"/>
      <c r="P368" s="32"/>
      <c r="Q368" s="32"/>
      <c r="R368" s="32"/>
      <c r="AV368" s="50"/>
      <c r="AY368" s="50"/>
    </row>
    <row r="369" spans="2:51" s="30" customFormat="1">
      <c r="B369" s="50"/>
      <c r="E369" s="67"/>
      <c r="G369" s="35"/>
      <c r="L369" s="32"/>
      <c r="M369" s="32"/>
      <c r="N369" s="11"/>
      <c r="O369" s="11"/>
      <c r="P369" s="32"/>
      <c r="Q369" s="32"/>
      <c r="R369" s="32"/>
      <c r="AV369" s="50"/>
      <c r="AY369" s="50"/>
    </row>
    <row r="370" spans="2:51" s="30" customFormat="1">
      <c r="B370" s="50"/>
      <c r="E370" s="67"/>
      <c r="G370" s="35"/>
      <c r="L370" s="32"/>
      <c r="M370" s="32"/>
      <c r="N370" s="11"/>
      <c r="O370" s="11"/>
      <c r="P370" s="32"/>
      <c r="Q370" s="32"/>
      <c r="R370" s="32"/>
      <c r="AV370" s="50"/>
      <c r="AY370" s="50"/>
    </row>
    <row r="371" spans="2:51" s="30" customFormat="1">
      <c r="B371" s="50"/>
      <c r="E371" s="67"/>
      <c r="G371" s="35"/>
      <c r="L371" s="32"/>
      <c r="M371" s="32"/>
      <c r="N371" s="11"/>
      <c r="O371" s="11"/>
      <c r="P371" s="32"/>
      <c r="Q371" s="32"/>
      <c r="R371" s="32"/>
      <c r="AV371" s="50"/>
      <c r="AY371" s="50"/>
    </row>
    <row r="372" spans="2:51" s="30" customFormat="1">
      <c r="B372" s="50"/>
      <c r="E372" s="67"/>
      <c r="G372" s="35"/>
      <c r="L372" s="32"/>
      <c r="M372" s="32"/>
      <c r="N372" s="11"/>
      <c r="O372" s="11"/>
      <c r="P372" s="32"/>
      <c r="Q372" s="32"/>
      <c r="R372" s="32"/>
      <c r="AV372" s="50"/>
      <c r="AY372" s="50"/>
    </row>
    <row r="373" spans="2:51" s="30" customFormat="1">
      <c r="B373" s="50"/>
      <c r="E373" s="67"/>
      <c r="G373" s="35"/>
      <c r="L373" s="32"/>
      <c r="M373" s="32"/>
      <c r="N373" s="11"/>
      <c r="O373" s="11"/>
      <c r="P373" s="32"/>
      <c r="Q373" s="32"/>
      <c r="R373" s="32"/>
      <c r="AV373" s="50"/>
      <c r="AY373" s="50"/>
    </row>
    <row r="374" spans="2:51" s="30" customFormat="1">
      <c r="B374" s="50"/>
      <c r="E374" s="67"/>
      <c r="G374" s="35"/>
      <c r="L374" s="32"/>
      <c r="M374" s="32"/>
      <c r="N374" s="11"/>
      <c r="O374" s="11"/>
      <c r="P374" s="32"/>
      <c r="Q374" s="32"/>
      <c r="R374" s="32"/>
      <c r="AV374" s="50"/>
      <c r="AY374" s="50"/>
    </row>
    <row r="375" spans="2:51" s="30" customFormat="1">
      <c r="B375" s="50"/>
      <c r="E375" s="67"/>
      <c r="G375" s="35"/>
      <c r="L375" s="32"/>
      <c r="M375" s="32"/>
      <c r="N375" s="11"/>
      <c r="O375" s="11"/>
      <c r="P375" s="32"/>
      <c r="Q375" s="32"/>
      <c r="R375" s="32"/>
      <c r="AV375" s="50"/>
      <c r="AY375" s="50"/>
    </row>
    <row r="376" spans="2:51" s="30" customFormat="1">
      <c r="B376" s="50"/>
      <c r="E376" s="67"/>
      <c r="G376" s="35"/>
      <c r="L376" s="32"/>
      <c r="M376" s="32"/>
      <c r="N376" s="11"/>
      <c r="O376" s="11"/>
      <c r="P376" s="32"/>
      <c r="Q376" s="32"/>
      <c r="R376" s="32"/>
      <c r="AV376" s="50"/>
      <c r="AY376" s="50"/>
    </row>
    <row r="377" spans="2:51" s="30" customFormat="1">
      <c r="B377" s="50"/>
      <c r="E377" s="67"/>
      <c r="G377" s="35"/>
      <c r="L377" s="32"/>
      <c r="M377" s="32"/>
      <c r="N377" s="11"/>
      <c r="O377" s="11"/>
      <c r="P377" s="32"/>
      <c r="Q377" s="32"/>
      <c r="R377" s="32"/>
      <c r="AV377" s="50"/>
      <c r="AY377" s="50"/>
    </row>
    <row r="378" spans="2:51" s="30" customFormat="1">
      <c r="B378" s="50"/>
      <c r="E378" s="67"/>
      <c r="G378" s="35"/>
      <c r="L378" s="32"/>
      <c r="M378" s="32"/>
      <c r="N378" s="11"/>
      <c r="O378" s="11"/>
      <c r="P378" s="32"/>
      <c r="Q378" s="32"/>
      <c r="R378" s="32"/>
      <c r="AV378" s="50"/>
      <c r="AY378" s="50"/>
    </row>
    <row r="379" spans="2:51" s="30" customFormat="1">
      <c r="B379" s="50"/>
      <c r="E379" s="67"/>
      <c r="G379" s="35"/>
      <c r="L379" s="32"/>
      <c r="M379" s="32"/>
      <c r="N379" s="11"/>
      <c r="O379" s="11"/>
      <c r="P379" s="32"/>
      <c r="Q379" s="32"/>
      <c r="R379" s="32"/>
      <c r="AV379" s="50"/>
      <c r="AY379" s="50"/>
    </row>
    <row r="380" spans="2:51" s="30" customFormat="1">
      <c r="B380" s="50"/>
      <c r="E380" s="67"/>
      <c r="G380" s="35"/>
      <c r="L380" s="32"/>
      <c r="M380" s="32"/>
      <c r="N380" s="11"/>
      <c r="O380" s="11"/>
      <c r="P380" s="32"/>
      <c r="Q380" s="32"/>
      <c r="R380" s="32"/>
      <c r="AV380" s="50"/>
      <c r="AY380" s="50"/>
    </row>
    <row r="381" spans="2:51" s="30" customFormat="1">
      <c r="B381" s="50"/>
      <c r="E381" s="67"/>
      <c r="G381" s="35"/>
      <c r="L381" s="32"/>
      <c r="M381" s="32"/>
      <c r="N381" s="11"/>
      <c r="O381" s="11"/>
      <c r="P381" s="32"/>
      <c r="Q381" s="32"/>
      <c r="R381" s="32"/>
      <c r="AV381" s="50"/>
      <c r="AY381" s="50"/>
    </row>
    <row r="382" spans="2:51" s="30" customFormat="1">
      <c r="B382" s="50"/>
      <c r="E382" s="67"/>
      <c r="G382" s="35"/>
      <c r="L382" s="32"/>
      <c r="M382" s="32"/>
      <c r="N382" s="11"/>
      <c r="O382" s="11"/>
      <c r="P382" s="32"/>
      <c r="Q382" s="32"/>
      <c r="R382" s="32"/>
      <c r="AV382" s="50"/>
      <c r="AY382" s="50"/>
    </row>
    <row r="383" spans="2:51" s="30" customFormat="1">
      <c r="B383" s="50"/>
      <c r="E383" s="67"/>
      <c r="G383" s="35"/>
      <c r="L383" s="32"/>
      <c r="M383" s="32"/>
      <c r="N383" s="11"/>
      <c r="O383" s="11"/>
      <c r="P383" s="32"/>
      <c r="Q383" s="32"/>
      <c r="R383" s="32"/>
      <c r="AV383" s="50"/>
      <c r="AY383" s="50"/>
    </row>
    <row r="384" spans="2:51" s="30" customFormat="1">
      <c r="B384" s="50"/>
      <c r="E384" s="67"/>
      <c r="G384" s="35"/>
      <c r="L384" s="32"/>
      <c r="M384" s="32"/>
      <c r="N384" s="11"/>
      <c r="O384" s="11"/>
      <c r="P384" s="32"/>
      <c r="Q384" s="32"/>
      <c r="R384" s="32"/>
      <c r="AV384" s="50"/>
      <c r="AY384" s="50"/>
    </row>
    <row r="385" spans="2:51" s="30" customFormat="1">
      <c r="B385" s="50"/>
      <c r="E385" s="67"/>
      <c r="G385" s="35"/>
      <c r="L385" s="32"/>
      <c r="M385" s="32"/>
      <c r="N385" s="11"/>
      <c r="O385" s="11"/>
      <c r="P385" s="32"/>
      <c r="Q385" s="32"/>
      <c r="R385" s="32"/>
      <c r="AV385" s="50"/>
      <c r="AY385" s="50"/>
    </row>
    <row r="386" spans="2:51" s="30" customFormat="1">
      <c r="B386" s="50"/>
      <c r="E386" s="67"/>
      <c r="G386" s="35"/>
      <c r="L386" s="32"/>
      <c r="M386" s="32"/>
      <c r="N386" s="11"/>
      <c r="O386" s="11"/>
      <c r="P386" s="32"/>
      <c r="Q386" s="32"/>
      <c r="R386" s="32"/>
      <c r="AV386" s="50"/>
      <c r="AY386" s="50"/>
    </row>
    <row r="387" spans="2:51" s="30" customFormat="1">
      <c r="B387" s="50"/>
      <c r="E387" s="67"/>
      <c r="G387" s="35"/>
      <c r="L387" s="32"/>
      <c r="M387" s="32"/>
      <c r="N387" s="11"/>
      <c r="O387" s="11"/>
      <c r="P387" s="32"/>
      <c r="Q387" s="32"/>
      <c r="R387" s="32"/>
      <c r="AV387" s="50"/>
      <c r="AY387" s="50"/>
    </row>
    <row r="388" spans="2:51" s="30" customFormat="1">
      <c r="B388" s="50"/>
      <c r="E388" s="67"/>
      <c r="G388" s="35"/>
      <c r="L388" s="32"/>
      <c r="M388" s="32"/>
      <c r="N388" s="11"/>
      <c r="O388" s="11"/>
      <c r="P388" s="32"/>
      <c r="Q388" s="32"/>
      <c r="R388" s="32"/>
      <c r="AV388" s="50"/>
      <c r="AY388" s="50"/>
    </row>
    <row r="389" spans="2:51" s="30" customFormat="1">
      <c r="B389" s="50"/>
      <c r="E389" s="67"/>
      <c r="G389" s="35"/>
      <c r="L389" s="32"/>
      <c r="M389" s="32"/>
      <c r="N389" s="11"/>
      <c r="O389" s="11"/>
      <c r="P389" s="32"/>
      <c r="Q389" s="32"/>
      <c r="R389" s="32"/>
      <c r="AV389" s="50"/>
      <c r="AY389" s="50"/>
    </row>
    <row r="390" spans="2:51" s="30" customFormat="1">
      <c r="B390" s="50"/>
      <c r="E390" s="67"/>
      <c r="G390" s="35"/>
      <c r="L390" s="32"/>
      <c r="M390" s="32"/>
      <c r="N390" s="11"/>
      <c r="O390" s="11"/>
      <c r="P390" s="32"/>
      <c r="Q390" s="32"/>
      <c r="R390" s="32"/>
      <c r="AV390" s="50"/>
      <c r="AY390" s="50"/>
    </row>
    <row r="391" spans="2:51" s="30" customFormat="1">
      <c r="B391" s="50"/>
      <c r="E391" s="67"/>
      <c r="G391" s="35"/>
      <c r="L391" s="32"/>
      <c r="M391" s="32"/>
      <c r="N391" s="11"/>
      <c r="O391" s="11"/>
      <c r="P391" s="32"/>
      <c r="Q391" s="32"/>
      <c r="R391" s="32"/>
      <c r="AV391" s="50"/>
      <c r="AY391" s="50"/>
    </row>
    <row r="392" spans="2:51" s="30" customFormat="1">
      <c r="B392" s="50"/>
      <c r="E392" s="67"/>
      <c r="G392" s="35"/>
      <c r="L392" s="32"/>
      <c r="M392" s="32"/>
      <c r="N392" s="11"/>
      <c r="O392" s="11"/>
      <c r="P392" s="32"/>
      <c r="Q392" s="32"/>
      <c r="R392" s="32"/>
      <c r="AV392" s="50"/>
      <c r="AY392" s="50"/>
    </row>
    <row r="393" spans="2:51" s="30" customFormat="1">
      <c r="B393" s="50"/>
      <c r="E393" s="67"/>
      <c r="G393" s="35"/>
      <c r="L393" s="32"/>
      <c r="M393" s="32"/>
      <c r="N393" s="11"/>
      <c r="O393" s="11"/>
      <c r="P393" s="32"/>
      <c r="Q393" s="32"/>
      <c r="R393" s="32"/>
      <c r="AV393" s="50"/>
      <c r="AY393" s="50"/>
    </row>
    <row r="394" spans="2:51" s="30" customFormat="1">
      <c r="B394" s="50"/>
      <c r="E394" s="67"/>
      <c r="G394" s="35"/>
      <c r="L394" s="32"/>
      <c r="M394" s="32"/>
      <c r="N394" s="11"/>
      <c r="O394" s="11"/>
      <c r="P394" s="32"/>
      <c r="Q394" s="32"/>
      <c r="R394" s="32"/>
      <c r="AV394" s="50"/>
      <c r="AY394" s="50"/>
    </row>
    <row r="395" spans="2:51" s="30" customFormat="1">
      <c r="B395" s="50"/>
      <c r="E395" s="67"/>
      <c r="G395" s="35"/>
      <c r="L395" s="32"/>
      <c r="M395" s="32"/>
      <c r="N395" s="11"/>
      <c r="O395" s="11"/>
      <c r="P395" s="32"/>
      <c r="Q395" s="32"/>
      <c r="R395" s="32"/>
      <c r="AV395" s="50"/>
      <c r="AY395" s="50"/>
    </row>
    <row r="396" spans="2:51" s="30" customFormat="1">
      <c r="B396" s="50"/>
      <c r="E396" s="67"/>
      <c r="G396" s="35"/>
      <c r="L396" s="32"/>
      <c r="M396" s="32"/>
      <c r="N396" s="11"/>
      <c r="O396" s="11"/>
      <c r="P396" s="32"/>
      <c r="Q396" s="32"/>
      <c r="R396" s="32"/>
      <c r="AV396" s="50"/>
      <c r="AY396" s="50"/>
    </row>
    <row r="397" spans="2:51" s="30" customFormat="1">
      <c r="B397" s="50"/>
      <c r="E397" s="67"/>
      <c r="G397" s="35"/>
      <c r="L397" s="32"/>
      <c r="M397" s="32"/>
      <c r="N397" s="11"/>
      <c r="O397" s="11"/>
      <c r="P397" s="32"/>
      <c r="Q397" s="32"/>
      <c r="R397" s="32"/>
      <c r="AV397" s="50"/>
      <c r="AY397" s="50"/>
    </row>
    <row r="398" spans="2:51" s="30" customFormat="1">
      <c r="B398" s="50"/>
      <c r="E398" s="67"/>
      <c r="G398" s="35"/>
      <c r="L398" s="32"/>
      <c r="M398" s="32"/>
      <c r="N398" s="11"/>
      <c r="O398" s="11"/>
      <c r="P398" s="32"/>
      <c r="Q398" s="32"/>
      <c r="R398" s="32"/>
      <c r="AV398" s="50"/>
      <c r="AY398" s="50"/>
    </row>
    <row r="399" spans="2:51" s="30" customFormat="1">
      <c r="B399" s="50"/>
      <c r="E399" s="67"/>
      <c r="G399" s="35"/>
      <c r="L399" s="32"/>
      <c r="M399" s="32"/>
      <c r="N399" s="11"/>
      <c r="O399" s="11"/>
      <c r="P399" s="32"/>
      <c r="Q399" s="32"/>
      <c r="R399" s="32"/>
      <c r="AV399" s="50"/>
      <c r="AY399" s="50"/>
    </row>
    <row r="400" spans="2:51" s="30" customFormat="1">
      <c r="B400" s="50"/>
      <c r="E400" s="67"/>
      <c r="G400" s="35"/>
      <c r="L400" s="32"/>
      <c r="M400" s="32"/>
      <c r="N400" s="11"/>
      <c r="O400" s="11"/>
      <c r="P400" s="32"/>
      <c r="Q400" s="32"/>
      <c r="R400" s="32"/>
      <c r="AV400" s="50"/>
      <c r="AY400" s="50"/>
    </row>
    <row r="401" spans="2:51" s="30" customFormat="1">
      <c r="B401" s="50"/>
      <c r="E401" s="67"/>
      <c r="G401" s="35"/>
      <c r="L401" s="32"/>
      <c r="M401" s="32"/>
      <c r="N401" s="11"/>
      <c r="O401" s="11"/>
      <c r="P401" s="32"/>
      <c r="Q401" s="32"/>
      <c r="R401" s="32"/>
      <c r="AV401" s="50"/>
      <c r="AY401" s="50"/>
    </row>
    <row r="402" spans="2:51" s="30" customFormat="1">
      <c r="B402" s="50"/>
      <c r="E402" s="67"/>
      <c r="G402" s="35"/>
      <c r="L402" s="32"/>
      <c r="M402" s="32"/>
      <c r="N402" s="11"/>
      <c r="O402" s="11"/>
      <c r="P402" s="32"/>
      <c r="Q402" s="32"/>
      <c r="R402" s="32"/>
      <c r="AV402" s="50"/>
      <c r="AY402" s="50"/>
    </row>
    <row r="403" spans="2:51" s="30" customFormat="1">
      <c r="B403" s="50"/>
      <c r="E403" s="67"/>
      <c r="G403" s="35"/>
      <c r="L403" s="32"/>
      <c r="M403" s="32"/>
      <c r="N403" s="11"/>
      <c r="O403" s="11"/>
      <c r="P403" s="32"/>
      <c r="Q403" s="32"/>
      <c r="R403" s="32"/>
      <c r="AV403" s="50"/>
      <c r="AY403" s="50"/>
    </row>
    <row r="404" spans="2:51" s="30" customFormat="1">
      <c r="B404" s="50"/>
      <c r="E404" s="67"/>
      <c r="G404" s="35"/>
      <c r="L404" s="32"/>
      <c r="M404" s="32"/>
      <c r="N404" s="11"/>
      <c r="O404" s="11"/>
      <c r="P404" s="32"/>
      <c r="Q404" s="32"/>
      <c r="R404" s="32"/>
      <c r="AV404" s="50"/>
      <c r="AY404" s="50"/>
    </row>
    <row r="405" spans="2:51" s="30" customFormat="1">
      <c r="B405" s="50"/>
      <c r="E405" s="67"/>
      <c r="G405" s="35"/>
      <c r="L405" s="32"/>
      <c r="M405" s="32"/>
      <c r="N405" s="11"/>
      <c r="O405" s="11"/>
      <c r="P405" s="32"/>
      <c r="Q405" s="32"/>
      <c r="R405" s="32"/>
      <c r="AV405" s="50"/>
      <c r="AY405" s="50"/>
    </row>
    <row r="406" spans="2:51" s="30" customFormat="1">
      <c r="B406" s="50"/>
      <c r="E406" s="67"/>
      <c r="G406" s="35"/>
      <c r="L406" s="32"/>
      <c r="M406" s="32"/>
      <c r="N406" s="11"/>
      <c r="O406" s="11"/>
      <c r="P406" s="32"/>
      <c r="Q406" s="32"/>
      <c r="R406" s="32"/>
      <c r="AV406" s="50"/>
      <c r="AY406" s="50"/>
    </row>
    <row r="407" spans="2:51" s="30" customFormat="1">
      <c r="B407" s="50"/>
      <c r="E407" s="67"/>
      <c r="G407" s="35"/>
      <c r="L407" s="32"/>
      <c r="M407" s="32"/>
      <c r="N407" s="11"/>
      <c r="O407" s="11"/>
      <c r="P407" s="32"/>
      <c r="Q407" s="32"/>
      <c r="R407" s="32"/>
      <c r="AV407" s="50"/>
      <c r="AY407" s="50"/>
    </row>
    <row r="408" spans="2:51" s="30" customFormat="1">
      <c r="B408" s="50"/>
      <c r="E408" s="67"/>
      <c r="G408" s="35"/>
      <c r="L408" s="32"/>
      <c r="M408" s="32"/>
      <c r="N408" s="11"/>
      <c r="O408" s="11"/>
      <c r="P408" s="32"/>
      <c r="Q408" s="32"/>
      <c r="R408" s="32"/>
      <c r="AV408" s="50"/>
      <c r="AY408" s="50"/>
    </row>
    <row r="409" spans="2:51" s="30" customFormat="1">
      <c r="B409" s="50"/>
      <c r="E409" s="67"/>
      <c r="G409" s="35"/>
      <c r="L409" s="32"/>
      <c r="M409" s="32"/>
      <c r="N409" s="11"/>
      <c r="O409" s="11"/>
      <c r="P409" s="32"/>
      <c r="Q409" s="32"/>
      <c r="R409" s="32"/>
      <c r="AV409" s="50"/>
      <c r="AY409" s="50"/>
    </row>
    <row r="410" spans="2:51" s="30" customFormat="1">
      <c r="B410" s="50"/>
      <c r="E410" s="67"/>
      <c r="G410" s="35"/>
      <c r="L410" s="32"/>
      <c r="M410" s="32"/>
      <c r="N410" s="11"/>
      <c r="O410" s="11"/>
      <c r="P410" s="32"/>
      <c r="Q410" s="32"/>
      <c r="R410" s="32"/>
      <c r="AV410" s="50"/>
      <c r="AY410" s="50"/>
    </row>
    <row r="411" spans="2:51" s="30" customFormat="1">
      <c r="B411" s="50"/>
      <c r="E411" s="67"/>
      <c r="G411" s="35"/>
      <c r="L411" s="32"/>
      <c r="M411" s="32"/>
      <c r="N411" s="11"/>
      <c r="O411" s="11"/>
      <c r="P411" s="32"/>
      <c r="Q411" s="32"/>
      <c r="R411" s="32"/>
      <c r="AV411" s="50"/>
      <c r="AY411" s="50"/>
    </row>
    <row r="412" spans="2:51" s="30" customFormat="1">
      <c r="B412" s="50"/>
      <c r="E412" s="67"/>
      <c r="G412" s="35"/>
      <c r="L412" s="32"/>
      <c r="M412" s="32"/>
      <c r="N412" s="11"/>
      <c r="O412" s="11"/>
      <c r="P412" s="32"/>
      <c r="Q412" s="32"/>
      <c r="R412" s="32"/>
      <c r="AV412" s="50"/>
      <c r="AY412" s="50"/>
    </row>
    <row r="413" spans="2:51" s="30" customFormat="1">
      <c r="B413" s="50"/>
      <c r="E413" s="67"/>
      <c r="G413" s="35"/>
      <c r="L413" s="32"/>
      <c r="M413" s="32"/>
      <c r="N413" s="11"/>
      <c r="O413" s="11"/>
      <c r="P413" s="32"/>
      <c r="Q413" s="32"/>
      <c r="R413" s="32"/>
      <c r="AV413" s="50"/>
      <c r="AY413" s="50"/>
    </row>
    <row r="414" spans="2:51" s="30" customFormat="1">
      <c r="B414" s="50"/>
      <c r="E414" s="67"/>
      <c r="G414" s="35"/>
      <c r="L414" s="32"/>
      <c r="M414" s="32"/>
      <c r="N414" s="11"/>
      <c r="O414" s="11"/>
      <c r="P414" s="32"/>
      <c r="Q414" s="32"/>
      <c r="R414" s="32"/>
      <c r="AV414" s="50"/>
      <c r="AY414" s="50"/>
    </row>
    <row r="415" spans="2:51" s="30" customFormat="1">
      <c r="B415" s="50"/>
      <c r="E415" s="67"/>
      <c r="G415" s="35"/>
      <c r="L415" s="32"/>
      <c r="M415" s="32"/>
      <c r="N415" s="11"/>
      <c r="O415" s="11"/>
      <c r="P415" s="32"/>
      <c r="Q415" s="32"/>
      <c r="R415" s="32"/>
      <c r="AV415" s="50"/>
      <c r="AY415" s="50"/>
    </row>
    <row r="416" spans="2:51" s="30" customFormat="1">
      <c r="B416" s="50"/>
      <c r="E416" s="67"/>
      <c r="G416" s="35"/>
      <c r="L416" s="32"/>
      <c r="M416" s="32"/>
      <c r="N416" s="11"/>
      <c r="O416" s="11"/>
      <c r="P416" s="32"/>
      <c r="Q416" s="32"/>
      <c r="R416" s="32"/>
      <c r="AV416" s="50"/>
      <c r="AY416" s="50"/>
    </row>
    <row r="417" spans="2:51" s="30" customFormat="1">
      <c r="B417" s="50"/>
      <c r="E417" s="67"/>
      <c r="G417" s="35"/>
      <c r="L417" s="32"/>
      <c r="M417" s="32"/>
      <c r="N417" s="11"/>
      <c r="O417" s="11"/>
      <c r="P417" s="32"/>
      <c r="Q417" s="32"/>
      <c r="R417" s="32"/>
      <c r="AV417" s="50"/>
      <c r="AY417" s="50"/>
    </row>
    <row r="418" spans="2:51" s="30" customFormat="1">
      <c r="B418" s="50"/>
      <c r="E418" s="67"/>
      <c r="G418" s="35"/>
      <c r="L418" s="32"/>
      <c r="M418" s="32"/>
      <c r="N418" s="11"/>
      <c r="O418" s="11"/>
      <c r="P418" s="32"/>
      <c r="Q418" s="32"/>
      <c r="R418" s="32"/>
      <c r="AV418" s="50"/>
      <c r="AY418" s="50"/>
    </row>
    <row r="419" spans="2:51" s="30" customFormat="1">
      <c r="B419" s="50"/>
      <c r="E419" s="67"/>
      <c r="G419" s="35"/>
      <c r="L419" s="32"/>
      <c r="M419" s="32"/>
      <c r="N419" s="11"/>
      <c r="O419" s="11"/>
      <c r="P419" s="32"/>
      <c r="Q419" s="32"/>
      <c r="R419" s="32"/>
      <c r="AV419" s="50"/>
      <c r="AY419" s="50"/>
    </row>
    <row r="420" spans="2:51" s="30" customFormat="1">
      <c r="B420" s="50"/>
      <c r="E420" s="67"/>
      <c r="G420" s="35"/>
      <c r="L420" s="32"/>
      <c r="M420" s="32"/>
      <c r="N420" s="11"/>
      <c r="O420" s="11"/>
      <c r="P420" s="32"/>
      <c r="Q420" s="32"/>
      <c r="R420" s="32"/>
      <c r="AV420" s="50"/>
      <c r="AY420" s="50"/>
    </row>
    <row r="421" spans="2:51" s="30" customFormat="1">
      <c r="B421" s="50"/>
      <c r="E421" s="67"/>
      <c r="G421" s="35"/>
      <c r="L421" s="32"/>
      <c r="M421" s="32"/>
      <c r="N421" s="11"/>
      <c r="O421" s="11"/>
      <c r="P421" s="32"/>
      <c r="Q421" s="32"/>
      <c r="R421" s="32"/>
      <c r="AV421" s="50"/>
      <c r="AY421" s="50"/>
    </row>
    <row r="422" spans="2:51" s="30" customFormat="1">
      <c r="B422" s="50"/>
      <c r="E422" s="67"/>
      <c r="G422" s="35"/>
      <c r="L422" s="32"/>
      <c r="M422" s="32"/>
      <c r="N422" s="11"/>
      <c r="O422" s="11"/>
      <c r="P422" s="32"/>
      <c r="Q422" s="32"/>
      <c r="R422" s="32"/>
      <c r="AV422" s="50"/>
      <c r="AY422" s="50"/>
    </row>
    <row r="423" spans="2:51" s="30" customFormat="1">
      <c r="B423" s="50"/>
      <c r="E423" s="67"/>
      <c r="G423" s="35"/>
      <c r="L423" s="32"/>
      <c r="M423" s="32"/>
      <c r="N423" s="11"/>
      <c r="O423" s="11"/>
      <c r="P423" s="32"/>
      <c r="Q423" s="32"/>
      <c r="R423" s="32"/>
      <c r="AV423" s="50"/>
      <c r="AY423" s="50"/>
    </row>
    <row r="424" spans="2:51" s="30" customFormat="1">
      <c r="B424" s="50"/>
      <c r="E424" s="67"/>
      <c r="G424" s="35"/>
      <c r="L424" s="32"/>
      <c r="M424" s="32"/>
      <c r="N424" s="11"/>
      <c r="O424" s="11"/>
      <c r="P424" s="32"/>
      <c r="Q424" s="32"/>
      <c r="R424" s="32"/>
      <c r="AV424" s="50"/>
      <c r="AY424" s="50"/>
    </row>
    <row r="425" spans="2:51" s="30" customFormat="1">
      <c r="B425" s="50"/>
      <c r="E425" s="67"/>
      <c r="G425" s="35"/>
      <c r="L425" s="32"/>
      <c r="M425" s="32"/>
      <c r="N425" s="11"/>
      <c r="O425" s="11"/>
      <c r="P425" s="32"/>
      <c r="Q425" s="32"/>
      <c r="R425" s="32"/>
      <c r="AV425" s="50"/>
      <c r="AY425" s="50"/>
    </row>
    <row r="426" spans="2:51" s="30" customFormat="1">
      <c r="B426" s="50"/>
      <c r="E426" s="67"/>
      <c r="G426" s="35"/>
      <c r="L426" s="32"/>
      <c r="M426" s="32"/>
      <c r="N426" s="11"/>
      <c r="O426" s="11"/>
      <c r="P426" s="32"/>
      <c r="Q426" s="32"/>
      <c r="R426" s="32"/>
      <c r="AV426" s="50"/>
      <c r="AY426" s="50"/>
    </row>
    <row r="427" spans="2:51" s="30" customFormat="1">
      <c r="B427" s="50"/>
      <c r="E427" s="67"/>
      <c r="G427" s="35"/>
      <c r="L427" s="32"/>
      <c r="M427" s="32"/>
      <c r="N427" s="11"/>
      <c r="O427" s="11"/>
      <c r="P427" s="32"/>
      <c r="Q427" s="32"/>
      <c r="R427" s="32"/>
      <c r="AV427" s="50"/>
      <c r="AY427" s="50"/>
    </row>
    <row r="428" spans="2:51" s="30" customFormat="1">
      <c r="B428" s="50"/>
      <c r="E428" s="67"/>
      <c r="G428" s="35"/>
      <c r="L428" s="32"/>
      <c r="M428" s="32"/>
      <c r="N428" s="11"/>
      <c r="O428" s="11"/>
      <c r="P428" s="32"/>
      <c r="Q428" s="32"/>
      <c r="R428" s="32"/>
      <c r="AV428" s="50"/>
      <c r="AY428" s="50"/>
    </row>
    <row r="429" spans="2:51" s="30" customFormat="1">
      <c r="B429" s="50"/>
      <c r="E429" s="67"/>
      <c r="G429" s="35"/>
      <c r="L429" s="32"/>
      <c r="M429" s="32"/>
      <c r="N429" s="11"/>
      <c r="O429" s="11"/>
      <c r="P429" s="32"/>
      <c r="Q429" s="32"/>
      <c r="R429" s="32"/>
      <c r="AV429" s="50"/>
      <c r="AY429" s="50"/>
    </row>
    <row r="430" spans="2:51" s="30" customFormat="1">
      <c r="B430" s="50"/>
      <c r="E430" s="67"/>
      <c r="G430" s="35"/>
      <c r="L430" s="32"/>
      <c r="M430" s="32"/>
      <c r="N430" s="11"/>
      <c r="O430" s="11"/>
      <c r="P430" s="32"/>
      <c r="Q430" s="32"/>
      <c r="R430" s="32"/>
      <c r="AV430" s="50"/>
      <c r="AY430" s="50"/>
    </row>
    <row r="431" spans="2:51" s="30" customFormat="1">
      <c r="B431" s="50"/>
      <c r="E431" s="67"/>
      <c r="G431" s="35"/>
      <c r="L431" s="32"/>
      <c r="M431" s="32"/>
      <c r="N431" s="11"/>
      <c r="O431" s="11"/>
      <c r="P431" s="32"/>
      <c r="Q431" s="32"/>
      <c r="R431" s="32"/>
      <c r="AV431" s="50"/>
      <c r="AY431" s="50"/>
    </row>
    <row r="432" spans="2:51" s="30" customFormat="1">
      <c r="B432" s="50"/>
      <c r="E432" s="67"/>
      <c r="G432" s="35"/>
      <c r="L432" s="32"/>
      <c r="M432" s="32"/>
      <c r="N432" s="11"/>
      <c r="O432" s="11"/>
      <c r="P432" s="32"/>
      <c r="Q432" s="32"/>
      <c r="R432" s="32"/>
      <c r="AV432" s="50"/>
      <c r="AY432" s="50"/>
    </row>
    <row r="433" spans="2:51" s="30" customFormat="1">
      <c r="B433" s="50"/>
      <c r="E433" s="67"/>
      <c r="G433" s="35"/>
      <c r="L433" s="32"/>
      <c r="M433" s="32"/>
      <c r="N433" s="11"/>
      <c r="O433" s="11"/>
      <c r="P433" s="32"/>
      <c r="Q433" s="32"/>
      <c r="R433" s="32"/>
      <c r="AV433" s="50"/>
      <c r="AY433" s="50"/>
    </row>
    <row r="434" spans="2:51" s="30" customFormat="1">
      <c r="B434" s="50"/>
      <c r="E434" s="67"/>
      <c r="G434" s="35"/>
      <c r="L434" s="32"/>
      <c r="M434" s="32"/>
      <c r="N434" s="11"/>
      <c r="O434" s="11"/>
      <c r="P434" s="32"/>
      <c r="Q434" s="32"/>
      <c r="R434" s="32"/>
      <c r="AV434" s="50"/>
      <c r="AY434" s="50"/>
    </row>
    <row r="435" spans="2:51" s="30" customFormat="1">
      <c r="B435" s="50"/>
      <c r="E435" s="67"/>
      <c r="G435" s="35"/>
      <c r="L435" s="32"/>
      <c r="M435" s="32"/>
      <c r="N435" s="11"/>
      <c r="O435" s="11"/>
      <c r="P435" s="32"/>
      <c r="Q435" s="32"/>
      <c r="R435" s="32"/>
      <c r="AV435" s="50"/>
      <c r="AY435" s="50"/>
    </row>
    <row r="436" spans="2:51" s="30" customFormat="1">
      <c r="B436" s="50"/>
      <c r="E436" s="67"/>
      <c r="G436" s="35"/>
      <c r="L436" s="32"/>
      <c r="M436" s="32"/>
      <c r="N436" s="11"/>
      <c r="O436" s="11"/>
      <c r="P436" s="32"/>
      <c r="Q436" s="32"/>
      <c r="R436" s="32"/>
      <c r="AV436" s="50"/>
      <c r="AY436" s="50"/>
    </row>
    <row r="437" spans="2:51" s="30" customFormat="1">
      <c r="B437" s="50"/>
      <c r="E437" s="67"/>
      <c r="G437" s="35"/>
      <c r="L437" s="32"/>
      <c r="M437" s="32"/>
      <c r="N437" s="11"/>
      <c r="O437" s="11"/>
      <c r="P437" s="32"/>
      <c r="Q437" s="32"/>
      <c r="R437" s="32"/>
      <c r="AV437" s="50"/>
      <c r="AY437" s="50"/>
    </row>
    <row r="438" spans="2:51" s="30" customFormat="1">
      <c r="B438" s="50"/>
      <c r="E438" s="67"/>
      <c r="G438" s="35"/>
      <c r="L438" s="32"/>
      <c r="M438" s="32"/>
      <c r="N438" s="11"/>
      <c r="O438" s="11"/>
      <c r="P438" s="32"/>
      <c r="Q438" s="32"/>
      <c r="R438" s="32"/>
      <c r="AV438" s="50"/>
      <c r="AY438" s="50"/>
    </row>
    <row r="439" spans="2:51" s="30" customFormat="1">
      <c r="B439" s="50"/>
      <c r="E439" s="67"/>
      <c r="G439" s="35"/>
      <c r="L439" s="32"/>
      <c r="M439" s="32"/>
      <c r="N439" s="11"/>
      <c r="O439" s="11"/>
      <c r="P439" s="32"/>
      <c r="Q439" s="32"/>
      <c r="R439" s="32"/>
      <c r="AV439" s="50"/>
      <c r="AY439" s="50"/>
    </row>
    <row r="440" spans="2:51" s="30" customFormat="1">
      <c r="B440" s="50"/>
      <c r="E440" s="67"/>
      <c r="G440" s="35"/>
      <c r="L440" s="32"/>
      <c r="M440" s="32"/>
      <c r="N440" s="11"/>
      <c r="O440" s="11"/>
      <c r="P440" s="32"/>
      <c r="Q440" s="32"/>
      <c r="R440" s="32"/>
      <c r="AV440" s="50"/>
      <c r="AY440" s="50"/>
    </row>
    <row r="441" spans="2:51" s="30" customFormat="1">
      <c r="B441" s="50"/>
      <c r="E441" s="67"/>
      <c r="G441" s="35"/>
      <c r="L441" s="32"/>
      <c r="M441" s="32"/>
      <c r="N441" s="11"/>
      <c r="O441" s="11"/>
      <c r="P441" s="32"/>
      <c r="Q441" s="32"/>
      <c r="R441" s="32"/>
      <c r="AV441" s="50"/>
      <c r="AY441" s="50"/>
    </row>
    <row r="442" spans="2:51" s="30" customFormat="1">
      <c r="B442" s="50"/>
      <c r="E442" s="67"/>
      <c r="G442" s="35"/>
      <c r="L442" s="32"/>
      <c r="M442" s="32"/>
      <c r="N442" s="11"/>
      <c r="O442" s="11"/>
      <c r="P442" s="32"/>
      <c r="Q442" s="32"/>
      <c r="R442" s="32"/>
      <c r="AV442" s="50"/>
      <c r="AY442" s="50"/>
    </row>
    <row r="443" spans="2:51" s="30" customFormat="1">
      <c r="B443" s="50"/>
      <c r="E443" s="67"/>
      <c r="G443" s="35"/>
      <c r="L443" s="32"/>
      <c r="M443" s="32"/>
      <c r="N443" s="11"/>
      <c r="O443" s="11"/>
      <c r="P443" s="32"/>
      <c r="Q443" s="32"/>
      <c r="R443" s="32"/>
      <c r="AV443" s="50"/>
      <c r="AY443" s="50"/>
    </row>
    <row r="444" spans="2:51" s="30" customFormat="1">
      <c r="B444" s="50"/>
      <c r="E444" s="67"/>
      <c r="G444" s="35"/>
      <c r="L444" s="32"/>
      <c r="M444" s="32"/>
      <c r="N444" s="11"/>
      <c r="O444" s="11"/>
      <c r="P444" s="32"/>
      <c r="Q444" s="32"/>
      <c r="R444" s="32"/>
      <c r="AV444" s="50"/>
      <c r="AY444" s="50"/>
    </row>
    <row r="445" spans="2:51" s="30" customFormat="1">
      <c r="B445" s="50"/>
      <c r="E445" s="67"/>
      <c r="G445" s="35"/>
      <c r="L445" s="32"/>
      <c r="M445" s="32"/>
      <c r="N445" s="11"/>
      <c r="O445" s="11"/>
      <c r="P445" s="32"/>
      <c r="Q445" s="32"/>
      <c r="R445" s="32"/>
      <c r="AV445" s="50"/>
      <c r="AY445" s="50"/>
    </row>
    <row r="446" spans="2:51" s="30" customFormat="1">
      <c r="B446" s="50"/>
      <c r="E446" s="67"/>
      <c r="G446" s="35"/>
      <c r="L446" s="32"/>
      <c r="M446" s="32"/>
      <c r="N446" s="11"/>
      <c r="O446" s="11"/>
      <c r="P446" s="32"/>
      <c r="Q446" s="32"/>
      <c r="R446" s="32"/>
      <c r="AV446" s="50"/>
      <c r="AY446" s="50"/>
    </row>
    <row r="447" spans="2:51" s="30" customFormat="1">
      <c r="B447" s="50"/>
      <c r="E447" s="67"/>
      <c r="G447" s="35"/>
      <c r="L447" s="32"/>
      <c r="M447" s="32"/>
      <c r="N447" s="11"/>
      <c r="O447" s="11"/>
      <c r="P447" s="32"/>
      <c r="Q447" s="32"/>
      <c r="R447" s="32"/>
      <c r="AV447" s="50"/>
      <c r="AY447" s="50"/>
    </row>
    <row r="448" spans="2:51" s="30" customFormat="1">
      <c r="B448" s="50"/>
      <c r="E448" s="67"/>
      <c r="G448" s="35"/>
      <c r="L448" s="32"/>
      <c r="M448" s="32"/>
      <c r="N448" s="11"/>
      <c r="O448" s="11"/>
      <c r="P448" s="32"/>
      <c r="Q448" s="32"/>
      <c r="R448" s="32"/>
      <c r="AV448" s="50"/>
      <c r="AY448" s="50"/>
    </row>
    <row r="449" spans="2:51" s="30" customFormat="1">
      <c r="B449" s="50"/>
      <c r="E449" s="67"/>
      <c r="G449" s="35"/>
      <c r="L449" s="32"/>
      <c r="M449" s="32"/>
      <c r="N449" s="11"/>
      <c r="O449" s="11"/>
      <c r="P449" s="32"/>
      <c r="Q449" s="32"/>
      <c r="R449" s="32"/>
      <c r="AV449" s="50"/>
      <c r="AY449" s="50"/>
    </row>
    <row r="450" spans="2:51" s="30" customFormat="1">
      <c r="B450" s="50"/>
      <c r="E450" s="67"/>
      <c r="G450" s="35"/>
      <c r="L450" s="32"/>
      <c r="M450" s="32"/>
      <c r="N450" s="11"/>
      <c r="O450" s="11"/>
      <c r="P450" s="32"/>
      <c r="Q450" s="32"/>
      <c r="R450" s="32"/>
      <c r="AV450" s="50"/>
      <c r="AY450" s="50"/>
    </row>
    <row r="451" spans="2:51" s="30" customFormat="1">
      <c r="B451" s="50"/>
      <c r="E451" s="67"/>
      <c r="G451" s="35"/>
      <c r="L451" s="32"/>
      <c r="M451" s="32"/>
      <c r="N451" s="11"/>
      <c r="O451" s="11"/>
      <c r="P451" s="32"/>
      <c r="Q451" s="32"/>
      <c r="R451" s="32"/>
      <c r="AV451" s="50"/>
      <c r="AY451" s="50"/>
    </row>
    <row r="452" spans="2:51" s="30" customFormat="1">
      <c r="B452" s="50"/>
      <c r="E452" s="67"/>
      <c r="G452" s="35"/>
      <c r="L452" s="32"/>
      <c r="M452" s="32"/>
      <c r="N452" s="11"/>
      <c r="O452" s="11"/>
      <c r="P452" s="32"/>
      <c r="Q452" s="32"/>
      <c r="R452" s="32"/>
      <c r="AV452" s="50"/>
      <c r="AY452" s="50"/>
    </row>
    <row r="453" spans="2:51" s="30" customFormat="1">
      <c r="B453" s="50"/>
      <c r="E453" s="67"/>
      <c r="G453" s="35"/>
      <c r="L453" s="32"/>
      <c r="M453" s="32"/>
      <c r="N453" s="11"/>
      <c r="O453" s="11"/>
      <c r="P453" s="32"/>
      <c r="Q453" s="32"/>
      <c r="R453" s="32"/>
      <c r="AV453" s="50"/>
      <c r="AY453" s="50"/>
    </row>
    <row r="454" spans="2:51" s="30" customFormat="1">
      <c r="B454" s="50"/>
      <c r="E454" s="67"/>
      <c r="G454" s="35"/>
      <c r="L454" s="32"/>
      <c r="M454" s="32"/>
      <c r="N454" s="11"/>
      <c r="O454" s="11"/>
      <c r="P454" s="32"/>
      <c r="Q454" s="32"/>
      <c r="R454" s="32"/>
      <c r="AV454" s="50"/>
      <c r="AY454" s="50"/>
    </row>
    <row r="455" spans="2:51" s="30" customFormat="1">
      <c r="B455" s="50"/>
      <c r="E455" s="67"/>
      <c r="G455" s="35"/>
      <c r="L455" s="32"/>
      <c r="M455" s="32"/>
      <c r="N455" s="11"/>
      <c r="O455" s="11"/>
      <c r="P455" s="32"/>
      <c r="Q455" s="32"/>
      <c r="R455" s="32"/>
      <c r="AV455" s="50"/>
      <c r="AY455" s="50"/>
    </row>
    <row r="456" spans="2:51" s="30" customFormat="1">
      <c r="B456" s="50"/>
      <c r="E456" s="67"/>
      <c r="G456" s="35"/>
      <c r="L456" s="32"/>
      <c r="M456" s="32"/>
      <c r="N456" s="11"/>
      <c r="O456" s="11"/>
      <c r="P456" s="32"/>
      <c r="Q456" s="32"/>
      <c r="R456" s="32"/>
      <c r="AV456" s="50"/>
      <c r="AY456" s="50"/>
    </row>
    <row r="457" spans="2:51" s="30" customFormat="1">
      <c r="B457" s="50"/>
      <c r="E457" s="67"/>
      <c r="G457" s="35"/>
      <c r="L457" s="32"/>
      <c r="M457" s="32"/>
      <c r="N457" s="11"/>
      <c r="O457" s="11"/>
      <c r="P457" s="32"/>
      <c r="Q457" s="32"/>
      <c r="R457" s="32"/>
      <c r="AV457" s="50"/>
      <c r="AY457" s="50"/>
    </row>
    <row r="458" spans="2:51" s="30" customFormat="1">
      <c r="B458" s="50"/>
      <c r="E458" s="67"/>
      <c r="G458" s="35"/>
      <c r="L458" s="32"/>
      <c r="M458" s="32"/>
      <c r="N458" s="11"/>
      <c r="O458" s="11"/>
      <c r="P458" s="32"/>
      <c r="Q458" s="32"/>
      <c r="R458" s="32"/>
      <c r="AV458" s="50"/>
      <c r="AY458" s="50"/>
    </row>
    <row r="459" spans="2:51" s="30" customFormat="1">
      <c r="B459" s="50"/>
      <c r="E459" s="67"/>
      <c r="G459" s="35"/>
      <c r="L459" s="32"/>
      <c r="M459" s="32"/>
      <c r="N459" s="11"/>
      <c r="O459" s="11"/>
      <c r="P459" s="32"/>
      <c r="Q459" s="32"/>
      <c r="R459" s="32"/>
      <c r="AV459" s="50"/>
      <c r="AY459" s="50"/>
    </row>
    <row r="460" spans="2:51" s="30" customFormat="1">
      <c r="B460" s="50"/>
      <c r="E460" s="67"/>
      <c r="G460" s="35"/>
      <c r="L460" s="32"/>
      <c r="M460" s="32"/>
      <c r="N460" s="11"/>
      <c r="O460" s="11"/>
      <c r="P460" s="32"/>
      <c r="Q460" s="32"/>
      <c r="R460" s="32"/>
      <c r="AV460" s="50"/>
      <c r="AY460" s="50"/>
    </row>
    <row r="461" spans="2:51" s="30" customFormat="1">
      <c r="B461" s="50"/>
      <c r="E461" s="67"/>
      <c r="G461" s="35"/>
      <c r="L461" s="32"/>
      <c r="M461" s="32"/>
      <c r="N461" s="11"/>
      <c r="O461" s="11"/>
      <c r="P461" s="32"/>
      <c r="Q461" s="32"/>
      <c r="R461" s="32"/>
      <c r="AV461" s="50"/>
      <c r="AY461" s="50"/>
    </row>
    <row r="462" spans="2:51" s="30" customFormat="1">
      <c r="B462" s="50"/>
      <c r="E462" s="67"/>
      <c r="G462" s="35"/>
      <c r="L462" s="32"/>
      <c r="M462" s="32"/>
      <c r="N462" s="11"/>
      <c r="O462" s="11"/>
      <c r="P462" s="32"/>
      <c r="Q462" s="32"/>
      <c r="R462" s="32"/>
      <c r="AV462" s="50"/>
      <c r="AY462" s="50"/>
    </row>
    <row r="463" spans="2:51" s="30" customFormat="1">
      <c r="B463" s="50"/>
      <c r="E463" s="67"/>
      <c r="G463" s="35"/>
      <c r="L463" s="32"/>
      <c r="M463" s="32"/>
      <c r="N463" s="11"/>
      <c r="O463" s="11"/>
      <c r="P463" s="32"/>
      <c r="Q463" s="32"/>
      <c r="R463" s="32"/>
      <c r="AV463" s="50"/>
      <c r="AY463" s="50"/>
    </row>
    <row r="464" spans="2:51" s="30" customFormat="1">
      <c r="B464" s="50"/>
      <c r="E464" s="67"/>
      <c r="G464" s="35"/>
      <c r="L464" s="32"/>
      <c r="M464" s="32"/>
      <c r="N464" s="11"/>
      <c r="O464" s="11"/>
      <c r="P464" s="32"/>
      <c r="Q464" s="32"/>
      <c r="R464" s="32"/>
      <c r="AV464" s="50"/>
      <c r="AY464" s="50"/>
    </row>
    <row r="465" spans="2:51" s="30" customFormat="1">
      <c r="B465" s="50"/>
      <c r="E465" s="67"/>
      <c r="G465" s="35"/>
      <c r="L465" s="32"/>
      <c r="M465" s="32"/>
      <c r="N465" s="11"/>
      <c r="O465" s="11"/>
      <c r="P465" s="32"/>
      <c r="Q465" s="32"/>
      <c r="R465" s="32"/>
      <c r="AV465" s="50"/>
      <c r="AY465" s="50"/>
    </row>
    <row r="466" spans="2:51" s="30" customFormat="1">
      <c r="B466" s="50"/>
      <c r="E466" s="67"/>
      <c r="G466" s="35"/>
      <c r="L466" s="32"/>
      <c r="M466" s="32"/>
      <c r="N466" s="11"/>
      <c r="O466" s="11"/>
      <c r="P466" s="32"/>
      <c r="Q466" s="32"/>
      <c r="R466" s="32"/>
      <c r="AV466" s="50"/>
      <c r="AY466" s="50"/>
    </row>
    <row r="467" spans="2:51" s="30" customFormat="1">
      <c r="B467" s="50"/>
      <c r="E467" s="67"/>
      <c r="G467" s="35"/>
      <c r="L467" s="32"/>
      <c r="M467" s="32"/>
      <c r="N467" s="11"/>
      <c r="O467" s="11"/>
      <c r="P467" s="32"/>
      <c r="Q467" s="32"/>
      <c r="R467" s="32"/>
      <c r="AV467" s="50"/>
      <c r="AY467" s="50"/>
    </row>
    <row r="468" spans="2:51" s="30" customFormat="1">
      <c r="B468" s="50"/>
      <c r="E468" s="67"/>
      <c r="G468" s="35"/>
      <c r="L468" s="32"/>
      <c r="M468" s="32"/>
      <c r="N468" s="11"/>
      <c r="O468" s="11"/>
      <c r="P468" s="32"/>
      <c r="Q468" s="32"/>
      <c r="R468" s="32"/>
      <c r="AV468" s="50"/>
      <c r="AY468" s="50"/>
    </row>
    <row r="469" spans="2:51" s="30" customFormat="1">
      <c r="B469" s="50"/>
      <c r="E469" s="67"/>
      <c r="G469" s="35"/>
      <c r="L469" s="32"/>
      <c r="M469" s="32"/>
      <c r="N469" s="11"/>
      <c r="O469" s="11"/>
      <c r="P469" s="32"/>
      <c r="Q469" s="32"/>
      <c r="R469" s="32"/>
      <c r="AV469" s="50"/>
      <c r="AY469" s="50"/>
    </row>
    <row r="470" spans="2:51" s="30" customFormat="1">
      <c r="B470" s="50"/>
      <c r="E470" s="67"/>
      <c r="G470" s="35"/>
      <c r="L470" s="32"/>
      <c r="M470" s="32"/>
      <c r="N470" s="11"/>
      <c r="O470" s="11"/>
      <c r="P470" s="32"/>
      <c r="Q470" s="32"/>
      <c r="R470" s="32"/>
      <c r="AV470" s="50"/>
      <c r="AY470" s="50"/>
    </row>
    <row r="471" spans="2:51" s="30" customFormat="1">
      <c r="B471" s="50"/>
      <c r="E471" s="67"/>
      <c r="G471" s="35"/>
      <c r="L471" s="32"/>
      <c r="M471" s="32"/>
      <c r="N471" s="11"/>
      <c r="O471" s="11"/>
      <c r="P471" s="32"/>
      <c r="Q471" s="32"/>
      <c r="R471" s="32"/>
      <c r="AV471" s="50"/>
      <c r="AY471" s="50"/>
    </row>
    <row r="472" spans="2:51" s="30" customFormat="1">
      <c r="B472" s="50"/>
      <c r="E472" s="67"/>
      <c r="G472" s="35"/>
      <c r="L472" s="32"/>
      <c r="M472" s="32"/>
      <c r="N472" s="11"/>
      <c r="O472" s="11"/>
      <c r="P472" s="32"/>
      <c r="Q472" s="32"/>
      <c r="R472" s="32"/>
      <c r="AV472" s="50"/>
      <c r="AY472" s="50"/>
    </row>
    <row r="473" spans="2:51" s="30" customFormat="1">
      <c r="B473" s="50"/>
      <c r="E473" s="67"/>
      <c r="G473" s="35"/>
      <c r="L473" s="32"/>
      <c r="M473" s="32"/>
      <c r="N473" s="11"/>
      <c r="O473" s="11"/>
      <c r="P473" s="32"/>
      <c r="Q473" s="32"/>
      <c r="R473" s="32"/>
      <c r="AV473" s="50"/>
      <c r="AY473" s="50"/>
    </row>
    <row r="474" spans="2:51" s="30" customFormat="1">
      <c r="B474" s="50"/>
      <c r="E474" s="67"/>
      <c r="G474" s="35"/>
      <c r="L474" s="32"/>
      <c r="M474" s="32"/>
      <c r="N474" s="11"/>
      <c r="O474" s="11"/>
      <c r="P474" s="32"/>
      <c r="Q474" s="32"/>
      <c r="R474" s="32"/>
      <c r="AV474" s="50"/>
      <c r="AY474" s="50"/>
    </row>
    <row r="475" spans="2:51" s="30" customFormat="1">
      <c r="B475" s="50"/>
      <c r="E475" s="67"/>
      <c r="G475" s="35"/>
      <c r="L475" s="32"/>
      <c r="M475" s="32"/>
      <c r="N475" s="11"/>
      <c r="O475" s="11"/>
      <c r="P475" s="32"/>
      <c r="Q475" s="32"/>
      <c r="R475" s="32"/>
      <c r="AV475" s="50"/>
      <c r="AY475" s="50"/>
    </row>
    <row r="476" spans="2:51" s="30" customFormat="1">
      <c r="B476" s="50"/>
      <c r="E476" s="67"/>
      <c r="G476" s="35"/>
      <c r="L476" s="32"/>
      <c r="M476" s="32"/>
      <c r="N476" s="11"/>
      <c r="O476" s="11"/>
      <c r="P476" s="32"/>
      <c r="Q476" s="32"/>
      <c r="R476" s="32"/>
      <c r="AV476" s="50"/>
      <c r="AY476" s="50"/>
    </row>
    <row r="477" spans="2:51" s="30" customFormat="1">
      <c r="B477" s="50"/>
      <c r="E477" s="67"/>
      <c r="G477" s="35"/>
      <c r="L477" s="32"/>
      <c r="M477" s="32"/>
      <c r="N477" s="11"/>
      <c r="O477" s="11"/>
      <c r="P477" s="32"/>
      <c r="Q477" s="32"/>
      <c r="R477" s="32"/>
      <c r="AV477" s="50"/>
      <c r="AY477" s="50"/>
    </row>
    <row r="478" spans="2:51" s="30" customFormat="1">
      <c r="B478" s="50"/>
      <c r="E478" s="67"/>
      <c r="G478" s="35"/>
      <c r="L478" s="32"/>
      <c r="M478" s="32"/>
      <c r="N478" s="11"/>
      <c r="O478" s="11"/>
      <c r="P478" s="32"/>
      <c r="Q478" s="32"/>
      <c r="R478" s="32"/>
      <c r="AV478" s="50"/>
      <c r="AY478" s="50"/>
    </row>
    <row r="479" spans="2:51" s="30" customFormat="1">
      <c r="B479" s="50"/>
      <c r="E479" s="67"/>
      <c r="G479" s="35"/>
      <c r="L479" s="32"/>
      <c r="M479" s="32"/>
      <c r="N479" s="11"/>
      <c r="O479" s="11"/>
      <c r="P479" s="32"/>
      <c r="Q479" s="32"/>
      <c r="R479" s="32"/>
      <c r="AV479" s="50"/>
      <c r="AY479" s="50"/>
    </row>
    <row r="480" spans="2:51" s="30" customFormat="1">
      <c r="B480" s="50"/>
      <c r="E480" s="67"/>
      <c r="G480" s="35"/>
      <c r="L480" s="32"/>
      <c r="M480" s="32"/>
      <c r="N480" s="11"/>
      <c r="O480" s="11"/>
      <c r="P480" s="32"/>
      <c r="Q480" s="32"/>
      <c r="R480" s="32"/>
      <c r="AV480" s="50"/>
      <c r="AY480" s="50"/>
    </row>
    <row r="481" spans="2:51" s="30" customFormat="1">
      <c r="B481" s="50"/>
      <c r="E481" s="67"/>
      <c r="G481" s="35"/>
      <c r="L481" s="32"/>
      <c r="M481" s="32"/>
      <c r="N481" s="11"/>
      <c r="O481" s="11"/>
      <c r="P481" s="32"/>
      <c r="Q481" s="32"/>
      <c r="R481" s="32"/>
      <c r="AV481" s="50"/>
      <c r="AY481" s="50"/>
    </row>
    <row r="482" spans="2:51" s="30" customFormat="1">
      <c r="B482" s="50"/>
      <c r="E482" s="67"/>
      <c r="G482" s="35"/>
      <c r="L482" s="32"/>
      <c r="M482" s="32"/>
      <c r="N482" s="11"/>
      <c r="O482" s="11"/>
      <c r="P482" s="32"/>
      <c r="Q482" s="32"/>
      <c r="R482" s="32"/>
      <c r="AV482" s="50"/>
      <c r="AY482" s="50"/>
    </row>
    <row r="483" spans="2:51" s="30" customFormat="1">
      <c r="B483" s="50"/>
      <c r="E483" s="67"/>
      <c r="G483" s="35"/>
      <c r="L483" s="32"/>
      <c r="M483" s="32"/>
      <c r="N483" s="11"/>
      <c r="O483" s="11"/>
      <c r="P483" s="32"/>
      <c r="Q483" s="32"/>
      <c r="R483" s="32"/>
      <c r="AV483" s="50"/>
      <c r="AY483" s="50"/>
    </row>
    <row r="484" spans="2:51" s="30" customFormat="1">
      <c r="B484" s="50"/>
      <c r="E484" s="67"/>
      <c r="G484" s="35"/>
      <c r="L484" s="32"/>
      <c r="M484" s="32"/>
      <c r="N484" s="11"/>
      <c r="O484" s="11"/>
      <c r="P484" s="32"/>
      <c r="Q484" s="32"/>
      <c r="R484" s="32"/>
      <c r="AV484" s="50"/>
      <c r="AY484" s="50"/>
    </row>
    <row r="485" spans="2:51" s="30" customFormat="1">
      <c r="B485" s="50"/>
      <c r="E485" s="67"/>
      <c r="G485" s="35"/>
      <c r="L485" s="32"/>
      <c r="M485" s="32"/>
      <c r="N485" s="11"/>
      <c r="O485" s="11"/>
      <c r="P485" s="32"/>
      <c r="Q485" s="32"/>
      <c r="R485" s="32"/>
      <c r="AV485" s="50"/>
      <c r="AY485" s="50"/>
    </row>
    <row r="486" spans="2:51" s="30" customFormat="1">
      <c r="B486" s="50"/>
      <c r="E486" s="67"/>
      <c r="G486" s="35"/>
      <c r="L486" s="32"/>
      <c r="M486" s="32"/>
      <c r="N486" s="11"/>
      <c r="O486" s="11"/>
      <c r="P486" s="32"/>
      <c r="Q486" s="32"/>
      <c r="R486" s="32"/>
      <c r="AV486" s="50"/>
      <c r="AY486" s="50"/>
    </row>
    <row r="487" spans="2:51" s="30" customFormat="1">
      <c r="B487" s="50"/>
      <c r="E487" s="67"/>
      <c r="G487" s="35"/>
      <c r="L487" s="32"/>
      <c r="M487" s="32"/>
      <c r="N487" s="11"/>
      <c r="O487" s="11"/>
      <c r="P487" s="32"/>
      <c r="Q487" s="32"/>
      <c r="R487" s="32"/>
      <c r="AV487" s="50"/>
      <c r="AY487" s="50"/>
    </row>
    <row r="488" spans="2:51" s="30" customFormat="1">
      <c r="B488" s="50"/>
      <c r="E488" s="67"/>
      <c r="G488" s="35"/>
      <c r="L488" s="32"/>
      <c r="M488" s="32"/>
      <c r="N488" s="11"/>
      <c r="O488" s="11"/>
      <c r="P488" s="32"/>
      <c r="Q488" s="32"/>
      <c r="R488" s="32"/>
      <c r="AV488" s="50"/>
      <c r="AY488" s="50"/>
    </row>
    <row r="489" spans="2:51" s="30" customFormat="1">
      <c r="B489" s="50"/>
      <c r="E489" s="67"/>
      <c r="G489" s="35"/>
      <c r="L489" s="32"/>
      <c r="M489" s="32"/>
      <c r="N489" s="11"/>
      <c r="O489" s="11"/>
      <c r="P489" s="32"/>
      <c r="Q489" s="32"/>
      <c r="R489" s="32"/>
      <c r="AV489" s="50"/>
      <c r="AY489" s="50"/>
    </row>
    <row r="490" spans="2:51" s="30" customFormat="1">
      <c r="B490" s="50"/>
      <c r="E490" s="67"/>
      <c r="G490" s="35"/>
      <c r="L490" s="32"/>
      <c r="M490" s="32"/>
      <c r="N490" s="11"/>
      <c r="O490" s="11"/>
      <c r="P490" s="32"/>
      <c r="Q490" s="32"/>
      <c r="R490" s="32"/>
      <c r="AV490" s="50"/>
      <c r="AY490" s="50"/>
    </row>
    <row r="491" spans="2:51" s="30" customFormat="1">
      <c r="B491" s="50"/>
      <c r="E491" s="67"/>
      <c r="G491" s="35"/>
      <c r="L491" s="32"/>
      <c r="M491" s="32"/>
      <c r="N491" s="11"/>
      <c r="O491" s="11"/>
      <c r="P491" s="32"/>
      <c r="Q491" s="32"/>
      <c r="R491" s="32"/>
      <c r="AV491" s="50"/>
      <c r="AY491" s="50"/>
    </row>
    <row r="492" spans="2:51" s="30" customFormat="1">
      <c r="B492" s="50"/>
      <c r="E492" s="67"/>
      <c r="G492" s="35"/>
      <c r="L492" s="32"/>
      <c r="M492" s="32"/>
      <c r="N492" s="11"/>
      <c r="O492" s="11"/>
      <c r="P492" s="32"/>
      <c r="Q492" s="32"/>
      <c r="R492" s="32"/>
      <c r="AV492" s="50"/>
      <c r="AY492" s="50"/>
    </row>
    <row r="493" spans="2:51" s="30" customFormat="1">
      <c r="B493" s="50"/>
      <c r="E493" s="67"/>
      <c r="G493" s="35"/>
      <c r="L493" s="32"/>
      <c r="M493" s="32"/>
      <c r="N493" s="11"/>
      <c r="O493" s="11"/>
      <c r="P493" s="32"/>
      <c r="Q493" s="32"/>
      <c r="R493" s="32"/>
      <c r="AV493" s="50"/>
      <c r="AY493" s="50"/>
    </row>
    <row r="494" spans="2:51" s="30" customFormat="1">
      <c r="B494" s="50"/>
      <c r="E494" s="67"/>
      <c r="G494" s="35"/>
      <c r="L494" s="32"/>
      <c r="M494" s="32"/>
      <c r="N494" s="11"/>
      <c r="O494" s="11"/>
      <c r="P494" s="32"/>
      <c r="Q494" s="32"/>
      <c r="R494" s="32"/>
      <c r="AV494" s="50"/>
      <c r="AY494" s="50"/>
    </row>
    <row r="495" spans="2:51" s="30" customFormat="1">
      <c r="B495" s="50"/>
      <c r="E495" s="67"/>
      <c r="G495" s="35"/>
      <c r="L495" s="32"/>
      <c r="M495" s="32"/>
      <c r="N495" s="11"/>
      <c r="O495" s="11"/>
      <c r="P495" s="32"/>
      <c r="Q495" s="32"/>
      <c r="R495" s="32"/>
      <c r="AV495" s="50"/>
      <c r="AY495" s="50"/>
    </row>
    <row r="496" spans="2:51" s="30" customFormat="1">
      <c r="B496" s="50"/>
      <c r="E496" s="67"/>
      <c r="G496" s="35"/>
      <c r="L496" s="32"/>
      <c r="M496" s="32"/>
      <c r="N496" s="11"/>
      <c r="O496" s="11"/>
      <c r="P496" s="32"/>
      <c r="Q496" s="32"/>
      <c r="R496" s="32"/>
      <c r="AV496" s="50"/>
      <c r="AY496" s="50"/>
    </row>
    <row r="497" spans="2:51" s="30" customFormat="1">
      <c r="B497" s="50"/>
      <c r="E497" s="67"/>
      <c r="G497" s="35"/>
      <c r="L497" s="32"/>
      <c r="M497" s="32"/>
      <c r="N497" s="11"/>
      <c r="O497" s="11"/>
      <c r="P497" s="32"/>
      <c r="Q497" s="32"/>
      <c r="R497" s="32"/>
      <c r="AV497" s="50"/>
      <c r="AY497" s="50"/>
    </row>
    <row r="498" spans="2:51" s="30" customFormat="1">
      <c r="B498" s="50"/>
      <c r="E498" s="67"/>
      <c r="G498" s="35"/>
      <c r="L498" s="32"/>
      <c r="M498" s="32"/>
      <c r="N498" s="11"/>
      <c r="O498" s="11"/>
      <c r="P498" s="32"/>
      <c r="Q498" s="32"/>
      <c r="R498" s="32"/>
      <c r="AV498" s="50"/>
      <c r="AY498" s="50"/>
    </row>
    <row r="499" spans="2:51" s="30" customFormat="1">
      <c r="B499" s="50"/>
      <c r="E499" s="67"/>
      <c r="G499" s="35"/>
      <c r="L499" s="32"/>
      <c r="M499" s="32"/>
      <c r="N499" s="11"/>
      <c r="O499" s="11"/>
      <c r="P499" s="32"/>
      <c r="Q499" s="32"/>
      <c r="R499" s="32"/>
      <c r="AV499" s="50"/>
      <c r="AY499" s="50"/>
    </row>
    <row r="500" spans="2:51" s="30" customFormat="1">
      <c r="B500" s="50"/>
      <c r="E500" s="67"/>
      <c r="G500" s="35"/>
      <c r="L500" s="32"/>
      <c r="M500" s="32"/>
      <c r="N500" s="11"/>
      <c r="O500" s="11"/>
      <c r="P500" s="32"/>
      <c r="Q500" s="32"/>
      <c r="R500" s="32"/>
      <c r="AV500" s="50"/>
      <c r="AY500" s="50"/>
    </row>
    <row r="501" spans="2:51" s="30" customFormat="1">
      <c r="B501" s="50"/>
      <c r="E501" s="67"/>
      <c r="G501" s="35"/>
      <c r="L501" s="32"/>
      <c r="M501" s="32"/>
      <c r="N501" s="11"/>
      <c r="O501" s="11"/>
      <c r="P501" s="32"/>
      <c r="Q501" s="32"/>
      <c r="R501" s="32"/>
      <c r="AV501" s="50"/>
      <c r="AY501" s="50"/>
    </row>
    <row r="502" spans="2:51" s="30" customFormat="1">
      <c r="B502" s="50"/>
      <c r="E502" s="67"/>
      <c r="G502" s="35"/>
      <c r="L502" s="32"/>
      <c r="M502" s="32"/>
      <c r="N502" s="11"/>
      <c r="O502" s="11"/>
      <c r="P502" s="32"/>
      <c r="Q502" s="32"/>
      <c r="R502" s="32"/>
      <c r="AV502" s="50"/>
      <c r="AY502" s="50"/>
    </row>
    <row r="503" spans="2:51" s="30" customFormat="1">
      <c r="B503" s="50"/>
      <c r="E503" s="67"/>
      <c r="G503" s="35"/>
      <c r="L503" s="32"/>
      <c r="M503" s="32"/>
      <c r="N503" s="11"/>
      <c r="O503" s="11"/>
      <c r="P503" s="32"/>
      <c r="Q503" s="32"/>
      <c r="R503" s="32"/>
      <c r="AV503" s="50"/>
      <c r="AY503" s="50"/>
    </row>
    <row r="504" spans="2:51" s="30" customFormat="1">
      <c r="B504" s="50"/>
      <c r="E504" s="67"/>
      <c r="G504" s="35"/>
      <c r="L504" s="32"/>
      <c r="M504" s="32"/>
      <c r="N504" s="11"/>
      <c r="O504" s="11"/>
      <c r="P504" s="32"/>
      <c r="Q504" s="32"/>
      <c r="R504" s="32"/>
      <c r="AV504" s="50"/>
      <c r="AY504" s="50"/>
    </row>
    <row r="505" spans="2:51" s="30" customFormat="1">
      <c r="B505" s="50"/>
      <c r="E505" s="67"/>
      <c r="G505" s="35"/>
      <c r="L505" s="32"/>
      <c r="M505" s="32"/>
      <c r="N505" s="11"/>
      <c r="O505" s="11"/>
      <c r="P505" s="32"/>
      <c r="Q505" s="32"/>
      <c r="R505" s="32"/>
      <c r="AV505" s="50"/>
      <c r="AY505" s="50"/>
    </row>
    <row r="506" spans="2:51" s="30" customFormat="1">
      <c r="B506" s="50"/>
      <c r="E506" s="67"/>
      <c r="G506" s="35"/>
      <c r="L506" s="32"/>
      <c r="M506" s="32"/>
      <c r="N506" s="11"/>
      <c r="O506" s="11"/>
      <c r="P506" s="32"/>
      <c r="Q506" s="32"/>
      <c r="R506" s="32"/>
      <c r="AV506" s="50"/>
      <c r="AY506" s="50"/>
    </row>
    <row r="507" spans="2:51" s="30" customFormat="1">
      <c r="B507" s="50"/>
      <c r="E507" s="67"/>
      <c r="G507" s="35"/>
      <c r="L507" s="32"/>
      <c r="M507" s="32"/>
      <c r="N507" s="11"/>
      <c r="O507" s="11"/>
      <c r="P507" s="32"/>
      <c r="Q507" s="32"/>
      <c r="R507" s="32"/>
      <c r="AV507" s="50"/>
      <c r="AY507" s="50"/>
    </row>
    <row r="508" spans="2:51" s="30" customFormat="1">
      <c r="B508" s="50"/>
      <c r="E508" s="67"/>
      <c r="G508" s="35"/>
      <c r="L508" s="32"/>
      <c r="M508" s="32"/>
      <c r="N508" s="11"/>
      <c r="O508" s="11"/>
      <c r="P508" s="32"/>
      <c r="Q508" s="32"/>
      <c r="R508" s="32"/>
      <c r="AV508" s="50"/>
      <c r="AY508" s="50"/>
    </row>
    <row r="509" spans="2:51" s="30" customFormat="1">
      <c r="B509" s="50"/>
      <c r="E509" s="67"/>
      <c r="G509" s="35"/>
      <c r="L509" s="32"/>
      <c r="M509" s="32"/>
      <c r="N509" s="11"/>
      <c r="O509" s="11"/>
      <c r="P509" s="32"/>
      <c r="Q509" s="32"/>
      <c r="R509" s="32"/>
      <c r="AV509" s="50"/>
      <c r="AY509" s="50"/>
    </row>
    <row r="510" spans="2:51" s="30" customFormat="1">
      <c r="B510" s="50"/>
      <c r="E510" s="67"/>
      <c r="G510" s="35"/>
      <c r="L510" s="32"/>
      <c r="M510" s="32"/>
      <c r="N510" s="11"/>
      <c r="O510" s="11"/>
      <c r="P510" s="32"/>
      <c r="Q510" s="32"/>
      <c r="R510" s="32"/>
      <c r="AV510" s="50"/>
      <c r="AY510" s="50"/>
    </row>
    <row r="511" spans="2:51" s="30" customFormat="1">
      <c r="B511" s="50"/>
      <c r="E511" s="67"/>
      <c r="G511" s="35"/>
      <c r="L511" s="32"/>
      <c r="M511" s="32"/>
      <c r="N511" s="11"/>
      <c r="O511" s="11"/>
      <c r="P511" s="32"/>
      <c r="Q511" s="32"/>
      <c r="R511" s="32"/>
      <c r="AV511" s="50"/>
      <c r="AY511" s="50"/>
    </row>
    <row r="512" spans="2:51" s="30" customFormat="1">
      <c r="B512" s="50"/>
      <c r="E512" s="67"/>
      <c r="G512" s="35"/>
      <c r="L512" s="32"/>
      <c r="M512" s="32"/>
      <c r="N512" s="11"/>
      <c r="O512" s="11"/>
      <c r="P512" s="32"/>
      <c r="Q512" s="32"/>
      <c r="R512" s="32"/>
      <c r="AV512" s="50"/>
      <c r="AY512" s="50"/>
    </row>
    <row r="513" spans="2:51" s="30" customFormat="1">
      <c r="B513" s="50"/>
      <c r="E513" s="67"/>
      <c r="G513" s="35"/>
      <c r="L513" s="32"/>
      <c r="M513" s="32"/>
      <c r="N513" s="11"/>
      <c r="O513" s="11"/>
      <c r="P513" s="32"/>
      <c r="Q513" s="32"/>
      <c r="R513" s="32"/>
      <c r="AV513" s="50"/>
      <c r="AY513" s="50"/>
    </row>
    <row r="514" spans="2:51" s="30" customFormat="1">
      <c r="B514" s="50"/>
      <c r="E514" s="67"/>
      <c r="G514" s="35"/>
      <c r="L514" s="32"/>
      <c r="M514" s="32"/>
      <c r="N514" s="11"/>
      <c r="O514" s="11"/>
      <c r="P514" s="32"/>
      <c r="Q514" s="32"/>
      <c r="R514" s="32"/>
      <c r="AV514" s="50"/>
      <c r="AY514" s="50"/>
    </row>
    <row r="515" spans="2:51" s="30" customFormat="1">
      <c r="B515" s="50"/>
      <c r="E515" s="67"/>
      <c r="G515" s="35"/>
      <c r="L515" s="32"/>
      <c r="M515" s="32"/>
      <c r="N515" s="11"/>
      <c r="O515" s="11"/>
      <c r="P515" s="32"/>
      <c r="Q515" s="32"/>
      <c r="R515" s="32"/>
      <c r="AV515" s="50"/>
      <c r="AY515" s="50"/>
    </row>
    <row r="516" spans="2:51" s="30" customFormat="1">
      <c r="B516" s="50"/>
      <c r="E516" s="67"/>
      <c r="G516" s="35"/>
      <c r="L516" s="32"/>
      <c r="M516" s="32"/>
      <c r="N516" s="11"/>
      <c r="O516" s="11"/>
      <c r="P516" s="32"/>
      <c r="Q516" s="32"/>
      <c r="R516" s="32"/>
      <c r="AV516" s="50"/>
      <c r="AY516" s="50"/>
    </row>
    <row r="517" spans="2:51" s="30" customFormat="1">
      <c r="B517" s="50"/>
      <c r="E517" s="67"/>
      <c r="G517" s="35"/>
      <c r="L517" s="32"/>
      <c r="M517" s="32"/>
      <c r="N517" s="11"/>
      <c r="O517" s="11"/>
      <c r="P517" s="32"/>
      <c r="Q517" s="32"/>
      <c r="R517" s="32"/>
      <c r="AV517" s="50"/>
      <c r="AY517" s="50"/>
    </row>
    <row r="518" spans="2:51" s="30" customFormat="1">
      <c r="B518" s="50"/>
      <c r="E518" s="67"/>
      <c r="G518" s="35"/>
      <c r="L518" s="32"/>
      <c r="M518" s="32"/>
      <c r="N518" s="11"/>
      <c r="O518" s="11"/>
      <c r="P518" s="32"/>
      <c r="Q518" s="32"/>
      <c r="R518" s="32"/>
      <c r="AV518" s="50"/>
      <c r="AY518" s="50"/>
    </row>
    <row r="519" spans="2:51" s="30" customFormat="1">
      <c r="B519" s="50"/>
      <c r="E519" s="67"/>
      <c r="G519" s="35"/>
      <c r="L519" s="32"/>
      <c r="M519" s="32"/>
      <c r="N519" s="11"/>
      <c r="O519" s="11"/>
      <c r="P519" s="32"/>
      <c r="Q519" s="32"/>
      <c r="R519" s="32"/>
      <c r="AV519" s="50"/>
      <c r="AY519" s="50"/>
    </row>
    <row r="520" spans="2:51" s="30" customFormat="1">
      <c r="B520" s="50"/>
      <c r="E520" s="67"/>
      <c r="G520" s="35"/>
      <c r="L520" s="32"/>
      <c r="M520" s="32"/>
      <c r="N520" s="11"/>
      <c r="O520" s="11"/>
      <c r="P520" s="32"/>
      <c r="Q520" s="32"/>
      <c r="R520" s="32"/>
      <c r="AV520" s="50"/>
      <c r="AY520" s="50"/>
    </row>
    <row r="521" spans="2:51" s="30" customFormat="1">
      <c r="B521" s="50"/>
      <c r="E521" s="67"/>
      <c r="G521" s="35"/>
      <c r="L521" s="32"/>
      <c r="M521" s="32"/>
      <c r="N521" s="11"/>
      <c r="O521" s="11"/>
      <c r="P521" s="32"/>
      <c r="Q521" s="32"/>
      <c r="R521" s="32"/>
      <c r="AV521" s="50"/>
      <c r="AY521" s="50"/>
    </row>
    <row r="522" spans="2:51" s="30" customFormat="1">
      <c r="B522" s="50"/>
      <c r="E522" s="67"/>
      <c r="G522" s="35"/>
      <c r="L522" s="32"/>
      <c r="M522" s="32"/>
      <c r="N522" s="11"/>
      <c r="O522" s="11"/>
      <c r="P522" s="32"/>
      <c r="Q522" s="32"/>
      <c r="R522" s="32"/>
      <c r="AV522" s="50"/>
      <c r="AY522" s="50"/>
    </row>
    <row r="523" spans="2:51" s="30" customFormat="1">
      <c r="B523" s="50"/>
      <c r="E523" s="67"/>
      <c r="G523" s="35"/>
      <c r="L523" s="32"/>
      <c r="M523" s="32"/>
      <c r="N523" s="11"/>
      <c r="O523" s="11"/>
      <c r="P523" s="32"/>
      <c r="Q523" s="32"/>
      <c r="R523" s="32"/>
      <c r="AV523" s="50"/>
      <c r="AY523" s="50"/>
    </row>
    <row r="524" spans="2:51" s="30" customFormat="1">
      <c r="B524" s="50"/>
      <c r="E524" s="67"/>
      <c r="G524" s="35"/>
      <c r="L524" s="32"/>
      <c r="M524" s="32"/>
      <c r="N524" s="11"/>
      <c r="O524" s="11"/>
      <c r="P524" s="32"/>
      <c r="Q524" s="32"/>
      <c r="R524" s="32"/>
      <c r="AV524" s="50"/>
      <c r="AY524" s="50"/>
    </row>
    <row r="525" spans="2:51" s="30" customFormat="1">
      <c r="B525" s="50"/>
      <c r="E525" s="67"/>
      <c r="G525" s="35"/>
      <c r="L525" s="32"/>
      <c r="M525" s="32"/>
      <c r="N525" s="11"/>
      <c r="O525" s="11"/>
      <c r="P525" s="32"/>
      <c r="Q525" s="32"/>
      <c r="R525" s="32"/>
      <c r="AV525" s="50"/>
      <c r="AY525" s="50"/>
    </row>
    <row r="526" spans="2:51" s="30" customFormat="1">
      <c r="B526" s="50"/>
      <c r="E526" s="67"/>
      <c r="G526" s="35"/>
      <c r="L526" s="32"/>
      <c r="M526" s="32"/>
      <c r="N526" s="11"/>
      <c r="O526" s="11"/>
      <c r="P526" s="32"/>
      <c r="Q526" s="32"/>
      <c r="R526" s="32"/>
      <c r="AV526" s="50"/>
      <c r="AY526" s="50"/>
    </row>
    <row r="527" spans="2:51" s="30" customFormat="1">
      <c r="B527" s="50"/>
      <c r="E527" s="67"/>
      <c r="G527" s="35"/>
      <c r="L527" s="32"/>
      <c r="M527" s="32"/>
      <c r="N527" s="11"/>
      <c r="O527" s="11"/>
      <c r="P527" s="32"/>
      <c r="Q527" s="32"/>
      <c r="R527" s="32"/>
      <c r="AV527" s="50"/>
      <c r="AY527" s="50"/>
    </row>
    <row r="528" spans="2:51" s="30" customFormat="1">
      <c r="B528" s="50"/>
      <c r="E528" s="67"/>
      <c r="G528" s="35"/>
      <c r="L528" s="32"/>
      <c r="M528" s="32"/>
      <c r="N528" s="11"/>
      <c r="O528" s="11"/>
      <c r="P528" s="32"/>
      <c r="Q528" s="32"/>
      <c r="R528" s="32"/>
      <c r="AV528" s="50"/>
      <c r="AY528" s="50"/>
    </row>
    <row r="529" spans="2:51" s="30" customFormat="1">
      <c r="B529" s="50"/>
      <c r="E529" s="67"/>
      <c r="G529" s="35"/>
      <c r="L529" s="32"/>
      <c r="M529" s="32"/>
      <c r="N529" s="11"/>
      <c r="O529" s="11"/>
      <c r="P529" s="32"/>
      <c r="Q529" s="32"/>
      <c r="R529" s="32"/>
      <c r="AV529" s="50"/>
      <c r="AY529" s="50"/>
    </row>
    <row r="530" spans="2:51" s="30" customFormat="1">
      <c r="B530" s="50"/>
      <c r="E530" s="67"/>
      <c r="G530" s="35"/>
      <c r="L530" s="32"/>
      <c r="M530" s="32"/>
      <c r="N530" s="11"/>
      <c r="O530" s="11"/>
      <c r="P530" s="32"/>
      <c r="Q530" s="32"/>
      <c r="R530" s="32"/>
      <c r="AV530" s="50"/>
      <c r="AY530" s="50"/>
    </row>
    <row r="531" spans="2:51" s="30" customFormat="1">
      <c r="B531" s="50"/>
      <c r="E531" s="67"/>
      <c r="G531" s="35"/>
      <c r="L531" s="32"/>
      <c r="M531" s="32"/>
      <c r="N531" s="11"/>
      <c r="O531" s="11"/>
      <c r="P531" s="32"/>
      <c r="Q531" s="32"/>
      <c r="R531" s="32"/>
      <c r="AV531" s="50"/>
      <c r="AY531" s="50"/>
    </row>
    <row r="532" spans="2:51" s="30" customFormat="1">
      <c r="B532" s="50"/>
      <c r="E532" s="67"/>
      <c r="G532" s="35"/>
      <c r="L532" s="32"/>
      <c r="M532" s="32"/>
      <c r="N532" s="11"/>
      <c r="O532" s="11"/>
      <c r="P532" s="32"/>
      <c r="Q532" s="32"/>
      <c r="R532" s="32"/>
      <c r="AV532" s="50"/>
      <c r="AY532" s="50"/>
    </row>
    <row r="533" spans="2:51" s="30" customFormat="1">
      <c r="B533" s="50"/>
      <c r="E533" s="67"/>
      <c r="G533" s="35"/>
      <c r="L533" s="32"/>
      <c r="M533" s="32"/>
      <c r="N533" s="11"/>
      <c r="O533" s="11"/>
      <c r="P533" s="32"/>
      <c r="Q533" s="32"/>
      <c r="R533" s="32"/>
      <c r="AV533" s="50"/>
      <c r="AY533" s="50"/>
    </row>
    <row r="534" spans="2:51" s="30" customFormat="1">
      <c r="B534" s="50"/>
      <c r="E534" s="67"/>
      <c r="G534" s="35"/>
      <c r="L534" s="32"/>
      <c r="M534" s="32"/>
      <c r="N534" s="11"/>
      <c r="O534" s="11"/>
      <c r="P534" s="32"/>
      <c r="Q534" s="32"/>
      <c r="R534" s="32"/>
      <c r="AV534" s="50"/>
      <c r="AY534" s="50"/>
    </row>
    <row r="535" spans="2:51" s="30" customFormat="1">
      <c r="B535" s="50"/>
      <c r="E535" s="67"/>
      <c r="G535" s="35"/>
      <c r="L535" s="32"/>
      <c r="M535" s="32"/>
      <c r="N535" s="11"/>
      <c r="O535" s="11"/>
      <c r="P535" s="32"/>
      <c r="Q535" s="32"/>
      <c r="R535" s="32"/>
      <c r="AV535" s="50"/>
      <c r="AY535" s="50"/>
    </row>
    <row r="536" spans="2:51" s="30" customFormat="1">
      <c r="B536" s="50"/>
      <c r="E536" s="67"/>
      <c r="G536" s="35"/>
      <c r="L536" s="32"/>
      <c r="M536" s="32"/>
      <c r="N536" s="11"/>
      <c r="O536" s="11"/>
      <c r="P536" s="32"/>
      <c r="Q536" s="32"/>
      <c r="R536" s="32"/>
      <c r="AV536" s="50"/>
      <c r="AY536" s="50"/>
    </row>
    <row r="537" spans="2:51" s="30" customFormat="1">
      <c r="B537" s="50"/>
      <c r="E537" s="67"/>
      <c r="G537" s="35"/>
      <c r="L537" s="32"/>
      <c r="M537" s="32"/>
      <c r="N537" s="11"/>
      <c r="O537" s="11"/>
      <c r="P537" s="32"/>
      <c r="Q537" s="32"/>
      <c r="R537" s="32"/>
      <c r="AV537" s="50"/>
      <c r="AY537" s="50"/>
    </row>
    <row r="538" spans="2:51" s="30" customFormat="1">
      <c r="B538" s="50"/>
      <c r="E538" s="67"/>
      <c r="G538" s="35"/>
      <c r="L538" s="32"/>
      <c r="M538" s="32"/>
      <c r="N538" s="11"/>
      <c r="O538" s="11"/>
      <c r="P538" s="32"/>
      <c r="Q538" s="32"/>
      <c r="R538" s="32"/>
      <c r="AV538" s="50"/>
      <c r="AY538" s="50"/>
    </row>
    <row r="539" spans="2:51" s="30" customFormat="1">
      <c r="B539" s="50"/>
      <c r="E539" s="67"/>
      <c r="G539" s="35"/>
      <c r="L539" s="32"/>
      <c r="M539" s="32"/>
      <c r="N539" s="11"/>
      <c r="O539" s="11"/>
      <c r="P539" s="32"/>
      <c r="Q539" s="32"/>
      <c r="R539" s="32"/>
      <c r="AV539" s="50"/>
      <c r="AY539" s="50"/>
    </row>
    <row r="540" spans="2:51" s="30" customFormat="1">
      <c r="B540" s="50"/>
      <c r="E540" s="67"/>
      <c r="G540" s="35"/>
      <c r="L540" s="32"/>
      <c r="M540" s="32"/>
      <c r="N540" s="11"/>
      <c r="O540" s="11"/>
      <c r="P540" s="32"/>
      <c r="Q540" s="32"/>
      <c r="R540" s="32"/>
      <c r="AV540" s="50"/>
      <c r="AY540" s="50"/>
    </row>
    <row r="541" spans="2:51" s="30" customFormat="1">
      <c r="B541" s="50"/>
      <c r="E541" s="67"/>
      <c r="G541" s="35"/>
      <c r="L541" s="32"/>
      <c r="M541" s="32"/>
      <c r="N541" s="11"/>
      <c r="O541" s="11"/>
      <c r="P541" s="32"/>
      <c r="Q541" s="32"/>
      <c r="R541" s="32"/>
      <c r="AV541" s="50"/>
      <c r="AY541" s="50"/>
    </row>
    <row r="542" spans="2:51" s="30" customFormat="1">
      <c r="B542" s="50"/>
      <c r="E542" s="67"/>
      <c r="G542" s="35"/>
      <c r="L542" s="32"/>
      <c r="M542" s="32"/>
      <c r="N542" s="11"/>
      <c r="O542" s="11"/>
      <c r="P542" s="32"/>
      <c r="Q542" s="32"/>
      <c r="R542" s="32"/>
      <c r="AV542" s="50"/>
      <c r="AY542" s="50"/>
    </row>
    <row r="543" spans="2:51" s="30" customFormat="1">
      <c r="B543" s="50"/>
      <c r="E543" s="67"/>
      <c r="G543" s="35"/>
      <c r="L543" s="32"/>
      <c r="M543" s="32"/>
      <c r="N543" s="11"/>
      <c r="O543" s="11"/>
      <c r="P543" s="32"/>
      <c r="Q543" s="32"/>
      <c r="R543" s="32"/>
      <c r="AV543" s="50"/>
      <c r="AY543" s="50"/>
    </row>
    <row r="544" spans="2:51" s="30" customFormat="1">
      <c r="B544" s="50"/>
      <c r="E544" s="67"/>
      <c r="G544" s="35"/>
      <c r="L544" s="32"/>
      <c r="M544" s="32"/>
      <c r="N544" s="11"/>
      <c r="O544" s="11"/>
      <c r="P544" s="32"/>
      <c r="Q544" s="32"/>
      <c r="R544" s="32"/>
      <c r="AV544" s="50"/>
      <c r="AY544" s="50"/>
    </row>
    <row r="545" spans="2:51" s="30" customFormat="1">
      <c r="B545" s="50"/>
      <c r="E545" s="67"/>
      <c r="G545" s="35"/>
      <c r="L545" s="32"/>
      <c r="M545" s="32"/>
      <c r="N545" s="11"/>
      <c r="O545" s="11"/>
      <c r="P545" s="32"/>
      <c r="Q545" s="32"/>
      <c r="R545" s="32"/>
      <c r="AV545" s="50"/>
      <c r="AY545" s="50"/>
    </row>
    <row r="546" spans="2:51" s="30" customFormat="1">
      <c r="B546" s="50"/>
      <c r="E546" s="67"/>
      <c r="G546" s="35"/>
      <c r="L546" s="32"/>
      <c r="M546" s="32"/>
      <c r="N546" s="11"/>
      <c r="O546" s="11"/>
      <c r="P546" s="32"/>
      <c r="Q546" s="32"/>
      <c r="R546" s="32"/>
      <c r="AV546" s="50"/>
      <c r="AY546" s="50"/>
    </row>
    <row r="547" spans="2:51" s="30" customFormat="1">
      <c r="B547" s="50"/>
      <c r="E547" s="67"/>
      <c r="G547" s="35"/>
      <c r="L547" s="32"/>
      <c r="M547" s="32"/>
      <c r="N547" s="11"/>
      <c r="O547" s="11"/>
      <c r="P547" s="32"/>
      <c r="Q547" s="32"/>
      <c r="R547" s="32"/>
      <c r="AV547" s="50"/>
      <c r="AY547" s="50"/>
    </row>
    <row r="548" spans="2:51" s="30" customFormat="1">
      <c r="B548" s="50"/>
      <c r="E548" s="67"/>
      <c r="G548" s="35"/>
      <c r="L548" s="32"/>
      <c r="M548" s="32"/>
      <c r="N548" s="11"/>
      <c r="O548" s="11"/>
      <c r="P548" s="32"/>
      <c r="Q548" s="32"/>
      <c r="R548" s="32"/>
      <c r="AV548" s="50"/>
      <c r="AY548" s="50"/>
    </row>
    <row r="549" spans="2:51" s="30" customFormat="1">
      <c r="B549" s="50"/>
      <c r="E549" s="67"/>
      <c r="G549" s="35"/>
      <c r="L549" s="32"/>
      <c r="M549" s="32"/>
      <c r="N549" s="11"/>
      <c r="O549" s="11"/>
      <c r="P549" s="32"/>
      <c r="Q549" s="32"/>
      <c r="R549" s="32"/>
      <c r="AV549" s="50"/>
      <c r="AY549" s="50"/>
    </row>
    <row r="550" spans="2:51" s="30" customFormat="1">
      <c r="B550" s="50"/>
      <c r="E550" s="67"/>
      <c r="G550" s="35"/>
      <c r="L550" s="32"/>
      <c r="M550" s="32"/>
      <c r="N550" s="11"/>
      <c r="O550" s="11"/>
      <c r="P550" s="32"/>
      <c r="Q550" s="32"/>
      <c r="R550" s="32"/>
      <c r="AV550" s="50"/>
      <c r="AY550" s="50"/>
    </row>
    <row r="551" spans="2:51" s="30" customFormat="1">
      <c r="B551" s="50"/>
      <c r="E551" s="67"/>
      <c r="G551" s="35"/>
      <c r="L551" s="32"/>
      <c r="M551" s="32"/>
      <c r="N551" s="11"/>
      <c r="O551" s="11"/>
      <c r="P551" s="32"/>
      <c r="Q551" s="32"/>
      <c r="R551" s="32"/>
      <c r="AV551" s="50"/>
      <c r="AY551" s="50"/>
    </row>
    <row r="552" spans="2:51" s="30" customFormat="1">
      <c r="B552" s="50"/>
      <c r="E552" s="67"/>
      <c r="G552" s="35"/>
      <c r="L552" s="32"/>
      <c r="M552" s="32"/>
      <c r="N552" s="11"/>
      <c r="O552" s="11"/>
      <c r="P552" s="32"/>
      <c r="Q552" s="32"/>
      <c r="R552" s="32"/>
      <c r="AV552" s="50"/>
      <c r="AY552" s="50"/>
    </row>
    <row r="553" spans="2:51" s="30" customFormat="1">
      <c r="B553" s="50"/>
      <c r="E553" s="67"/>
      <c r="G553" s="35"/>
      <c r="L553" s="32"/>
      <c r="M553" s="32"/>
      <c r="N553" s="11"/>
      <c r="O553" s="11"/>
      <c r="P553" s="32"/>
      <c r="Q553" s="32"/>
      <c r="R553" s="32"/>
      <c r="AV553" s="50"/>
      <c r="AY553" s="50"/>
    </row>
    <row r="554" spans="2:51" s="30" customFormat="1">
      <c r="B554" s="50"/>
      <c r="E554" s="67"/>
      <c r="G554" s="35"/>
      <c r="L554" s="32"/>
      <c r="M554" s="32"/>
      <c r="N554" s="11"/>
      <c r="O554" s="11"/>
      <c r="P554" s="32"/>
      <c r="Q554" s="32"/>
      <c r="R554" s="32"/>
      <c r="AV554" s="50"/>
      <c r="AY554" s="50"/>
    </row>
    <row r="555" spans="2:51" s="30" customFormat="1">
      <c r="B555" s="50"/>
      <c r="E555" s="67"/>
      <c r="G555" s="35"/>
      <c r="L555" s="32"/>
      <c r="M555" s="32"/>
      <c r="N555" s="11"/>
      <c r="O555" s="11"/>
      <c r="P555" s="32"/>
      <c r="Q555" s="32"/>
      <c r="R555" s="32"/>
      <c r="AV555" s="50"/>
      <c r="AY555" s="50"/>
    </row>
    <row r="556" spans="2:51" s="30" customFormat="1">
      <c r="B556" s="50"/>
      <c r="E556" s="67"/>
      <c r="G556" s="35"/>
      <c r="L556" s="32"/>
      <c r="M556" s="32"/>
      <c r="N556" s="11"/>
      <c r="O556" s="11"/>
      <c r="P556" s="32"/>
      <c r="Q556" s="32"/>
      <c r="R556" s="32"/>
      <c r="AV556" s="50"/>
      <c r="AY556" s="50"/>
    </row>
    <row r="557" spans="2:51" s="30" customFormat="1">
      <c r="B557" s="50"/>
      <c r="E557" s="67"/>
      <c r="G557" s="35"/>
      <c r="L557" s="32"/>
      <c r="M557" s="32"/>
      <c r="N557" s="11"/>
      <c r="O557" s="11"/>
      <c r="P557" s="32"/>
      <c r="Q557" s="32"/>
      <c r="R557" s="32"/>
      <c r="AV557" s="50"/>
      <c r="AY557" s="50"/>
    </row>
    <row r="558" spans="2:51" s="30" customFormat="1">
      <c r="B558" s="50"/>
      <c r="E558" s="67"/>
      <c r="G558" s="35"/>
      <c r="L558" s="32"/>
      <c r="M558" s="32"/>
      <c r="N558" s="11"/>
      <c r="O558" s="11"/>
      <c r="P558" s="32"/>
      <c r="Q558" s="32"/>
      <c r="R558" s="32"/>
      <c r="AV558" s="50"/>
      <c r="AY558" s="50"/>
    </row>
    <row r="559" spans="2:51" s="30" customFormat="1">
      <c r="B559" s="50"/>
      <c r="E559" s="67"/>
      <c r="G559" s="35"/>
      <c r="L559" s="32"/>
      <c r="M559" s="32"/>
      <c r="N559" s="11"/>
      <c r="O559" s="11"/>
      <c r="P559" s="32"/>
      <c r="Q559" s="32"/>
      <c r="R559" s="32"/>
      <c r="AV559" s="50"/>
      <c r="AY559" s="50"/>
    </row>
    <row r="560" spans="2:51" s="30" customFormat="1">
      <c r="B560" s="50"/>
      <c r="E560" s="67"/>
      <c r="G560" s="35"/>
      <c r="L560" s="32"/>
      <c r="M560" s="32"/>
      <c r="N560" s="11"/>
      <c r="O560" s="11"/>
      <c r="P560" s="32"/>
      <c r="Q560" s="32"/>
      <c r="R560" s="32"/>
      <c r="AV560" s="50"/>
      <c r="AY560" s="50"/>
    </row>
    <row r="561" spans="2:51" s="30" customFormat="1">
      <c r="B561" s="50"/>
      <c r="E561" s="67"/>
      <c r="G561" s="35"/>
      <c r="L561" s="32"/>
      <c r="M561" s="32"/>
      <c r="N561" s="11"/>
      <c r="O561" s="11"/>
      <c r="P561" s="32"/>
      <c r="Q561" s="32"/>
      <c r="R561" s="32"/>
      <c r="AV561" s="50"/>
      <c r="AY561" s="50"/>
    </row>
    <row r="562" spans="2:51" s="30" customFormat="1">
      <c r="B562" s="50"/>
      <c r="E562" s="67"/>
      <c r="G562" s="35"/>
      <c r="L562" s="32"/>
      <c r="M562" s="32"/>
      <c r="N562" s="11"/>
      <c r="O562" s="11"/>
      <c r="P562" s="32"/>
      <c r="Q562" s="32"/>
      <c r="R562" s="32"/>
      <c r="AV562" s="50"/>
      <c r="AY562" s="50"/>
    </row>
    <row r="563" spans="2:51" s="30" customFormat="1">
      <c r="B563" s="50"/>
      <c r="E563" s="67"/>
      <c r="G563" s="35"/>
      <c r="L563" s="32"/>
      <c r="M563" s="32"/>
      <c r="N563" s="11"/>
      <c r="O563" s="11"/>
      <c r="P563" s="32"/>
      <c r="Q563" s="32"/>
      <c r="R563" s="32"/>
      <c r="AV563" s="50"/>
      <c r="AY563" s="50"/>
    </row>
    <row r="564" spans="2:51" s="30" customFormat="1">
      <c r="B564" s="50"/>
      <c r="E564" s="67"/>
      <c r="G564" s="35"/>
      <c r="L564" s="32"/>
      <c r="M564" s="32"/>
      <c r="N564" s="11"/>
      <c r="O564" s="11"/>
      <c r="P564" s="32"/>
      <c r="Q564" s="32"/>
      <c r="R564" s="32"/>
      <c r="AV564" s="50"/>
      <c r="AY564" s="50"/>
    </row>
    <row r="565" spans="2:51" s="30" customFormat="1">
      <c r="B565" s="50"/>
      <c r="E565" s="67"/>
      <c r="G565" s="35"/>
      <c r="L565" s="32"/>
      <c r="M565" s="32"/>
      <c r="N565" s="11"/>
      <c r="O565" s="11"/>
      <c r="P565" s="32"/>
      <c r="Q565" s="32"/>
      <c r="R565" s="32"/>
      <c r="AV565" s="50"/>
      <c r="AY565" s="50"/>
    </row>
    <row r="566" spans="2:51" s="30" customFormat="1">
      <c r="B566" s="50"/>
      <c r="E566" s="67"/>
      <c r="G566" s="35"/>
      <c r="L566" s="32"/>
      <c r="M566" s="32"/>
      <c r="N566" s="11"/>
      <c r="O566" s="11"/>
      <c r="P566" s="32"/>
      <c r="Q566" s="32"/>
      <c r="R566" s="32"/>
      <c r="AV566" s="50"/>
      <c r="AY566" s="50"/>
    </row>
    <row r="567" spans="2:51" s="30" customFormat="1">
      <c r="B567" s="50"/>
      <c r="E567" s="67"/>
      <c r="G567" s="35"/>
      <c r="L567" s="32"/>
      <c r="M567" s="32"/>
      <c r="N567" s="11"/>
      <c r="O567" s="11"/>
      <c r="P567" s="32"/>
      <c r="Q567" s="32"/>
      <c r="R567" s="32"/>
      <c r="AV567" s="50"/>
      <c r="AY567" s="50"/>
    </row>
    <row r="568" spans="2:51" s="30" customFormat="1">
      <c r="B568" s="50"/>
      <c r="E568" s="67"/>
      <c r="G568" s="35"/>
      <c r="L568" s="32"/>
      <c r="M568" s="32"/>
      <c r="N568" s="11"/>
      <c r="O568" s="11"/>
      <c r="P568" s="32"/>
      <c r="Q568" s="32"/>
      <c r="R568" s="32"/>
      <c r="AV568" s="50"/>
      <c r="AY568" s="50"/>
    </row>
    <row r="569" spans="2:51" s="30" customFormat="1">
      <c r="B569" s="50"/>
      <c r="E569" s="67"/>
      <c r="G569" s="35"/>
      <c r="L569" s="32"/>
      <c r="M569" s="32"/>
      <c r="N569" s="11"/>
      <c r="O569" s="11"/>
      <c r="P569" s="32"/>
      <c r="Q569" s="32"/>
      <c r="R569" s="32"/>
      <c r="AV569" s="50"/>
      <c r="AY569" s="50"/>
    </row>
    <row r="570" spans="2:51" s="30" customFormat="1">
      <c r="B570" s="50"/>
      <c r="E570" s="67"/>
      <c r="G570" s="35"/>
      <c r="L570" s="32"/>
      <c r="M570" s="32"/>
      <c r="N570" s="11"/>
      <c r="O570" s="11"/>
      <c r="P570" s="32"/>
      <c r="Q570" s="32"/>
      <c r="R570" s="32"/>
      <c r="AV570" s="50"/>
      <c r="AY570" s="50"/>
    </row>
    <row r="571" spans="2:51" s="30" customFormat="1">
      <c r="B571" s="50"/>
      <c r="E571" s="67"/>
      <c r="G571" s="35"/>
      <c r="L571" s="32"/>
      <c r="M571" s="32"/>
      <c r="N571" s="11"/>
      <c r="O571" s="11"/>
      <c r="P571" s="32"/>
      <c r="Q571" s="32"/>
      <c r="R571" s="32"/>
      <c r="AV571" s="50"/>
      <c r="AY571" s="50"/>
    </row>
    <row r="572" spans="2:51" s="30" customFormat="1">
      <c r="B572" s="50"/>
      <c r="E572" s="67"/>
      <c r="G572" s="35"/>
      <c r="L572" s="32"/>
      <c r="M572" s="32"/>
      <c r="N572" s="11"/>
      <c r="O572" s="11"/>
      <c r="P572" s="32"/>
      <c r="Q572" s="32"/>
      <c r="R572" s="32"/>
      <c r="AV572" s="50"/>
      <c r="AY572" s="50"/>
    </row>
    <row r="573" spans="2:51" s="30" customFormat="1">
      <c r="B573" s="50"/>
      <c r="E573" s="67"/>
      <c r="G573" s="35"/>
      <c r="L573" s="32"/>
      <c r="M573" s="32"/>
      <c r="N573" s="11"/>
      <c r="O573" s="11"/>
      <c r="P573" s="32"/>
      <c r="Q573" s="32"/>
      <c r="R573" s="32"/>
      <c r="AV573" s="50"/>
      <c r="AY573" s="50"/>
    </row>
    <row r="574" spans="2:51" s="30" customFormat="1">
      <c r="B574" s="50"/>
      <c r="E574" s="67"/>
      <c r="G574" s="35"/>
      <c r="L574" s="32"/>
      <c r="M574" s="32"/>
      <c r="N574" s="11"/>
      <c r="O574" s="11"/>
      <c r="P574" s="32"/>
      <c r="Q574" s="32"/>
      <c r="R574" s="32"/>
      <c r="AV574" s="50"/>
      <c r="AY574" s="50"/>
    </row>
    <row r="575" spans="2:51" s="30" customFormat="1">
      <c r="B575" s="50"/>
      <c r="E575" s="67"/>
      <c r="G575" s="35"/>
      <c r="L575" s="32"/>
      <c r="M575" s="32"/>
      <c r="N575" s="11"/>
      <c r="O575" s="11"/>
      <c r="P575" s="32"/>
      <c r="Q575" s="32"/>
      <c r="R575" s="32"/>
      <c r="AV575" s="50"/>
      <c r="AY575" s="50"/>
    </row>
    <row r="576" spans="2:51" s="30" customFormat="1">
      <c r="B576" s="50"/>
      <c r="E576" s="67"/>
      <c r="G576" s="35"/>
      <c r="L576" s="32"/>
      <c r="M576" s="32"/>
      <c r="N576" s="11"/>
      <c r="O576" s="11"/>
      <c r="P576" s="32"/>
      <c r="Q576" s="32"/>
      <c r="R576" s="32"/>
      <c r="AV576" s="50"/>
      <c r="AY576" s="50"/>
    </row>
    <row r="577" spans="2:51" s="30" customFormat="1">
      <c r="B577" s="50"/>
      <c r="E577" s="67"/>
      <c r="G577" s="35"/>
      <c r="L577" s="32"/>
      <c r="M577" s="32"/>
      <c r="N577" s="11"/>
      <c r="O577" s="11"/>
      <c r="P577" s="32"/>
      <c r="Q577" s="32"/>
      <c r="R577" s="32"/>
      <c r="AV577" s="50"/>
      <c r="AY577" s="50"/>
    </row>
    <row r="578" spans="2:51" s="30" customFormat="1">
      <c r="B578" s="50"/>
      <c r="E578" s="67"/>
      <c r="G578" s="35"/>
      <c r="L578" s="32"/>
      <c r="M578" s="32"/>
      <c r="N578" s="11"/>
      <c r="O578" s="11"/>
      <c r="P578" s="32"/>
      <c r="Q578" s="32"/>
      <c r="R578" s="32"/>
      <c r="AV578" s="50"/>
      <c r="AY578" s="50"/>
    </row>
    <row r="579" spans="2:51" s="30" customFormat="1">
      <c r="B579" s="50"/>
      <c r="E579" s="67"/>
      <c r="G579" s="35"/>
      <c r="L579" s="32"/>
      <c r="M579" s="32"/>
      <c r="N579" s="11"/>
      <c r="O579" s="11"/>
      <c r="P579" s="32"/>
      <c r="Q579" s="32"/>
      <c r="R579" s="32"/>
      <c r="AV579" s="50"/>
      <c r="AY579" s="50"/>
    </row>
    <row r="580" spans="2:51" s="30" customFormat="1">
      <c r="B580" s="50"/>
      <c r="E580" s="67"/>
      <c r="G580" s="35"/>
      <c r="L580" s="32"/>
      <c r="M580" s="32"/>
      <c r="N580" s="11"/>
      <c r="O580" s="11"/>
      <c r="P580" s="32"/>
      <c r="Q580" s="32"/>
      <c r="R580" s="32"/>
      <c r="AV580" s="50"/>
      <c r="AY580" s="50"/>
    </row>
    <row r="581" spans="2:51" s="30" customFormat="1">
      <c r="B581" s="50"/>
      <c r="E581" s="67"/>
      <c r="G581" s="35"/>
      <c r="L581" s="32"/>
      <c r="M581" s="32"/>
      <c r="N581" s="11"/>
      <c r="O581" s="11"/>
      <c r="P581" s="32"/>
      <c r="Q581" s="32"/>
      <c r="R581" s="32"/>
      <c r="AV581" s="50"/>
      <c r="AY581" s="50"/>
    </row>
    <row r="582" spans="2:51" s="30" customFormat="1">
      <c r="B582" s="50"/>
      <c r="E582" s="67"/>
      <c r="G582" s="35"/>
      <c r="L582" s="32"/>
      <c r="M582" s="32"/>
      <c r="N582" s="11"/>
      <c r="O582" s="11"/>
      <c r="P582" s="32"/>
      <c r="Q582" s="32"/>
      <c r="R582" s="32"/>
      <c r="AV582" s="50"/>
      <c r="AY582" s="50"/>
    </row>
    <row r="583" spans="2:51" s="30" customFormat="1">
      <c r="B583" s="50"/>
      <c r="E583" s="67"/>
      <c r="G583" s="35"/>
      <c r="L583" s="32"/>
      <c r="M583" s="32"/>
      <c r="N583" s="11"/>
      <c r="O583" s="11"/>
      <c r="P583" s="32"/>
      <c r="Q583" s="32"/>
      <c r="R583" s="32"/>
      <c r="AV583" s="50"/>
      <c r="AY583" s="50"/>
    </row>
    <row r="584" spans="2:51" s="30" customFormat="1">
      <c r="B584" s="50"/>
      <c r="E584" s="67"/>
      <c r="G584" s="35"/>
      <c r="L584" s="32"/>
      <c r="M584" s="32"/>
      <c r="N584" s="11"/>
      <c r="O584" s="11"/>
      <c r="P584" s="32"/>
      <c r="Q584" s="32"/>
      <c r="R584" s="32"/>
      <c r="AV584" s="50"/>
      <c r="AY584" s="50"/>
    </row>
    <row r="585" spans="2:51" s="30" customFormat="1">
      <c r="B585" s="50"/>
      <c r="E585" s="67"/>
      <c r="G585" s="35"/>
      <c r="L585" s="32"/>
      <c r="M585" s="32"/>
      <c r="N585" s="11"/>
      <c r="O585" s="11"/>
      <c r="P585" s="32"/>
      <c r="Q585" s="32"/>
      <c r="R585" s="32"/>
      <c r="AV585" s="50"/>
      <c r="AY585" s="50"/>
    </row>
    <row r="586" spans="2:51" s="30" customFormat="1">
      <c r="B586" s="50"/>
      <c r="E586" s="67"/>
      <c r="G586" s="35"/>
      <c r="L586" s="32"/>
      <c r="M586" s="32"/>
      <c r="N586" s="11"/>
      <c r="O586" s="11"/>
      <c r="P586" s="32"/>
      <c r="Q586" s="32"/>
      <c r="R586" s="32"/>
      <c r="AV586" s="50"/>
      <c r="AY586" s="50"/>
    </row>
    <row r="587" spans="2:51" s="30" customFormat="1">
      <c r="B587" s="50"/>
      <c r="E587" s="67"/>
      <c r="G587" s="35"/>
      <c r="L587" s="32"/>
      <c r="M587" s="32"/>
      <c r="N587" s="11"/>
      <c r="O587" s="11"/>
      <c r="P587" s="32"/>
      <c r="Q587" s="32"/>
      <c r="R587" s="32"/>
      <c r="AV587" s="50"/>
      <c r="AY587" s="50"/>
    </row>
    <row r="588" spans="2:51" s="30" customFormat="1">
      <c r="B588" s="50"/>
      <c r="E588" s="67"/>
      <c r="G588" s="35"/>
      <c r="L588" s="32"/>
      <c r="M588" s="32"/>
      <c r="N588" s="11"/>
      <c r="O588" s="11"/>
      <c r="P588" s="32"/>
      <c r="Q588" s="32"/>
      <c r="R588" s="32"/>
      <c r="AV588" s="50"/>
      <c r="AY588" s="50"/>
    </row>
    <row r="589" spans="2:51" s="30" customFormat="1">
      <c r="B589" s="50"/>
      <c r="E589" s="67"/>
      <c r="G589" s="35"/>
      <c r="L589" s="32"/>
      <c r="M589" s="32"/>
      <c r="N589" s="11"/>
      <c r="O589" s="11"/>
      <c r="P589" s="32"/>
      <c r="Q589" s="32"/>
      <c r="R589" s="32"/>
      <c r="AV589" s="50"/>
      <c r="AY589" s="50"/>
    </row>
    <row r="590" spans="2:51" s="30" customFormat="1">
      <c r="B590" s="50"/>
      <c r="E590" s="67"/>
      <c r="G590" s="35"/>
      <c r="L590" s="32"/>
      <c r="M590" s="32"/>
      <c r="N590" s="11"/>
      <c r="O590" s="11"/>
      <c r="P590" s="32"/>
      <c r="Q590" s="32"/>
      <c r="R590" s="32"/>
      <c r="AV590" s="50"/>
      <c r="AY590" s="50"/>
    </row>
    <row r="591" spans="2:51" s="30" customFormat="1">
      <c r="B591" s="50"/>
      <c r="E591" s="67"/>
      <c r="G591" s="35"/>
      <c r="L591" s="32"/>
      <c r="M591" s="32"/>
      <c r="N591" s="11"/>
      <c r="O591" s="11"/>
      <c r="P591" s="32"/>
      <c r="Q591" s="32"/>
      <c r="R591" s="32"/>
      <c r="AV591" s="50"/>
      <c r="AY591" s="50"/>
    </row>
    <row r="592" spans="2:51" s="30" customFormat="1">
      <c r="B592" s="50"/>
      <c r="E592" s="67"/>
      <c r="G592" s="35"/>
      <c r="L592" s="32"/>
      <c r="M592" s="32"/>
      <c r="N592" s="11"/>
      <c r="O592" s="11"/>
      <c r="P592" s="32"/>
      <c r="Q592" s="32"/>
      <c r="R592" s="32"/>
      <c r="AV592" s="50"/>
      <c r="AY592" s="50"/>
    </row>
    <row r="593" spans="2:51" s="30" customFormat="1">
      <c r="B593" s="50"/>
      <c r="E593" s="67"/>
      <c r="G593" s="35"/>
      <c r="L593" s="32"/>
      <c r="M593" s="32"/>
      <c r="N593" s="11"/>
      <c r="O593" s="11"/>
      <c r="P593" s="32"/>
      <c r="Q593" s="32"/>
      <c r="R593" s="32"/>
      <c r="AV593" s="50"/>
      <c r="AY593" s="50"/>
    </row>
    <row r="594" spans="2:51" s="30" customFormat="1">
      <c r="B594" s="50"/>
      <c r="E594" s="67"/>
      <c r="G594" s="35"/>
      <c r="L594" s="32"/>
      <c r="M594" s="32"/>
      <c r="N594" s="11"/>
      <c r="O594" s="11"/>
      <c r="P594" s="32"/>
      <c r="Q594" s="32"/>
      <c r="R594" s="32"/>
      <c r="AV594" s="50"/>
      <c r="AY594" s="50"/>
    </row>
    <row r="595" spans="2:51" s="30" customFormat="1">
      <c r="B595" s="50"/>
      <c r="E595" s="67"/>
      <c r="G595" s="35"/>
      <c r="L595" s="32"/>
      <c r="M595" s="32"/>
      <c r="N595" s="11"/>
      <c r="O595" s="11"/>
      <c r="P595" s="32"/>
      <c r="Q595" s="32"/>
      <c r="R595" s="32"/>
      <c r="AV595" s="50"/>
      <c r="AY595" s="50"/>
    </row>
    <row r="596" spans="2:51" s="30" customFormat="1">
      <c r="B596" s="50"/>
      <c r="E596" s="67"/>
      <c r="G596" s="35"/>
      <c r="L596" s="32"/>
      <c r="M596" s="32"/>
      <c r="N596" s="11"/>
      <c r="O596" s="11"/>
      <c r="P596" s="32"/>
      <c r="Q596" s="32"/>
      <c r="R596" s="32"/>
      <c r="AV596" s="50"/>
      <c r="AY596" s="50"/>
    </row>
    <row r="597" spans="2:51" s="30" customFormat="1">
      <c r="B597" s="50"/>
      <c r="E597" s="67"/>
      <c r="G597" s="35"/>
      <c r="L597" s="32"/>
      <c r="M597" s="32"/>
      <c r="N597" s="11"/>
      <c r="O597" s="11"/>
      <c r="P597" s="32"/>
      <c r="Q597" s="32"/>
      <c r="R597" s="32"/>
      <c r="AV597" s="50"/>
      <c r="AY597" s="50"/>
    </row>
    <row r="598" spans="2:51" s="30" customFormat="1">
      <c r="B598" s="50"/>
      <c r="E598" s="67"/>
      <c r="G598" s="35"/>
      <c r="L598" s="32"/>
      <c r="M598" s="32"/>
      <c r="N598" s="11"/>
      <c r="O598" s="11"/>
      <c r="P598" s="32"/>
      <c r="Q598" s="32"/>
      <c r="R598" s="32"/>
      <c r="AV598" s="50"/>
      <c r="AY598" s="50"/>
    </row>
    <row r="599" spans="2:51" s="30" customFormat="1">
      <c r="B599" s="50"/>
      <c r="E599" s="67"/>
      <c r="G599" s="35"/>
      <c r="L599" s="32"/>
      <c r="M599" s="32"/>
      <c r="N599" s="11"/>
      <c r="O599" s="11"/>
      <c r="P599" s="32"/>
      <c r="Q599" s="32"/>
      <c r="R599" s="32"/>
      <c r="AV599" s="50"/>
      <c r="AY599" s="50"/>
    </row>
    <row r="600" spans="2:51" s="30" customFormat="1">
      <c r="B600" s="50"/>
      <c r="E600" s="67"/>
      <c r="G600" s="35"/>
      <c r="L600" s="32"/>
      <c r="M600" s="32"/>
      <c r="N600" s="11"/>
      <c r="O600" s="11"/>
      <c r="P600" s="32"/>
      <c r="Q600" s="32"/>
      <c r="R600" s="32"/>
      <c r="AV600" s="50"/>
      <c r="AY600" s="50"/>
    </row>
    <row r="601" spans="2:51" s="30" customFormat="1">
      <c r="B601" s="50"/>
      <c r="E601" s="67"/>
      <c r="G601" s="35"/>
      <c r="L601" s="32"/>
      <c r="M601" s="32"/>
      <c r="N601" s="11"/>
      <c r="O601" s="11"/>
      <c r="P601" s="32"/>
      <c r="Q601" s="32"/>
      <c r="R601" s="32"/>
      <c r="AV601" s="50"/>
      <c r="AY601" s="50"/>
    </row>
    <row r="602" spans="2:51" s="30" customFormat="1">
      <c r="B602" s="50"/>
      <c r="E602" s="67"/>
      <c r="G602" s="35"/>
      <c r="L602" s="32"/>
      <c r="M602" s="32"/>
      <c r="N602" s="11"/>
      <c r="O602" s="11"/>
      <c r="P602" s="32"/>
      <c r="Q602" s="32"/>
      <c r="R602" s="32"/>
      <c r="AV602" s="50"/>
      <c r="AY602" s="50"/>
    </row>
    <row r="603" spans="2:51" s="30" customFormat="1">
      <c r="B603" s="50"/>
      <c r="E603" s="67"/>
      <c r="G603" s="35"/>
      <c r="L603" s="32"/>
      <c r="M603" s="32"/>
      <c r="N603" s="11"/>
      <c r="O603" s="11"/>
      <c r="P603" s="32"/>
      <c r="Q603" s="32"/>
      <c r="R603" s="32"/>
      <c r="AV603" s="50"/>
      <c r="AY603" s="50"/>
    </row>
    <row r="604" spans="2:51" s="30" customFormat="1">
      <c r="B604" s="50"/>
      <c r="E604" s="67"/>
      <c r="G604" s="35"/>
      <c r="L604" s="32"/>
      <c r="M604" s="32"/>
      <c r="N604" s="11"/>
      <c r="O604" s="11"/>
      <c r="P604" s="32"/>
      <c r="Q604" s="32"/>
      <c r="R604" s="32"/>
      <c r="AV604" s="50"/>
      <c r="AY604" s="50"/>
    </row>
    <row r="605" spans="2:51" s="30" customFormat="1">
      <c r="B605" s="50"/>
      <c r="E605" s="67"/>
      <c r="G605" s="35"/>
      <c r="L605" s="32"/>
      <c r="M605" s="32"/>
      <c r="N605" s="11"/>
      <c r="O605" s="11"/>
      <c r="P605" s="32"/>
      <c r="Q605" s="32"/>
      <c r="R605" s="32"/>
      <c r="AV605" s="50"/>
      <c r="AY605" s="50"/>
    </row>
    <row r="606" spans="2:51" s="30" customFormat="1">
      <c r="B606" s="50"/>
      <c r="E606" s="67"/>
      <c r="G606" s="35"/>
      <c r="L606" s="32"/>
      <c r="M606" s="32"/>
      <c r="N606" s="11"/>
      <c r="O606" s="11"/>
      <c r="P606" s="32"/>
      <c r="Q606" s="32"/>
      <c r="R606" s="32"/>
      <c r="AV606" s="50"/>
      <c r="AY606" s="50"/>
    </row>
    <row r="607" spans="2:51" s="30" customFormat="1">
      <c r="B607" s="50"/>
      <c r="E607" s="67"/>
      <c r="G607" s="35"/>
      <c r="L607" s="32"/>
      <c r="M607" s="32"/>
      <c r="N607" s="11"/>
      <c r="O607" s="11"/>
      <c r="P607" s="32"/>
      <c r="Q607" s="32"/>
      <c r="R607" s="32"/>
      <c r="AV607" s="50"/>
      <c r="AY607" s="50"/>
    </row>
    <row r="608" spans="2:51" s="30" customFormat="1">
      <c r="B608" s="50"/>
      <c r="E608" s="67"/>
      <c r="G608" s="35"/>
      <c r="L608" s="32"/>
      <c r="M608" s="32"/>
      <c r="N608" s="11"/>
      <c r="O608" s="11"/>
      <c r="P608" s="32"/>
      <c r="Q608" s="32"/>
      <c r="R608" s="32"/>
      <c r="AV608" s="50"/>
      <c r="AY608" s="50"/>
    </row>
    <row r="609" spans="2:51" s="30" customFormat="1">
      <c r="B609" s="50"/>
      <c r="E609" s="67"/>
      <c r="G609" s="35"/>
      <c r="L609" s="32"/>
      <c r="M609" s="32"/>
      <c r="N609" s="11"/>
      <c r="O609" s="11"/>
      <c r="P609" s="32"/>
      <c r="Q609" s="32"/>
      <c r="R609" s="32"/>
      <c r="AV609" s="50"/>
      <c r="AY609" s="50"/>
    </row>
    <row r="1048575" spans="7:47">
      <c r="G1048575" s="25"/>
      <c r="AE1048575" s="21"/>
      <c r="AU1048575" s="28"/>
    </row>
  </sheetData>
  <autoFilter ref="A6:AX67" xr:uid="{00000000-0009-0000-0000-000000000000}">
    <filterColumn colId="7">
      <filters>
        <filter val="Hose Tube Fuel; Ø 5.3 mm × 10.3 mm; HES B044-10 FT-B2"/>
        <filter val="Hose, Actuator; Ø 3.5 mm × 8.5mm; DTSM1649G-1"/>
        <filter val="Hose, Air; Ø 18 mm × 25 mm; TSM1671G-1A"/>
        <filter val="Hose, Air; Ø 24.5 mm × 31.5 mm; TSM1671G-1A"/>
        <filter val="Hose, Breather; Ø 3.5 mm × 7.5 mm; TSM1649G-1"/>
        <filter val="Hose, Breather; Ø 3.5 mm × 7.5 mm; TSM1656G-2"/>
        <filter val="Hose, Clutch Reservoir; Ø 8.5 mm × 16.6 mm; DTSM1650G"/>
        <filter val="Hose, Clutch; Ø 8.5 mm × 17 mm; TSM1650G-1"/>
        <filter val="Hose, Drain Staight; Ø 9 mm × 14 mm;  -"/>
        <filter val="Hose, Fuel Tank; Ø 13.5 mm × 21.5 mm; DTSM1647G-1C"/>
        <filter val="Hose, Fuel Tank; Ø 13.5 mm × 21.5 mm; TSM1648G-3"/>
        <filter val="Hose, Fuel Tank; Ø 34 mm × 42 mm; DTSE7351G-1"/>
        <filter val="Hose, Fuel Tank; Ø 34 mm × 42 mm; DTSM1647G-1C"/>
        <filter val="Hose, Fuel Tank; Ø 34 mm × 44 mm; TSM1647G-1C"/>
        <filter val="Hose, Fuel; Ø 5.4 mm × 10.4 mm; DTSM1651G-2"/>
        <filter val="Hose, Fuel; Ø 5.4 mm × 10.4 mm; TSM1651G-2"/>
        <filter val="Hose, Fuel; Ø 7 mm × 12 mm; TSM1651G-2"/>
        <filter val="Hose, Fuel; Ø 7 mm × 14 mm; DTSM1651G-2"/>
        <filter val="Hose, Fuel; Ø 7 mm × 14 mm; TSM1651G-2"/>
        <filter val="Hose, Fuel; Ø 9 mm × 14 mm; TSM1651G-2"/>
        <filter val="Hose, Reservoir; Ø 8.5 mm × 16.6 mm; DTSM1650G-1"/>
        <filter val="Hose, Vacuum; Ø 3.5 mm × 7.5 mm; -"/>
        <filter val="Hose, Vacuum; Ø 7.5 mm × 14.5 mm; -"/>
        <filter val="Hose, Ventilation; Ø 15 mm × 22 mm; DTSM1670G-1"/>
        <filter val="Hose, Ventilation; Ø 15 mm × 22 mm; TSM1670G-1B"/>
        <filter val="Hose, Ventilation; Ø 15 mm × 22 mm; TSM1671G-1A"/>
        <filter val="Hose, Ventilation; Ø 9 mm × 17 mm; DTSM1670G-1"/>
        <filter val="Hose, Ventilation; Ø 9 mm × 17 mm; TSM1671G-1A"/>
        <filter val="Hose, Ventilation; Ø 9.5 mm × 17.5 mm; DTSZ0001G"/>
        <filter val="Hose, Ventilation; Ø 9.5 mm × 17.5 mm; TSM1671G-1A"/>
      </filters>
    </filterColumn>
    <sortState xmlns:xlrd2="http://schemas.microsoft.com/office/spreadsheetml/2017/richdata2" ref="A7:AX44">
      <sortCondition ref="B6"/>
    </sortState>
  </autoFilter>
  <mergeCells count="26">
    <mergeCell ref="AW3:AX4"/>
    <mergeCell ref="AS3:AS4"/>
    <mergeCell ref="AT3:AT4"/>
    <mergeCell ref="AU3:AU4"/>
    <mergeCell ref="AV3:AV4"/>
    <mergeCell ref="AI3:AI4"/>
    <mergeCell ref="AL3:AL4"/>
    <mergeCell ref="A3:A4"/>
    <mergeCell ref="AM3:AM4"/>
    <mergeCell ref="AJ3:AJ4"/>
    <mergeCell ref="D3:D4"/>
    <mergeCell ref="B3:B4"/>
    <mergeCell ref="H3:H4"/>
    <mergeCell ref="J3:J4"/>
    <mergeCell ref="K3:K4"/>
    <mergeCell ref="E3:E4"/>
    <mergeCell ref="G3:G4"/>
    <mergeCell ref="C3:C4"/>
    <mergeCell ref="F3:F4"/>
    <mergeCell ref="I3:I4"/>
    <mergeCell ref="AQ3:AQ4"/>
    <mergeCell ref="AR3:AR4"/>
    <mergeCell ref="AK3:AK4"/>
    <mergeCell ref="AN3:AN4"/>
    <mergeCell ref="AO3:AO4"/>
    <mergeCell ref="AP3:AP4"/>
  </mergeCells>
  <pageMargins left="0.11810000000000002" right="0" top="0.45320000000000005" bottom="0.29570000000000002" header="0.15750000000000003" footer="0"/>
  <pageSetup paperSize="9" scale="44" fitToWidth="0" fitToHeight="0" pageOrder="overThenDown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0B23-8C7A-4B3C-AAEC-57111B71E160}">
  <dimension ref="A1:BC27"/>
  <sheetViews>
    <sheetView tabSelected="1" zoomScale="54" zoomScaleNormal="55" workbookViewId="0">
      <pane xSplit="7" ySplit="6" topLeftCell="BA7" activePane="bottomRight" state="frozen"/>
      <selection pane="topRight" activeCell="H1" sqref="H1"/>
      <selection pane="bottomLeft" activeCell="A7" sqref="A7"/>
      <selection pane="bottomRight" activeCell="BG13" sqref="BG13"/>
    </sheetView>
  </sheetViews>
  <sheetFormatPr defaultRowHeight="13.2"/>
  <cols>
    <col min="1" max="1" width="8.77734375" style="145" bestFit="1" customWidth="1"/>
    <col min="2" max="2" width="8.21875" style="145" customWidth="1"/>
    <col min="3" max="3" width="22.109375" style="145" bestFit="1" customWidth="1"/>
    <col min="4" max="4" width="52.109375" style="145" bestFit="1" customWidth="1"/>
    <col min="5" max="5" width="16.5546875" style="145" bestFit="1" customWidth="1"/>
    <col min="6" max="6" width="18.77734375" style="145" bestFit="1" customWidth="1"/>
    <col min="7" max="7" width="26.21875" style="145" bestFit="1" customWidth="1"/>
    <col min="8" max="8" width="86.5546875" style="145" bestFit="1" customWidth="1"/>
    <col min="9" max="9" width="28.77734375" style="145" bestFit="1" customWidth="1"/>
    <col min="10" max="10" width="33.77734375" style="145" bestFit="1" customWidth="1"/>
    <col min="11" max="11" width="24" style="145" bestFit="1" customWidth="1"/>
    <col min="12" max="13" width="20.6640625" style="145" bestFit="1" customWidth="1"/>
    <col min="14" max="15" width="47.6640625" style="145" bestFit="1" customWidth="1"/>
    <col min="16" max="17" width="18.44140625" style="145" bestFit="1" customWidth="1"/>
    <col min="18" max="18" width="18.77734375" style="145" bestFit="1" customWidth="1"/>
    <col min="19" max="20" width="24.33203125" style="145" bestFit="1" customWidth="1"/>
    <col min="21" max="22" width="22.88671875" style="145" bestFit="1" customWidth="1"/>
    <col min="23" max="28" width="21.5546875" style="145" bestFit="1" customWidth="1"/>
    <col min="29" max="32" width="24.33203125" style="145" bestFit="1" customWidth="1"/>
    <col min="33" max="34" width="21.5546875" style="145" bestFit="1" customWidth="1"/>
    <col min="35" max="35" width="19.33203125" style="145" bestFit="1" customWidth="1"/>
    <col min="36" max="36" width="19.5546875" style="145" bestFit="1" customWidth="1"/>
    <col min="37" max="37" width="24.33203125" style="145" bestFit="1" customWidth="1"/>
    <col min="38" max="38" width="32.88671875" style="145" bestFit="1" customWidth="1"/>
    <col min="39" max="39" width="29" style="145" bestFit="1" customWidth="1"/>
    <col min="40" max="40" width="36.5546875" style="145" bestFit="1" customWidth="1"/>
    <col min="41" max="41" width="26.5546875" style="145" bestFit="1" customWidth="1"/>
    <col min="42" max="42" width="45.109375" style="145" bestFit="1" customWidth="1"/>
    <col min="43" max="43" width="13.77734375" style="145" bestFit="1" customWidth="1"/>
    <col min="44" max="44" width="14.88671875" style="145" bestFit="1" customWidth="1"/>
    <col min="45" max="45" width="21.77734375" style="145" bestFit="1" customWidth="1"/>
    <col min="46" max="46" width="22.6640625" style="145" bestFit="1" customWidth="1"/>
    <col min="47" max="47" width="21.21875" style="145" bestFit="1" customWidth="1"/>
    <col min="48" max="48" width="23.44140625" style="145" bestFit="1" customWidth="1"/>
    <col min="49" max="49" width="52.33203125" style="145" bestFit="1" customWidth="1"/>
    <col min="50" max="50" width="24.88671875" style="145" bestFit="1" customWidth="1"/>
    <col min="51" max="51" width="24.88671875" style="145" customWidth="1"/>
    <col min="52" max="52" width="134.109375" style="145" customWidth="1"/>
    <col min="53" max="53" width="12.21875" style="145" customWidth="1"/>
    <col min="54" max="54" width="15.109375" style="145" bestFit="1" customWidth="1"/>
    <col min="55" max="16384" width="8.88671875" style="145"/>
  </cols>
  <sheetData>
    <row r="1" spans="1:53" s="4" customFormat="1" ht="46.2">
      <c r="A1" s="70"/>
      <c r="B1" s="5" t="s">
        <v>63</v>
      </c>
      <c r="C1" s="5"/>
      <c r="D1" s="5"/>
      <c r="E1" s="48"/>
      <c r="F1" s="5"/>
      <c r="G1" s="5"/>
      <c r="H1" s="5"/>
      <c r="I1" s="5"/>
      <c r="J1" s="6"/>
      <c r="K1" s="5"/>
      <c r="L1" s="7"/>
      <c r="M1" s="7"/>
      <c r="N1" s="8"/>
      <c r="O1" s="8"/>
      <c r="P1" s="7"/>
      <c r="Q1" s="7"/>
      <c r="R1" s="7"/>
      <c r="AV1" s="70"/>
      <c r="AW1" s="5"/>
      <c r="AX1" s="5"/>
      <c r="AY1" s="5"/>
      <c r="AZ1" s="70"/>
    </row>
    <row r="2" spans="1:53" s="4" customFormat="1" ht="25.8">
      <c r="B2" s="49"/>
      <c r="C2" s="9"/>
      <c r="D2" s="9"/>
      <c r="E2" s="49"/>
      <c r="F2" s="9"/>
      <c r="G2" s="9"/>
      <c r="H2" s="9"/>
      <c r="I2" s="9"/>
      <c r="J2" s="6"/>
      <c r="K2" s="9"/>
      <c r="L2" s="10"/>
      <c r="M2" s="10"/>
      <c r="N2" s="11"/>
      <c r="O2" s="11"/>
      <c r="P2" s="10"/>
      <c r="Q2" s="10"/>
      <c r="R2" s="10"/>
      <c r="AV2" s="70"/>
      <c r="AW2" s="9"/>
      <c r="AX2" s="9"/>
      <c r="AY2" s="9"/>
      <c r="AZ2" s="70"/>
    </row>
    <row r="3" spans="1:53" s="14" customFormat="1" ht="28.8">
      <c r="A3" s="147" t="s">
        <v>247</v>
      </c>
      <c r="B3" s="147" t="s">
        <v>38</v>
      </c>
      <c r="C3" s="147" t="s">
        <v>40</v>
      </c>
      <c r="D3" s="150" t="s">
        <v>41</v>
      </c>
      <c r="E3" s="147" t="s">
        <v>89</v>
      </c>
      <c r="F3" s="147" t="s">
        <v>72</v>
      </c>
      <c r="G3" s="147" t="s">
        <v>42</v>
      </c>
      <c r="H3" s="147" t="s">
        <v>39</v>
      </c>
      <c r="I3" s="147" t="s">
        <v>73</v>
      </c>
      <c r="J3" s="147" t="s">
        <v>64</v>
      </c>
      <c r="K3" s="147" t="s">
        <v>65</v>
      </c>
      <c r="L3" s="12" t="s">
        <v>77</v>
      </c>
      <c r="M3" s="12" t="s">
        <v>78</v>
      </c>
      <c r="N3" s="13" t="s">
        <v>48</v>
      </c>
      <c r="O3" s="13" t="s">
        <v>48</v>
      </c>
      <c r="P3" s="12" t="s">
        <v>67</v>
      </c>
      <c r="Q3" s="12" t="s">
        <v>68</v>
      </c>
      <c r="R3" s="12" t="s">
        <v>69</v>
      </c>
      <c r="S3" s="12" t="s">
        <v>70</v>
      </c>
      <c r="T3" s="12" t="s">
        <v>70</v>
      </c>
      <c r="U3" s="12" t="s">
        <v>80</v>
      </c>
      <c r="V3" s="12" t="s">
        <v>80</v>
      </c>
      <c r="W3" s="12" t="s">
        <v>81</v>
      </c>
      <c r="X3" s="12" t="s">
        <v>81</v>
      </c>
      <c r="Y3" s="12" t="s">
        <v>82</v>
      </c>
      <c r="Z3" s="12" t="s">
        <v>82</v>
      </c>
      <c r="AA3" s="12" t="s">
        <v>84</v>
      </c>
      <c r="AB3" s="12" t="s">
        <v>84</v>
      </c>
      <c r="AC3" s="12" t="s">
        <v>83</v>
      </c>
      <c r="AD3" s="12" t="s">
        <v>83</v>
      </c>
      <c r="AE3" s="12" t="s">
        <v>74</v>
      </c>
      <c r="AF3" s="12" t="s">
        <v>74</v>
      </c>
      <c r="AG3" s="12" t="s">
        <v>85</v>
      </c>
      <c r="AH3" s="12" t="s">
        <v>85</v>
      </c>
      <c r="AI3" s="147" t="s">
        <v>92</v>
      </c>
      <c r="AJ3" s="147" t="s">
        <v>53</v>
      </c>
      <c r="AK3" s="147" t="s">
        <v>90</v>
      </c>
      <c r="AL3" s="147" t="s">
        <v>71</v>
      </c>
      <c r="AM3" s="147" t="s">
        <v>54</v>
      </c>
      <c r="AN3" s="147" t="s">
        <v>88</v>
      </c>
      <c r="AO3" s="147" t="s">
        <v>91</v>
      </c>
      <c r="AP3" s="147" t="s">
        <v>95</v>
      </c>
      <c r="AQ3" s="147" t="s">
        <v>56</v>
      </c>
      <c r="AR3" s="147" t="s">
        <v>57</v>
      </c>
      <c r="AS3" s="147" t="s">
        <v>58</v>
      </c>
      <c r="AT3" s="147" t="s">
        <v>59</v>
      </c>
      <c r="AU3" s="147" t="s">
        <v>60</v>
      </c>
      <c r="AV3" s="147" t="s">
        <v>61</v>
      </c>
      <c r="AW3" s="149" t="s">
        <v>41</v>
      </c>
      <c r="AX3" s="149"/>
      <c r="AY3" s="12"/>
      <c r="AZ3" s="140"/>
      <c r="BA3" s="140"/>
    </row>
    <row r="4" spans="1:53" s="14" customFormat="1" ht="28.8">
      <c r="A4" s="148"/>
      <c r="B4" s="148"/>
      <c r="C4" s="148"/>
      <c r="D4" s="151"/>
      <c r="E4" s="148"/>
      <c r="F4" s="148"/>
      <c r="G4" s="148"/>
      <c r="H4" s="148"/>
      <c r="I4" s="148"/>
      <c r="J4" s="148"/>
      <c r="K4" s="148"/>
      <c r="L4" s="12" t="s">
        <v>44</v>
      </c>
      <c r="M4" s="12" t="s">
        <v>66</v>
      </c>
      <c r="N4" s="15" t="s">
        <v>49</v>
      </c>
      <c r="O4" s="15" t="s">
        <v>45</v>
      </c>
      <c r="P4" s="12" t="s">
        <v>55</v>
      </c>
      <c r="Q4" s="12" t="s">
        <v>55</v>
      </c>
      <c r="R4" s="12" t="s">
        <v>55</v>
      </c>
      <c r="S4" s="12" t="s">
        <v>51</v>
      </c>
      <c r="T4" s="12" t="s">
        <v>52</v>
      </c>
      <c r="U4" s="12" t="s">
        <v>51</v>
      </c>
      <c r="V4" s="12" t="s">
        <v>52</v>
      </c>
      <c r="W4" s="12" t="s">
        <v>51</v>
      </c>
      <c r="X4" s="12" t="s">
        <v>52</v>
      </c>
      <c r="Y4" s="12" t="s">
        <v>51</v>
      </c>
      <c r="Z4" s="12" t="s">
        <v>52</v>
      </c>
      <c r="AA4" s="12" t="s">
        <v>51</v>
      </c>
      <c r="AB4" s="12" t="s">
        <v>52</v>
      </c>
      <c r="AC4" s="12" t="s">
        <v>51</v>
      </c>
      <c r="AD4" s="12" t="s">
        <v>52</v>
      </c>
      <c r="AE4" s="12" t="s">
        <v>51</v>
      </c>
      <c r="AF4" s="12" t="s">
        <v>52</v>
      </c>
      <c r="AG4" s="12" t="s">
        <v>51</v>
      </c>
      <c r="AH4" s="12" t="s">
        <v>52</v>
      </c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9"/>
      <c r="AX4" s="149"/>
      <c r="AY4" s="12"/>
      <c r="AZ4" s="140"/>
      <c r="BA4" s="140"/>
    </row>
    <row r="5" spans="1:53" s="14" customFormat="1" ht="34.799999999999997">
      <c r="A5" s="140"/>
      <c r="B5" s="12"/>
      <c r="C5" s="12"/>
      <c r="D5" s="144" t="s">
        <v>372</v>
      </c>
      <c r="E5" s="12"/>
      <c r="F5" s="12"/>
      <c r="G5" s="12"/>
      <c r="H5" s="12"/>
      <c r="I5" s="12"/>
      <c r="J5" s="12" t="s">
        <v>76</v>
      </c>
      <c r="K5" s="12" t="s">
        <v>75</v>
      </c>
      <c r="L5" s="12" t="s">
        <v>79</v>
      </c>
      <c r="M5" s="12" t="s">
        <v>79</v>
      </c>
      <c r="N5" s="15"/>
      <c r="O5" s="15"/>
      <c r="P5" s="12" t="s">
        <v>43</v>
      </c>
      <c r="Q5" s="12" t="s">
        <v>43</v>
      </c>
      <c r="R5" s="12" t="s">
        <v>43</v>
      </c>
      <c r="S5" s="12" t="s">
        <v>50</v>
      </c>
      <c r="T5" s="12" t="s">
        <v>50</v>
      </c>
      <c r="U5" s="12" t="s">
        <v>749</v>
      </c>
      <c r="V5" s="12" t="s">
        <v>749</v>
      </c>
      <c r="W5" s="12" t="s">
        <v>749</v>
      </c>
      <c r="X5" s="12" t="s">
        <v>749</v>
      </c>
      <c r="Y5" s="12" t="s">
        <v>749</v>
      </c>
      <c r="Z5" s="12" t="s">
        <v>749</v>
      </c>
      <c r="AA5" s="12" t="s">
        <v>749</v>
      </c>
      <c r="AB5" s="12" t="s">
        <v>749</v>
      </c>
      <c r="AC5" s="12" t="s">
        <v>749</v>
      </c>
      <c r="AD5" s="12" t="s">
        <v>749</v>
      </c>
      <c r="AE5" s="12" t="s">
        <v>46</v>
      </c>
      <c r="AF5" s="12" t="s">
        <v>46</v>
      </c>
      <c r="AG5" s="12" t="s">
        <v>47</v>
      </c>
      <c r="AH5" s="12" t="s">
        <v>47</v>
      </c>
      <c r="AI5" s="12" t="s">
        <v>93</v>
      </c>
      <c r="AJ5" s="12" t="s">
        <v>50</v>
      </c>
      <c r="AK5" s="12"/>
      <c r="AL5" s="12"/>
      <c r="AM5" s="12"/>
      <c r="AN5" s="12" t="s">
        <v>749</v>
      </c>
      <c r="AO5" s="12" t="s">
        <v>94</v>
      </c>
      <c r="AP5" s="12" t="s">
        <v>94</v>
      </c>
      <c r="AQ5" s="12" t="s">
        <v>50</v>
      </c>
      <c r="AR5" s="12" t="s">
        <v>50</v>
      </c>
      <c r="AS5" s="12" t="s">
        <v>50</v>
      </c>
      <c r="AT5" s="12" t="s">
        <v>50</v>
      </c>
      <c r="AU5" s="12" t="s">
        <v>50</v>
      </c>
      <c r="AV5" s="12" t="s">
        <v>50</v>
      </c>
      <c r="AW5" s="12" t="s">
        <v>373</v>
      </c>
      <c r="AX5" s="12" t="s">
        <v>374</v>
      </c>
      <c r="AY5" s="12"/>
      <c r="AZ5" s="146" t="s">
        <v>424</v>
      </c>
      <c r="BA5" s="146" t="s">
        <v>697</v>
      </c>
    </row>
    <row r="6" spans="1:53" s="19" customFormat="1" ht="25.8">
      <c r="A6" s="18">
        <v>1</v>
      </c>
      <c r="B6" s="18">
        <v>2</v>
      </c>
      <c r="C6" s="18">
        <v>3</v>
      </c>
      <c r="D6" s="18">
        <v>4</v>
      </c>
      <c r="E6" s="18">
        <v>5</v>
      </c>
      <c r="F6" s="18">
        <v>6</v>
      </c>
      <c r="G6" s="18">
        <v>7</v>
      </c>
      <c r="H6" s="18">
        <v>8</v>
      </c>
      <c r="I6" s="18">
        <v>9</v>
      </c>
      <c r="J6" s="18">
        <v>10</v>
      </c>
      <c r="K6" s="18">
        <v>11</v>
      </c>
      <c r="L6" s="18">
        <v>12</v>
      </c>
      <c r="M6" s="18">
        <v>13</v>
      </c>
      <c r="N6" s="18">
        <v>14</v>
      </c>
      <c r="O6" s="18">
        <v>15</v>
      </c>
      <c r="P6" s="18">
        <v>16</v>
      </c>
      <c r="Q6" s="18">
        <v>17</v>
      </c>
      <c r="R6" s="18">
        <v>18</v>
      </c>
      <c r="S6" s="18">
        <v>19</v>
      </c>
      <c r="T6" s="18">
        <v>20</v>
      </c>
      <c r="U6" s="18">
        <v>21</v>
      </c>
      <c r="V6" s="18">
        <v>22</v>
      </c>
      <c r="W6" s="18">
        <v>23</v>
      </c>
      <c r="X6" s="18">
        <v>24</v>
      </c>
      <c r="Y6" s="18">
        <v>25</v>
      </c>
      <c r="Z6" s="18">
        <v>26</v>
      </c>
      <c r="AA6" s="18">
        <v>27</v>
      </c>
      <c r="AB6" s="18">
        <v>28</v>
      </c>
      <c r="AC6" s="18">
        <v>29</v>
      </c>
      <c r="AD6" s="18">
        <v>30</v>
      </c>
      <c r="AE6" s="18">
        <v>31</v>
      </c>
      <c r="AF6" s="18">
        <v>32</v>
      </c>
      <c r="AG6" s="18">
        <v>33</v>
      </c>
      <c r="AH6" s="18">
        <v>34</v>
      </c>
      <c r="AI6" s="18">
        <v>35</v>
      </c>
      <c r="AJ6" s="18">
        <v>36</v>
      </c>
      <c r="AK6" s="18">
        <v>37</v>
      </c>
      <c r="AL6" s="18">
        <v>38</v>
      </c>
      <c r="AM6" s="18">
        <v>39</v>
      </c>
      <c r="AN6" s="18">
        <v>40</v>
      </c>
      <c r="AO6" s="18">
        <v>41</v>
      </c>
      <c r="AP6" s="18">
        <v>42</v>
      </c>
      <c r="AQ6" s="18">
        <v>43</v>
      </c>
      <c r="AR6" s="18">
        <v>44</v>
      </c>
      <c r="AS6" s="18">
        <v>45</v>
      </c>
      <c r="AT6" s="18">
        <v>46</v>
      </c>
      <c r="AU6" s="18">
        <v>47</v>
      </c>
      <c r="AV6" s="18">
        <v>48</v>
      </c>
      <c r="AW6" s="18">
        <v>49</v>
      </c>
      <c r="AX6" s="18">
        <v>50</v>
      </c>
      <c r="AY6" s="18"/>
      <c r="AZ6" s="146">
        <v>51</v>
      </c>
      <c r="BA6" s="146">
        <v>52</v>
      </c>
    </row>
    <row r="7" spans="1:53" s="45" customFormat="1" ht="25.8">
      <c r="A7" s="21" t="str">
        <f t="shared" ref="A7:A16" si="0">CONCATENATE(B7,"-",E7)</f>
        <v>3-0</v>
      </c>
      <c r="B7" s="21">
        <v>3</v>
      </c>
      <c r="C7" s="22" t="s">
        <v>96</v>
      </c>
      <c r="D7" s="21" t="s">
        <v>436</v>
      </c>
      <c r="E7" s="23">
        <v>0</v>
      </c>
      <c r="F7" s="22" t="s">
        <v>123</v>
      </c>
      <c r="G7" s="25" t="s">
        <v>293</v>
      </c>
      <c r="H7" s="22" t="str">
        <f t="shared" ref="H7:H16" si="1">CONCATENATE(I7,"; ",J7,"; ",K7," ")</f>
        <v xml:space="preserve">Hose, Breather; Ø 3.5 mm × 7.5 mm; TSM1649G-1 </v>
      </c>
      <c r="I7" s="22" t="s">
        <v>124</v>
      </c>
      <c r="J7" s="22" t="s">
        <v>125</v>
      </c>
      <c r="K7" s="22" t="s">
        <v>31</v>
      </c>
      <c r="L7" s="22" t="s">
        <v>126</v>
      </c>
      <c r="M7" s="22" t="s">
        <v>127</v>
      </c>
      <c r="N7" s="26" t="s">
        <v>101</v>
      </c>
      <c r="O7" s="26" t="s">
        <v>101</v>
      </c>
      <c r="P7" s="27" t="s">
        <v>128</v>
      </c>
      <c r="Q7" s="28" t="s">
        <v>129</v>
      </c>
      <c r="R7" s="28" t="s">
        <v>143</v>
      </c>
      <c r="S7" s="21" t="s">
        <v>137</v>
      </c>
      <c r="T7" s="21" t="s">
        <v>137</v>
      </c>
      <c r="U7" s="28" t="s">
        <v>104</v>
      </c>
      <c r="V7" s="28" t="s">
        <v>104</v>
      </c>
      <c r="W7" s="28" t="s">
        <v>118</v>
      </c>
      <c r="X7" s="28" t="s">
        <v>118</v>
      </c>
      <c r="Y7" s="28" t="s">
        <v>118</v>
      </c>
      <c r="Z7" s="28" t="s">
        <v>118</v>
      </c>
      <c r="AA7" s="21" t="s">
        <v>8</v>
      </c>
      <c r="AB7" s="21" t="s">
        <v>8</v>
      </c>
      <c r="AC7" s="28" t="s">
        <v>118</v>
      </c>
      <c r="AD7" s="28" t="s">
        <v>118</v>
      </c>
      <c r="AE7" s="21" t="s">
        <v>248</v>
      </c>
      <c r="AF7" s="21" t="s">
        <v>260</v>
      </c>
      <c r="AG7" s="21" t="s">
        <v>262</v>
      </c>
      <c r="AH7" s="21" t="s">
        <v>275</v>
      </c>
      <c r="AI7" s="21"/>
      <c r="AJ7" s="28" t="s">
        <v>130</v>
      </c>
      <c r="AK7" s="21" t="s">
        <v>106</v>
      </c>
      <c r="AL7" s="21" t="s">
        <v>407</v>
      </c>
      <c r="AM7" s="21" t="s">
        <v>131</v>
      </c>
      <c r="AN7" s="21" t="s">
        <v>378</v>
      </c>
      <c r="AO7" s="29" t="s">
        <v>285</v>
      </c>
      <c r="AP7" s="29" t="s">
        <v>285</v>
      </c>
      <c r="AQ7" s="28" t="s">
        <v>110</v>
      </c>
      <c r="AR7" s="28" t="s">
        <v>130</v>
      </c>
      <c r="AS7" s="28" t="s">
        <v>132</v>
      </c>
      <c r="AT7" s="28" t="s">
        <v>290</v>
      </c>
      <c r="AU7" s="28" t="s">
        <v>133</v>
      </c>
      <c r="AV7" s="28" t="s">
        <v>291</v>
      </c>
      <c r="AW7" s="21" t="s">
        <v>473</v>
      </c>
      <c r="AX7" s="21"/>
      <c r="AY7" s="21"/>
      <c r="AZ7" s="133" t="s">
        <v>751</v>
      </c>
      <c r="BA7" s="143" t="s">
        <v>698</v>
      </c>
    </row>
    <row r="8" spans="1:53" s="30" customFormat="1" ht="25.8">
      <c r="A8" s="21" t="str">
        <f t="shared" si="0"/>
        <v>4-0</v>
      </c>
      <c r="B8" s="21">
        <v>4</v>
      </c>
      <c r="C8" s="22" t="s">
        <v>111</v>
      </c>
      <c r="D8" s="21" t="s">
        <v>437</v>
      </c>
      <c r="E8" s="23">
        <v>0</v>
      </c>
      <c r="F8" s="22" t="s">
        <v>123</v>
      </c>
      <c r="G8" s="25" t="s">
        <v>293</v>
      </c>
      <c r="H8" s="22" t="str">
        <f t="shared" si="1"/>
        <v xml:space="preserve">Hose, Breather; Ø 3.5 mm × 7.5 mm; TSM1656G-2 </v>
      </c>
      <c r="I8" s="22" t="s">
        <v>124</v>
      </c>
      <c r="J8" s="22" t="s">
        <v>125</v>
      </c>
      <c r="K8" s="22" t="s">
        <v>9</v>
      </c>
      <c r="L8" s="22" t="s">
        <v>142</v>
      </c>
      <c r="M8" s="22" t="s">
        <v>8</v>
      </c>
      <c r="N8" s="26" t="s">
        <v>101</v>
      </c>
      <c r="O8" s="26" t="s">
        <v>8</v>
      </c>
      <c r="P8" s="27" t="s">
        <v>128</v>
      </c>
      <c r="Q8" s="22" t="s">
        <v>8</v>
      </c>
      <c r="R8" s="28" t="s">
        <v>143</v>
      </c>
      <c r="S8" s="21" t="s">
        <v>137</v>
      </c>
      <c r="T8" s="21" t="s">
        <v>8</v>
      </c>
      <c r="U8" s="28" t="s">
        <v>144</v>
      </c>
      <c r="V8" s="21" t="s">
        <v>8</v>
      </c>
      <c r="W8" s="28" t="s">
        <v>145</v>
      </c>
      <c r="X8" s="21" t="s">
        <v>8</v>
      </c>
      <c r="Y8" s="28" t="s">
        <v>145</v>
      </c>
      <c r="Z8" s="21" t="s">
        <v>8</v>
      </c>
      <c r="AA8" s="21" t="s">
        <v>8</v>
      </c>
      <c r="AB8" s="21" t="s">
        <v>8</v>
      </c>
      <c r="AC8" s="28" t="s">
        <v>145</v>
      </c>
      <c r="AD8" s="21" t="s">
        <v>8</v>
      </c>
      <c r="AE8" s="21" t="s">
        <v>248</v>
      </c>
      <c r="AF8" s="21" t="s">
        <v>8</v>
      </c>
      <c r="AG8" s="21" t="s">
        <v>262</v>
      </c>
      <c r="AH8" s="21" t="s">
        <v>8</v>
      </c>
      <c r="AI8" s="21"/>
      <c r="AJ8" s="28" t="s">
        <v>130</v>
      </c>
      <c r="AK8" s="21" t="s">
        <v>8</v>
      </c>
      <c r="AL8" s="21" t="s">
        <v>8</v>
      </c>
      <c r="AM8" s="21" t="s">
        <v>8</v>
      </c>
      <c r="AN8" s="21" t="s">
        <v>378</v>
      </c>
      <c r="AO8" s="29" t="s">
        <v>285</v>
      </c>
      <c r="AP8" s="29" t="s">
        <v>285</v>
      </c>
      <c r="AQ8" s="28" t="s">
        <v>110</v>
      </c>
      <c r="AR8" s="28" t="s">
        <v>130</v>
      </c>
      <c r="AS8" s="21" t="s">
        <v>8</v>
      </c>
      <c r="AT8" s="21" t="s">
        <v>8</v>
      </c>
      <c r="AU8" s="28" t="s">
        <v>133</v>
      </c>
      <c r="AV8" s="28" t="s">
        <v>291</v>
      </c>
      <c r="AW8" s="21" t="s">
        <v>474</v>
      </c>
      <c r="AX8" s="21"/>
      <c r="AY8" s="21"/>
      <c r="AZ8" s="133" t="s">
        <v>750</v>
      </c>
      <c r="BA8" s="143" t="s">
        <v>698</v>
      </c>
    </row>
    <row r="9" spans="1:53" s="30" customFormat="1" ht="51.6">
      <c r="A9" s="21" t="str">
        <f t="shared" si="0"/>
        <v>5-0</v>
      </c>
      <c r="B9" s="21">
        <v>5</v>
      </c>
      <c r="C9" s="22" t="s">
        <v>96</v>
      </c>
      <c r="D9" s="21" t="s">
        <v>438</v>
      </c>
      <c r="E9" s="23">
        <v>0</v>
      </c>
      <c r="F9" s="22" t="s">
        <v>164</v>
      </c>
      <c r="G9" s="25" t="s">
        <v>293</v>
      </c>
      <c r="H9" s="22" t="str">
        <f t="shared" si="1"/>
        <v xml:space="preserve">Hose, Vacuum; Ø 3.5 mm × 7.5 mm; - </v>
      </c>
      <c r="I9" s="22" t="s">
        <v>165</v>
      </c>
      <c r="J9" s="22" t="s">
        <v>125</v>
      </c>
      <c r="K9" s="22" t="s">
        <v>8</v>
      </c>
      <c r="L9" s="22" t="s">
        <v>166</v>
      </c>
      <c r="M9" s="22" t="s">
        <v>100</v>
      </c>
      <c r="N9" s="26" t="s">
        <v>101</v>
      </c>
      <c r="O9" s="26" t="s">
        <v>101</v>
      </c>
      <c r="P9" s="27" t="s">
        <v>128</v>
      </c>
      <c r="Q9" s="28" t="s">
        <v>129</v>
      </c>
      <c r="R9" s="28" t="s">
        <v>167</v>
      </c>
      <c r="S9" s="21" t="s">
        <v>137</v>
      </c>
      <c r="T9" s="21" t="s">
        <v>137</v>
      </c>
      <c r="U9" s="28" t="s">
        <v>103</v>
      </c>
      <c r="V9" s="28" t="s">
        <v>103</v>
      </c>
      <c r="W9" s="28" t="s">
        <v>104</v>
      </c>
      <c r="X9" s="28" t="s">
        <v>118</v>
      </c>
      <c r="Y9" s="28" t="s">
        <v>168</v>
      </c>
      <c r="Z9" s="28" t="s">
        <v>118</v>
      </c>
      <c r="AA9" s="28" t="s">
        <v>104</v>
      </c>
      <c r="AB9" s="21" t="s">
        <v>8</v>
      </c>
      <c r="AC9" s="28" t="s">
        <v>104</v>
      </c>
      <c r="AD9" s="28" t="s">
        <v>118</v>
      </c>
      <c r="AE9" s="21" t="s">
        <v>408</v>
      </c>
      <c r="AF9" s="21" t="s">
        <v>278</v>
      </c>
      <c r="AG9" s="21" t="s">
        <v>263</v>
      </c>
      <c r="AH9" s="21" t="s">
        <v>281</v>
      </c>
      <c r="AI9" s="21"/>
      <c r="AJ9" s="28" t="s">
        <v>130</v>
      </c>
      <c r="AK9" s="21" t="s">
        <v>106</v>
      </c>
      <c r="AL9" s="21" t="s">
        <v>409</v>
      </c>
      <c r="AM9" s="21" t="s">
        <v>131</v>
      </c>
      <c r="AN9" s="21" t="s">
        <v>378</v>
      </c>
      <c r="AO9" s="29" t="s">
        <v>285</v>
      </c>
      <c r="AP9" s="29" t="s">
        <v>285</v>
      </c>
      <c r="AQ9" s="28" t="s">
        <v>110</v>
      </c>
      <c r="AR9" s="28" t="s">
        <v>130</v>
      </c>
      <c r="AS9" s="28" t="s">
        <v>169</v>
      </c>
      <c r="AT9" s="28" t="s">
        <v>290</v>
      </c>
      <c r="AU9" s="28" t="s">
        <v>133</v>
      </c>
      <c r="AV9" s="28" t="s">
        <v>291</v>
      </c>
      <c r="AW9" s="21" t="s">
        <v>475</v>
      </c>
      <c r="AX9" s="21"/>
      <c r="AY9" s="21"/>
      <c r="AZ9" s="133" t="s">
        <v>752</v>
      </c>
      <c r="BA9" s="143" t="s">
        <v>698</v>
      </c>
    </row>
    <row r="10" spans="1:53" s="30" customFormat="1" ht="25.8">
      <c r="A10" s="21" t="str">
        <f t="shared" si="0"/>
        <v>6-0</v>
      </c>
      <c r="B10" s="21">
        <v>6</v>
      </c>
      <c r="C10" s="22" t="s">
        <v>96</v>
      </c>
      <c r="D10" s="21" t="s">
        <v>439</v>
      </c>
      <c r="E10" s="23">
        <v>0</v>
      </c>
      <c r="F10" s="22" t="s">
        <v>123</v>
      </c>
      <c r="G10" s="25" t="s">
        <v>293</v>
      </c>
      <c r="H10" s="22" t="str">
        <f t="shared" si="1"/>
        <v xml:space="preserve">Hose, Fuel; Ø 5.4 mm × 10.4 mm; TSM1651G-2 </v>
      </c>
      <c r="I10" s="22" t="s">
        <v>86</v>
      </c>
      <c r="J10" s="22" t="s">
        <v>159</v>
      </c>
      <c r="K10" s="21" t="s">
        <v>22</v>
      </c>
      <c r="L10" s="22" t="s">
        <v>146</v>
      </c>
      <c r="M10" s="22" t="s">
        <v>127</v>
      </c>
      <c r="N10" s="26" t="s">
        <v>101</v>
      </c>
      <c r="O10" s="26" t="s">
        <v>101</v>
      </c>
      <c r="P10" s="27" t="s">
        <v>160</v>
      </c>
      <c r="Q10" s="22" t="s">
        <v>381</v>
      </c>
      <c r="R10" s="28" t="s">
        <v>161</v>
      </c>
      <c r="S10" s="21" t="s">
        <v>137</v>
      </c>
      <c r="T10" s="21" t="s">
        <v>137</v>
      </c>
      <c r="U10" s="28" t="s">
        <v>104</v>
      </c>
      <c r="V10" s="28" t="s">
        <v>104</v>
      </c>
      <c r="W10" s="28" t="s">
        <v>118</v>
      </c>
      <c r="X10" s="28" t="s">
        <v>118</v>
      </c>
      <c r="Y10" s="28" t="s">
        <v>118</v>
      </c>
      <c r="Z10" s="28" t="s">
        <v>118</v>
      </c>
      <c r="AA10" s="21" t="s">
        <v>8</v>
      </c>
      <c r="AB10" s="21" t="s">
        <v>8</v>
      </c>
      <c r="AC10" s="28" t="s">
        <v>118</v>
      </c>
      <c r="AD10" s="28" t="s">
        <v>118</v>
      </c>
      <c r="AE10" s="21" t="s">
        <v>383</v>
      </c>
      <c r="AF10" s="21" t="s">
        <v>384</v>
      </c>
      <c r="AG10" s="21" t="s">
        <v>262</v>
      </c>
      <c r="AH10" s="21" t="s">
        <v>275</v>
      </c>
      <c r="AI10" s="21"/>
      <c r="AJ10" s="28" t="s">
        <v>162</v>
      </c>
      <c r="AK10" s="21" t="s">
        <v>106</v>
      </c>
      <c r="AL10" s="21" t="s">
        <v>410</v>
      </c>
      <c r="AM10" s="21" t="s">
        <v>62</v>
      </c>
      <c r="AN10" s="21" t="s">
        <v>378</v>
      </c>
      <c r="AO10" s="29" t="s">
        <v>285</v>
      </c>
      <c r="AP10" s="29" t="s">
        <v>285</v>
      </c>
      <c r="AQ10" s="28" t="s">
        <v>163</v>
      </c>
      <c r="AR10" s="28" t="s">
        <v>162</v>
      </c>
      <c r="AS10" s="28" t="s">
        <v>151</v>
      </c>
      <c r="AT10" s="28" t="s">
        <v>290</v>
      </c>
      <c r="AU10" s="28" t="s">
        <v>152</v>
      </c>
      <c r="AV10" s="28" t="s">
        <v>291</v>
      </c>
      <c r="AW10" s="21" t="s">
        <v>476</v>
      </c>
      <c r="AX10" s="21"/>
      <c r="AY10" s="21"/>
      <c r="AZ10" s="133" t="s">
        <v>753</v>
      </c>
      <c r="BA10" s="143" t="s">
        <v>698</v>
      </c>
    </row>
    <row r="11" spans="1:53" s="30" customFormat="1" ht="77.400000000000006">
      <c r="A11" s="21" t="str">
        <f t="shared" si="0"/>
        <v>8-0</v>
      </c>
      <c r="B11" s="21">
        <v>8</v>
      </c>
      <c r="C11" s="22" t="s">
        <v>96</v>
      </c>
      <c r="D11" s="21" t="s">
        <v>441</v>
      </c>
      <c r="E11" s="23">
        <v>0</v>
      </c>
      <c r="F11" s="22" t="s">
        <v>97</v>
      </c>
      <c r="G11" s="25" t="s">
        <v>293</v>
      </c>
      <c r="H11" s="22" t="str">
        <f t="shared" si="1"/>
        <v xml:space="preserve">Hose, Fuel; Ø 5.4 mm × 10.4 mm; DTSM1651G-2 </v>
      </c>
      <c r="I11" s="22" t="s">
        <v>86</v>
      </c>
      <c r="J11" s="22" t="s">
        <v>159</v>
      </c>
      <c r="K11" s="22" t="s">
        <v>87</v>
      </c>
      <c r="L11" s="22" t="s">
        <v>99</v>
      </c>
      <c r="M11" s="22" t="s">
        <v>100</v>
      </c>
      <c r="N11" s="26" t="s">
        <v>101</v>
      </c>
      <c r="O11" s="26" t="s">
        <v>101</v>
      </c>
      <c r="P11" s="27" t="s">
        <v>160</v>
      </c>
      <c r="Q11" s="22" t="s">
        <v>381</v>
      </c>
      <c r="R11" s="28" t="s">
        <v>240</v>
      </c>
      <c r="S11" s="21" t="s">
        <v>182</v>
      </c>
      <c r="T11" s="21" t="s">
        <v>182</v>
      </c>
      <c r="U11" s="28" t="s">
        <v>138</v>
      </c>
      <c r="V11" s="28" t="s">
        <v>103</v>
      </c>
      <c r="W11" s="28" t="s">
        <v>103</v>
      </c>
      <c r="X11" s="28" t="s">
        <v>104</v>
      </c>
      <c r="Y11" s="28" t="s">
        <v>103</v>
      </c>
      <c r="Z11" s="28" t="s">
        <v>104</v>
      </c>
      <c r="AA11" s="21" t="s">
        <v>8</v>
      </c>
      <c r="AB11" s="21" t="s">
        <v>8</v>
      </c>
      <c r="AC11" s="28" t="s">
        <v>103</v>
      </c>
      <c r="AD11" s="28" t="s">
        <v>104</v>
      </c>
      <c r="AE11" s="21" t="s">
        <v>249</v>
      </c>
      <c r="AF11" s="21" t="s">
        <v>279</v>
      </c>
      <c r="AG11" s="21" t="s">
        <v>264</v>
      </c>
      <c r="AH11" s="21" t="s">
        <v>276</v>
      </c>
      <c r="AI11" s="21"/>
      <c r="AJ11" s="28" t="s">
        <v>162</v>
      </c>
      <c r="AK11" s="21" t="s">
        <v>106</v>
      </c>
      <c r="AL11" s="21" t="s">
        <v>410</v>
      </c>
      <c r="AM11" s="21" t="s">
        <v>62</v>
      </c>
      <c r="AN11" s="21" t="s">
        <v>378</v>
      </c>
      <c r="AO11" s="29" t="s">
        <v>285</v>
      </c>
      <c r="AP11" s="29" t="s">
        <v>285</v>
      </c>
      <c r="AQ11" s="28" t="s">
        <v>241</v>
      </c>
      <c r="AR11" s="28" t="s">
        <v>242</v>
      </c>
      <c r="AS11" s="28" t="s">
        <v>151</v>
      </c>
      <c r="AT11" s="28" t="s">
        <v>291</v>
      </c>
      <c r="AU11" s="28" t="s">
        <v>152</v>
      </c>
      <c r="AV11" s="28" t="s">
        <v>291</v>
      </c>
      <c r="AW11" s="21" t="s">
        <v>478</v>
      </c>
      <c r="AX11" s="21"/>
      <c r="AY11" s="21"/>
      <c r="AZ11" s="133" t="s">
        <v>754</v>
      </c>
      <c r="BA11" s="143" t="s">
        <v>698</v>
      </c>
    </row>
    <row r="12" spans="1:53" s="30" customFormat="1" ht="25.8">
      <c r="A12" s="21" t="str">
        <f t="shared" si="0"/>
        <v>10-0</v>
      </c>
      <c r="B12" s="21">
        <v>10</v>
      </c>
      <c r="C12" s="22" t="s">
        <v>96</v>
      </c>
      <c r="D12" s="21" t="s">
        <v>443</v>
      </c>
      <c r="E12" s="23">
        <v>0</v>
      </c>
      <c r="F12" s="22" t="s">
        <v>123</v>
      </c>
      <c r="G12" s="25" t="s">
        <v>293</v>
      </c>
      <c r="H12" s="22" t="str">
        <f t="shared" si="1"/>
        <v xml:space="preserve">Hose, Fuel; Ø 7 mm × 12 mm; TSM1651G-2 </v>
      </c>
      <c r="I12" s="22" t="s">
        <v>86</v>
      </c>
      <c r="J12" s="22" t="s">
        <v>148</v>
      </c>
      <c r="K12" s="22" t="s">
        <v>22</v>
      </c>
      <c r="L12" s="22" t="s">
        <v>146</v>
      </c>
      <c r="M12" s="22" t="s">
        <v>127</v>
      </c>
      <c r="N12" s="26" t="s">
        <v>101</v>
      </c>
      <c r="O12" s="26" t="s">
        <v>101</v>
      </c>
      <c r="P12" s="27" t="s">
        <v>102</v>
      </c>
      <c r="Q12" s="22" t="s">
        <v>381</v>
      </c>
      <c r="R12" s="28" t="s">
        <v>149</v>
      </c>
      <c r="S12" s="21" t="s">
        <v>137</v>
      </c>
      <c r="T12" s="21" t="s">
        <v>137</v>
      </c>
      <c r="U12" s="28" t="s">
        <v>104</v>
      </c>
      <c r="V12" s="28" t="s">
        <v>104</v>
      </c>
      <c r="W12" s="28" t="s">
        <v>118</v>
      </c>
      <c r="X12" s="28" t="s">
        <v>118</v>
      </c>
      <c r="Y12" s="28" t="s">
        <v>118</v>
      </c>
      <c r="Z12" s="28" t="s">
        <v>118</v>
      </c>
      <c r="AA12" s="21" t="s">
        <v>8</v>
      </c>
      <c r="AB12" s="21" t="s">
        <v>8</v>
      </c>
      <c r="AC12" s="28" t="s">
        <v>118</v>
      </c>
      <c r="AD12" s="28" t="s">
        <v>118</v>
      </c>
      <c r="AE12" s="21" t="s">
        <v>248</v>
      </c>
      <c r="AF12" s="21" t="s">
        <v>260</v>
      </c>
      <c r="AG12" s="21" t="s">
        <v>262</v>
      </c>
      <c r="AH12" s="21" t="s">
        <v>275</v>
      </c>
      <c r="AI12" s="21"/>
      <c r="AJ12" s="28" t="s">
        <v>150</v>
      </c>
      <c r="AK12" s="21" t="s">
        <v>106</v>
      </c>
      <c r="AL12" s="21" t="s">
        <v>410</v>
      </c>
      <c r="AM12" s="21" t="s">
        <v>62</v>
      </c>
      <c r="AN12" s="21" t="s">
        <v>378</v>
      </c>
      <c r="AO12" s="29" t="s">
        <v>285</v>
      </c>
      <c r="AP12" s="29" t="s">
        <v>285</v>
      </c>
      <c r="AQ12" s="28" t="s">
        <v>107</v>
      </c>
      <c r="AR12" s="28" t="s">
        <v>150</v>
      </c>
      <c r="AS12" s="28" t="s">
        <v>151</v>
      </c>
      <c r="AT12" s="28" t="s">
        <v>290</v>
      </c>
      <c r="AU12" s="28" t="s">
        <v>152</v>
      </c>
      <c r="AV12" s="28" t="s">
        <v>291</v>
      </c>
      <c r="AW12" s="21" t="s">
        <v>480</v>
      </c>
      <c r="AX12" s="21"/>
      <c r="AY12" s="21"/>
      <c r="AZ12" s="133" t="s">
        <v>755</v>
      </c>
      <c r="BA12" s="143" t="s">
        <v>698</v>
      </c>
    </row>
    <row r="13" spans="1:53" s="30" customFormat="1" ht="51.6">
      <c r="A13" s="21" t="str">
        <f t="shared" si="0"/>
        <v>11-0</v>
      </c>
      <c r="B13" s="21">
        <v>11</v>
      </c>
      <c r="C13" s="22" t="s">
        <v>96</v>
      </c>
      <c r="D13" s="21" t="s">
        <v>444</v>
      </c>
      <c r="E13" s="23">
        <v>0</v>
      </c>
      <c r="F13" s="22" t="s">
        <v>123</v>
      </c>
      <c r="G13" s="25" t="s">
        <v>293</v>
      </c>
      <c r="H13" s="22" t="str">
        <f t="shared" si="1"/>
        <v xml:space="preserve">Hose, Fuel; Ø 7 mm × 14 mm; TSM1651G-2 </v>
      </c>
      <c r="I13" s="22" t="s">
        <v>86</v>
      </c>
      <c r="J13" s="22" t="s">
        <v>114</v>
      </c>
      <c r="K13" s="22" t="s">
        <v>22</v>
      </c>
      <c r="L13" s="22" t="s">
        <v>146</v>
      </c>
      <c r="M13" s="22" t="s">
        <v>127</v>
      </c>
      <c r="N13" s="26" t="s">
        <v>101</v>
      </c>
      <c r="O13" s="26" t="s">
        <v>101</v>
      </c>
      <c r="P13" s="27" t="s">
        <v>102</v>
      </c>
      <c r="Q13" s="22" t="s">
        <v>381</v>
      </c>
      <c r="R13" s="22" t="s">
        <v>411</v>
      </c>
      <c r="S13" s="21" t="s">
        <v>137</v>
      </c>
      <c r="T13" s="21" t="s">
        <v>137</v>
      </c>
      <c r="U13" s="28" t="s">
        <v>104</v>
      </c>
      <c r="V13" s="28" t="s">
        <v>104</v>
      </c>
      <c r="W13" s="28" t="s">
        <v>118</v>
      </c>
      <c r="X13" s="28" t="s">
        <v>118</v>
      </c>
      <c r="Y13" s="28" t="s">
        <v>118</v>
      </c>
      <c r="Z13" s="28" t="s">
        <v>118</v>
      </c>
      <c r="AA13" s="21" t="s">
        <v>8</v>
      </c>
      <c r="AB13" s="21" t="s">
        <v>8</v>
      </c>
      <c r="AC13" s="28" t="s">
        <v>118</v>
      </c>
      <c r="AD13" s="28" t="s">
        <v>118</v>
      </c>
      <c r="AE13" s="21" t="s">
        <v>248</v>
      </c>
      <c r="AF13" s="21" t="s">
        <v>260</v>
      </c>
      <c r="AG13" s="21" t="s">
        <v>262</v>
      </c>
      <c r="AH13" s="21" t="s">
        <v>275</v>
      </c>
      <c r="AI13" s="21"/>
      <c r="AJ13" s="28" t="s">
        <v>105</v>
      </c>
      <c r="AK13" s="21" t="s">
        <v>106</v>
      </c>
      <c r="AL13" s="21" t="s">
        <v>410</v>
      </c>
      <c r="AM13" s="21" t="s">
        <v>62</v>
      </c>
      <c r="AN13" s="21" t="s">
        <v>378</v>
      </c>
      <c r="AO13" s="29" t="s">
        <v>285</v>
      </c>
      <c r="AP13" s="29" t="s">
        <v>285</v>
      </c>
      <c r="AQ13" s="28" t="s">
        <v>107</v>
      </c>
      <c r="AR13" s="28" t="s">
        <v>105</v>
      </c>
      <c r="AS13" s="28" t="s">
        <v>147</v>
      </c>
      <c r="AT13" s="28" t="s">
        <v>290</v>
      </c>
      <c r="AU13" s="28" t="s">
        <v>110</v>
      </c>
      <c r="AV13" s="28" t="s">
        <v>291</v>
      </c>
      <c r="AW13" s="21" t="s">
        <v>481</v>
      </c>
      <c r="AX13" s="21"/>
      <c r="AY13" s="21"/>
      <c r="AZ13" s="133" t="s">
        <v>756</v>
      </c>
      <c r="BA13" s="143" t="s">
        <v>698</v>
      </c>
    </row>
    <row r="14" spans="1:53" s="30" customFormat="1" ht="51.6">
      <c r="A14" s="21" t="str">
        <f t="shared" si="0"/>
        <v>13-0</v>
      </c>
      <c r="B14" s="21">
        <v>13</v>
      </c>
      <c r="C14" s="22" t="s">
        <v>96</v>
      </c>
      <c r="D14" s="21" t="s">
        <v>446</v>
      </c>
      <c r="E14" s="23">
        <v>0</v>
      </c>
      <c r="F14" s="22" t="s">
        <v>97</v>
      </c>
      <c r="G14" s="25" t="s">
        <v>293</v>
      </c>
      <c r="H14" s="22" t="str">
        <f t="shared" si="1"/>
        <v xml:space="preserve">Hose, Fuel; Ø 7 mm × 14 mm; DTSM1651G-2 </v>
      </c>
      <c r="I14" s="22" t="s">
        <v>86</v>
      </c>
      <c r="J14" s="22" t="s">
        <v>114</v>
      </c>
      <c r="K14" s="22" t="s">
        <v>87</v>
      </c>
      <c r="L14" s="22" t="s">
        <v>99</v>
      </c>
      <c r="M14" s="22" t="s">
        <v>100</v>
      </c>
      <c r="N14" s="26" t="s">
        <v>101</v>
      </c>
      <c r="O14" s="26" t="s">
        <v>101</v>
      </c>
      <c r="P14" s="27" t="s">
        <v>102</v>
      </c>
      <c r="Q14" s="22" t="s">
        <v>413</v>
      </c>
      <c r="R14" s="22" t="s">
        <v>412</v>
      </c>
      <c r="S14" s="21" t="s">
        <v>137</v>
      </c>
      <c r="T14" s="21" t="s">
        <v>137</v>
      </c>
      <c r="U14" s="28" t="s">
        <v>103</v>
      </c>
      <c r="V14" s="28" t="s">
        <v>103</v>
      </c>
      <c r="W14" s="28" t="s">
        <v>104</v>
      </c>
      <c r="X14" s="28" t="s">
        <v>104</v>
      </c>
      <c r="Y14" s="28" t="s">
        <v>104</v>
      </c>
      <c r="Z14" s="28" t="s">
        <v>104</v>
      </c>
      <c r="AA14" s="22" t="s">
        <v>8</v>
      </c>
      <c r="AB14" s="22" t="s">
        <v>8</v>
      </c>
      <c r="AC14" s="28" t="s">
        <v>104</v>
      </c>
      <c r="AD14" s="28" t="s">
        <v>104</v>
      </c>
      <c r="AE14" s="21" t="s">
        <v>250</v>
      </c>
      <c r="AF14" s="21" t="s">
        <v>280</v>
      </c>
      <c r="AG14" s="21" t="s">
        <v>265</v>
      </c>
      <c r="AH14" s="21" t="s">
        <v>283</v>
      </c>
      <c r="AI14" s="21"/>
      <c r="AJ14" s="28" t="s">
        <v>105</v>
      </c>
      <c r="AK14" s="21" t="s">
        <v>106</v>
      </c>
      <c r="AL14" s="21" t="s">
        <v>410</v>
      </c>
      <c r="AM14" s="21" t="s">
        <v>62</v>
      </c>
      <c r="AN14" s="21" t="s">
        <v>378</v>
      </c>
      <c r="AO14" s="29" t="s">
        <v>285</v>
      </c>
      <c r="AP14" s="29" t="s">
        <v>285</v>
      </c>
      <c r="AQ14" s="28" t="s">
        <v>107</v>
      </c>
      <c r="AR14" s="28" t="s">
        <v>108</v>
      </c>
      <c r="AS14" s="28" t="s">
        <v>109</v>
      </c>
      <c r="AT14" s="28" t="s">
        <v>291</v>
      </c>
      <c r="AU14" s="28" t="s">
        <v>110</v>
      </c>
      <c r="AV14" s="28" t="s">
        <v>291</v>
      </c>
      <c r="AW14" s="21" t="s">
        <v>483</v>
      </c>
      <c r="AX14" s="21"/>
      <c r="AY14" s="21"/>
      <c r="AZ14" s="133" t="s">
        <v>757</v>
      </c>
      <c r="BA14" s="143" t="s">
        <v>698</v>
      </c>
    </row>
    <row r="15" spans="1:53" s="30" customFormat="1" ht="25.8">
      <c r="A15" s="21" t="str">
        <f t="shared" si="0"/>
        <v>14-0</v>
      </c>
      <c r="B15" s="21">
        <v>14</v>
      </c>
      <c r="C15" s="22" t="s">
        <v>111</v>
      </c>
      <c r="D15" s="21" t="s">
        <v>447</v>
      </c>
      <c r="E15" s="23">
        <v>0</v>
      </c>
      <c r="F15" s="22" t="s">
        <v>97</v>
      </c>
      <c r="G15" s="25" t="s">
        <v>293</v>
      </c>
      <c r="H15" s="22" t="str">
        <f t="shared" si="1"/>
        <v xml:space="preserve">Hose, Reservoir; Ø 8.5 mm × 16.6 mm; DTSM1650G-1 </v>
      </c>
      <c r="I15" s="21" t="s">
        <v>112</v>
      </c>
      <c r="J15" s="22" t="s">
        <v>113</v>
      </c>
      <c r="K15" s="21" t="s">
        <v>115</v>
      </c>
      <c r="L15" s="22" t="s">
        <v>116</v>
      </c>
      <c r="M15" s="22" t="s">
        <v>8</v>
      </c>
      <c r="N15" s="26" t="s">
        <v>101</v>
      </c>
      <c r="O15" s="26" t="s">
        <v>8</v>
      </c>
      <c r="P15" s="27" t="s">
        <v>117</v>
      </c>
      <c r="Q15" s="22" t="s">
        <v>8</v>
      </c>
      <c r="R15" s="22" t="s">
        <v>414</v>
      </c>
      <c r="S15" s="21" t="s">
        <v>137</v>
      </c>
      <c r="T15" s="21" t="s">
        <v>8</v>
      </c>
      <c r="U15" s="28" t="s">
        <v>103</v>
      </c>
      <c r="V15" s="21" t="s">
        <v>8</v>
      </c>
      <c r="W15" s="28" t="s">
        <v>118</v>
      </c>
      <c r="X15" s="21" t="s">
        <v>8</v>
      </c>
      <c r="Y15" s="28" t="s">
        <v>118</v>
      </c>
      <c r="Z15" s="21" t="s">
        <v>8</v>
      </c>
      <c r="AA15" s="21" t="s">
        <v>8</v>
      </c>
      <c r="AB15" s="21" t="s">
        <v>8</v>
      </c>
      <c r="AC15" s="28" t="s">
        <v>118</v>
      </c>
      <c r="AD15" s="21" t="s">
        <v>8</v>
      </c>
      <c r="AE15" s="21" t="s">
        <v>251</v>
      </c>
      <c r="AF15" s="21" t="s">
        <v>8</v>
      </c>
      <c r="AG15" s="21" t="s">
        <v>266</v>
      </c>
      <c r="AH15" s="21" t="s">
        <v>8</v>
      </c>
      <c r="AI15" s="21"/>
      <c r="AJ15" s="28" t="s">
        <v>119</v>
      </c>
      <c r="AK15" s="21" t="s">
        <v>8</v>
      </c>
      <c r="AL15" s="21" t="s">
        <v>8</v>
      </c>
      <c r="AM15" s="21" t="s">
        <v>8</v>
      </c>
      <c r="AN15" s="21" t="s">
        <v>378</v>
      </c>
      <c r="AO15" s="29" t="s">
        <v>285</v>
      </c>
      <c r="AP15" s="29" t="s">
        <v>285</v>
      </c>
      <c r="AQ15" s="28" t="s">
        <v>120</v>
      </c>
      <c r="AR15" s="28" t="s">
        <v>121</v>
      </c>
      <c r="AS15" s="21" t="s">
        <v>8</v>
      </c>
      <c r="AT15" s="21" t="s">
        <v>8</v>
      </c>
      <c r="AU15" s="28" t="s">
        <v>122</v>
      </c>
      <c r="AV15" s="28" t="s">
        <v>291</v>
      </c>
      <c r="AW15" s="21" t="s">
        <v>484</v>
      </c>
      <c r="AX15" s="21"/>
      <c r="AY15" s="21"/>
      <c r="AZ15" s="133" t="s">
        <v>758</v>
      </c>
      <c r="BA15" s="143" t="s">
        <v>698</v>
      </c>
    </row>
    <row r="16" spans="1:53" s="30" customFormat="1" ht="25.8">
      <c r="A16" s="21" t="str">
        <f t="shared" si="0"/>
        <v>15-0</v>
      </c>
      <c r="B16" s="21">
        <v>15</v>
      </c>
      <c r="C16" s="22" t="s">
        <v>111</v>
      </c>
      <c r="D16" s="21" t="s">
        <v>448</v>
      </c>
      <c r="E16" s="23">
        <v>0</v>
      </c>
      <c r="F16" s="22" t="s">
        <v>123</v>
      </c>
      <c r="G16" s="25" t="s">
        <v>293</v>
      </c>
      <c r="H16" s="22" t="str">
        <f t="shared" si="1"/>
        <v xml:space="preserve">Hose, Clutch; Ø 8.5 mm × 17 mm; TSM1650G-1 </v>
      </c>
      <c r="I16" s="21" t="s">
        <v>134</v>
      </c>
      <c r="J16" s="22" t="s">
        <v>135</v>
      </c>
      <c r="K16" s="21" t="s">
        <v>136</v>
      </c>
      <c r="L16" s="22" t="s">
        <v>116</v>
      </c>
      <c r="M16" s="22" t="s">
        <v>8</v>
      </c>
      <c r="N16" s="26" t="s">
        <v>101</v>
      </c>
      <c r="O16" s="26" t="s">
        <v>8</v>
      </c>
      <c r="P16" s="27" t="s">
        <v>117</v>
      </c>
      <c r="Q16" s="22" t="s">
        <v>8</v>
      </c>
      <c r="R16" s="22" t="s">
        <v>415</v>
      </c>
      <c r="S16" s="21" t="s">
        <v>137</v>
      </c>
      <c r="T16" s="21" t="s">
        <v>8</v>
      </c>
      <c r="U16" s="28" t="s">
        <v>138</v>
      </c>
      <c r="V16" s="21" t="s">
        <v>8</v>
      </c>
      <c r="W16" s="28" t="s">
        <v>103</v>
      </c>
      <c r="X16" s="21" t="s">
        <v>8</v>
      </c>
      <c r="Y16" s="28" t="s">
        <v>103</v>
      </c>
      <c r="Z16" s="21" t="s">
        <v>8</v>
      </c>
      <c r="AA16" s="21" t="s">
        <v>8</v>
      </c>
      <c r="AB16" s="21" t="s">
        <v>8</v>
      </c>
      <c r="AC16" s="28" t="s">
        <v>103</v>
      </c>
      <c r="AD16" s="21" t="s">
        <v>8</v>
      </c>
      <c r="AE16" s="21" t="s">
        <v>252</v>
      </c>
      <c r="AF16" s="21" t="s">
        <v>8</v>
      </c>
      <c r="AG16" s="21" t="s">
        <v>267</v>
      </c>
      <c r="AH16" s="21" t="s">
        <v>8</v>
      </c>
      <c r="AI16" s="21"/>
      <c r="AJ16" s="28" t="s">
        <v>139</v>
      </c>
      <c r="AK16" s="21" t="s">
        <v>8</v>
      </c>
      <c r="AL16" s="21" t="s">
        <v>8</v>
      </c>
      <c r="AM16" s="21" t="s">
        <v>8</v>
      </c>
      <c r="AN16" s="21" t="s">
        <v>378</v>
      </c>
      <c r="AO16" s="29" t="s">
        <v>285</v>
      </c>
      <c r="AP16" s="29" t="s">
        <v>285</v>
      </c>
      <c r="AQ16" s="28" t="s">
        <v>140</v>
      </c>
      <c r="AR16" s="28" t="s">
        <v>139</v>
      </c>
      <c r="AS16" s="21" t="s">
        <v>8</v>
      </c>
      <c r="AT16" s="21" t="s">
        <v>8</v>
      </c>
      <c r="AU16" s="28" t="s">
        <v>141</v>
      </c>
      <c r="AV16" s="28" t="s">
        <v>291</v>
      </c>
      <c r="AW16" s="21" t="s">
        <v>485</v>
      </c>
      <c r="AX16" s="21"/>
      <c r="AY16" s="21"/>
      <c r="AZ16" s="133" t="s">
        <v>759</v>
      </c>
      <c r="BA16" s="143" t="s">
        <v>698</v>
      </c>
    </row>
    <row r="17" spans="1:55" s="30" customFormat="1" ht="25.8">
      <c r="A17" s="21" t="s">
        <v>727</v>
      </c>
      <c r="B17" s="21">
        <v>17</v>
      </c>
      <c r="C17" s="22" t="s">
        <v>96</v>
      </c>
      <c r="D17" s="21" t="s">
        <v>450</v>
      </c>
      <c r="E17" s="23">
        <v>0</v>
      </c>
      <c r="F17" s="22" t="s">
        <v>123</v>
      </c>
      <c r="G17" s="25" t="s">
        <v>293</v>
      </c>
      <c r="H17" s="22" t="s">
        <v>728</v>
      </c>
      <c r="I17" s="22" t="s">
        <v>153</v>
      </c>
      <c r="J17" s="22" t="s">
        <v>154</v>
      </c>
      <c r="K17" s="22" t="s">
        <v>29</v>
      </c>
      <c r="L17" s="22" t="s">
        <v>155</v>
      </c>
      <c r="M17" s="22" t="s">
        <v>127</v>
      </c>
      <c r="N17" s="26" t="s">
        <v>101</v>
      </c>
      <c r="O17" s="26" t="s">
        <v>101</v>
      </c>
      <c r="P17" s="27" t="s">
        <v>117</v>
      </c>
      <c r="Q17" s="22" t="s">
        <v>569</v>
      </c>
      <c r="R17" s="22" t="s">
        <v>570</v>
      </c>
      <c r="S17" s="21" t="s">
        <v>577</v>
      </c>
      <c r="T17" s="21" t="s">
        <v>577</v>
      </c>
      <c r="U17" s="28" t="s">
        <v>118</v>
      </c>
      <c r="V17" s="28" t="s">
        <v>118</v>
      </c>
      <c r="W17" s="28" t="s">
        <v>118</v>
      </c>
      <c r="X17" s="28" t="s">
        <v>118</v>
      </c>
      <c r="Y17" s="28" t="s">
        <v>118</v>
      </c>
      <c r="Z17" s="28" t="s">
        <v>118</v>
      </c>
      <c r="AA17" s="21" t="s">
        <v>8</v>
      </c>
      <c r="AB17" s="21" t="s">
        <v>8</v>
      </c>
      <c r="AC17" s="28" t="s">
        <v>118</v>
      </c>
      <c r="AD17" s="28" t="s">
        <v>118</v>
      </c>
      <c r="AE17" s="21" t="s">
        <v>425</v>
      </c>
      <c r="AF17" s="21" t="s">
        <v>571</v>
      </c>
      <c r="AG17" s="21" t="s">
        <v>399</v>
      </c>
      <c r="AH17" s="21" t="s">
        <v>427</v>
      </c>
      <c r="AI17" s="21"/>
      <c r="AJ17" s="28" t="s">
        <v>572</v>
      </c>
      <c r="AK17" s="21" t="s">
        <v>106</v>
      </c>
      <c r="AL17" s="21" t="s">
        <v>410</v>
      </c>
      <c r="AM17" s="21" t="s">
        <v>62</v>
      </c>
      <c r="AN17" s="21" t="s">
        <v>378</v>
      </c>
      <c r="AO17" s="29" t="s">
        <v>573</v>
      </c>
      <c r="AP17" s="29" t="s">
        <v>574</v>
      </c>
      <c r="AQ17" s="28" t="s">
        <v>140</v>
      </c>
      <c r="AR17" s="28" t="s">
        <v>156</v>
      </c>
      <c r="AS17" s="28" t="s">
        <v>158</v>
      </c>
      <c r="AT17" s="28" t="s">
        <v>291</v>
      </c>
      <c r="AU17" s="28" t="s">
        <v>122</v>
      </c>
      <c r="AV17" s="28" t="s">
        <v>291</v>
      </c>
      <c r="AW17" s="21" t="s">
        <v>487</v>
      </c>
      <c r="AX17" s="21"/>
      <c r="AY17" s="21"/>
      <c r="AZ17" s="141" t="s">
        <v>760</v>
      </c>
      <c r="BA17" s="143" t="s">
        <v>700</v>
      </c>
    </row>
    <row r="18" spans="1:55" s="30" customFormat="1" ht="51.6">
      <c r="A18" s="21" t="s">
        <v>729</v>
      </c>
      <c r="B18" s="21">
        <v>29</v>
      </c>
      <c r="C18" s="22" t="s">
        <v>111</v>
      </c>
      <c r="D18" s="21" t="s">
        <v>462</v>
      </c>
      <c r="E18" s="23">
        <v>0</v>
      </c>
      <c r="F18" s="22" t="s">
        <v>300</v>
      </c>
      <c r="G18" s="25" t="s">
        <v>301</v>
      </c>
      <c r="H18" s="22" t="s">
        <v>730</v>
      </c>
      <c r="I18" s="22" t="s">
        <v>165</v>
      </c>
      <c r="J18" s="22" t="s">
        <v>302</v>
      </c>
      <c r="K18" s="21" t="s">
        <v>8</v>
      </c>
      <c r="L18" s="22" t="s">
        <v>303</v>
      </c>
      <c r="M18" s="22" t="s">
        <v>8</v>
      </c>
      <c r="N18" s="26" t="s">
        <v>101</v>
      </c>
      <c r="O18" s="26" t="s">
        <v>8</v>
      </c>
      <c r="P18" s="27" t="s">
        <v>304</v>
      </c>
      <c r="Q18" s="22" t="s">
        <v>8</v>
      </c>
      <c r="R18" s="28" t="s">
        <v>305</v>
      </c>
      <c r="S18" s="21" t="s">
        <v>137</v>
      </c>
      <c r="T18" s="21" t="s">
        <v>8</v>
      </c>
      <c r="U18" s="28" t="s">
        <v>138</v>
      </c>
      <c r="V18" s="21" t="s">
        <v>8</v>
      </c>
      <c r="W18" s="28" t="s">
        <v>145</v>
      </c>
      <c r="X18" s="21" t="s">
        <v>8</v>
      </c>
      <c r="Y18" s="28" t="s">
        <v>145</v>
      </c>
      <c r="Z18" s="21" t="s">
        <v>8</v>
      </c>
      <c r="AA18" s="21" t="s">
        <v>8</v>
      </c>
      <c r="AB18" s="21" t="s">
        <v>8</v>
      </c>
      <c r="AC18" s="28" t="s">
        <v>145</v>
      </c>
      <c r="AD18" s="21" t="s">
        <v>8</v>
      </c>
      <c r="AE18" s="21" t="s">
        <v>306</v>
      </c>
      <c r="AF18" s="21" t="s">
        <v>8</v>
      </c>
      <c r="AG18" s="21" t="s">
        <v>307</v>
      </c>
      <c r="AH18" s="21" t="s">
        <v>8</v>
      </c>
      <c r="AI18" s="21"/>
      <c r="AJ18" s="28" t="s">
        <v>308</v>
      </c>
      <c r="AK18" s="21" t="s">
        <v>106</v>
      </c>
      <c r="AL18" s="21" t="s">
        <v>309</v>
      </c>
      <c r="AM18" s="21" t="s">
        <v>228</v>
      </c>
      <c r="AN18" s="21" t="s">
        <v>378</v>
      </c>
      <c r="AO18" s="29" t="s">
        <v>310</v>
      </c>
      <c r="AP18" s="29" t="s">
        <v>310</v>
      </c>
      <c r="AQ18" s="28" t="s">
        <v>311</v>
      </c>
      <c r="AR18" s="28" t="s">
        <v>312</v>
      </c>
      <c r="AS18" s="21" t="s">
        <v>8</v>
      </c>
      <c r="AT18" s="21" t="s">
        <v>8</v>
      </c>
      <c r="AU18" s="28" t="s">
        <v>110</v>
      </c>
      <c r="AV18" s="28" t="s">
        <v>291</v>
      </c>
      <c r="AW18" s="21" t="s">
        <v>499</v>
      </c>
      <c r="AX18" s="21"/>
      <c r="AY18" s="21"/>
      <c r="AZ18" s="133" t="s">
        <v>761</v>
      </c>
      <c r="BA18" s="143" t="s">
        <v>698</v>
      </c>
    </row>
    <row r="19" spans="1:55" s="45" customFormat="1" ht="25.8">
      <c r="A19" s="21" t="s">
        <v>731</v>
      </c>
      <c r="B19" s="21">
        <v>31</v>
      </c>
      <c r="C19" s="22" t="s">
        <v>96</v>
      </c>
      <c r="D19" s="21" t="s">
        <v>464</v>
      </c>
      <c r="E19" s="23">
        <v>0</v>
      </c>
      <c r="F19" s="22" t="s">
        <v>313</v>
      </c>
      <c r="G19" s="25" t="s">
        <v>314</v>
      </c>
      <c r="H19" s="21" t="s">
        <v>732</v>
      </c>
      <c r="I19" s="134" t="s">
        <v>86</v>
      </c>
      <c r="J19" s="22" t="s">
        <v>148</v>
      </c>
      <c r="K19" s="21" t="s">
        <v>22</v>
      </c>
      <c r="L19" s="22" t="s">
        <v>146</v>
      </c>
      <c r="M19" s="22" t="s">
        <v>127</v>
      </c>
      <c r="N19" s="41" t="s">
        <v>101</v>
      </c>
      <c r="O19" s="41" t="s">
        <v>101</v>
      </c>
      <c r="P19" s="27" t="s">
        <v>102</v>
      </c>
      <c r="Q19" s="22" t="s">
        <v>381</v>
      </c>
      <c r="R19" s="28" t="s">
        <v>149</v>
      </c>
      <c r="S19" s="21" t="s">
        <v>137</v>
      </c>
      <c r="T19" s="21" t="s">
        <v>137</v>
      </c>
      <c r="U19" s="28" t="s">
        <v>104</v>
      </c>
      <c r="V19" s="28" t="s">
        <v>104</v>
      </c>
      <c r="W19" s="28" t="s">
        <v>118</v>
      </c>
      <c r="X19" s="28" t="s">
        <v>118</v>
      </c>
      <c r="Y19" s="28" t="s">
        <v>118</v>
      </c>
      <c r="Z19" s="28" t="s">
        <v>118</v>
      </c>
      <c r="AA19" s="21" t="s">
        <v>8</v>
      </c>
      <c r="AB19" s="21" t="s">
        <v>8</v>
      </c>
      <c r="AC19" s="28" t="s">
        <v>118</v>
      </c>
      <c r="AD19" s="28" t="s">
        <v>118</v>
      </c>
      <c r="AE19" s="21" t="s">
        <v>379</v>
      </c>
      <c r="AF19" s="21" t="s">
        <v>380</v>
      </c>
      <c r="AG19" s="21" t="s">
        <v>262</v>
      </c>
      <c r="AH19" s="21" t="s">
        <v>275</v>
      </c>
      <c r="AI19" s="21"/>
      <c r="AJ19" s="28" t="s">
        <v>150</v>
      </c>
      <c r="AK19" s="21" t="s">
        <v>106</v>
      </c>
      <c r="AL19" s="21" t="s">
        <v>377</v>
      </c>
      <c r="AM19" s="21" t="s">
        <v>62</v>
      </c>
      <c r="AN19" s="21" t="s">
        <v>378</v>
      </c>
      <c r="AO19" s="29" t="s">
        <v>285</v>
      </c>
      <c r="AP19" s="29" t="s">
        <v>285</v>
      </c>
      <c r="AQ19" s="28" t="s">
        <v>107</v>
      </c>
      <c r="AR19" s="28" t="s">
        <v>150</v>
      </c>
      <c r="AS19" s="28" t="s">
        <v>151</v>
      </c>
      <c r="AT19" s="28" t="s">
        <v>290</v>
      </c>
      <c r="AU19" s="28" t="s">
        <v>152</v>
      </c>
      <c r="AV19" s="28" t="s">
        <v>291</v>
      </c>
      <c r="AW19" s="21" t="s">
        <v>501</v>
      </c>
      <c r="AX19" s="21"/>
      <c r="AY19" s="21"/>
      <c r="AZ19" s="133" t="s">
        <v>762</v>
      </c>
      <c r="BA19" s="143" t="s">
        <v>698</v>
      </c>
    </row>
    <row r="20" spans="1:55" s="30" customFormat="1" ht="25.8">
      <c r="A20" s="21" t="s">
        <v>733</v>
      </c>
      <c r="B20" s="21">
        <v>32</v>
      </c>
      <c r="C20" s="22" t="s">
        <v>96</v>
      </c>
      <c r="D20" s="21" t="s">
        <v>465</v>
      </c>
      <c r="E20" s="23">
        <v>0</v>
      </c>
      <c r="F20" s="22" t="s">
        <v>313</v>
      </c>
      <c r="G20" s="25" t="s">
        <v>314</v>
      </c>
      <c r="H20" s="21" t="s">
        <v>734</v>
      </c>
      <c r="I20" s="134" t="s">
        <v>86</v>
      </c>
      <c r="J20" s="22" t="s">
        <v>326</v>
      </c>
      <c r="K20" s="21" t="s">
        <v>22</v>
      </c>
      <c r="L20" s="22" t="s">
        <v>146</v>
      </c>
      <c r="M20" s="22" t="s">
        <v>127</v>
      </c>
      <c r="N20" s="41" t="s">
        <v>101</v>
      </c>
      <c r="O20" s="41" t="s">
        <v>101</v>
      </c>
      <c r="P20" s="27" t="s">
        <v>117</v>
      </c>
      <c r="Q20" s="28" t="s">
        <v>327</v>
      </c>
      <c r="R20" s="28" t="s">
        <v>328</v>
      </c>
      <c r="S20" s="21" t="s">
        <v>137</v>
      </c>
      <c r="T20" s="21" t="s">
        <v>137</v>
      </c>
      <c r="U20" s="28" t="s">
        <v>104</v>
      </c>
      <c r="V20" s="28" t="s">
        <v>104</v>
      </c>
      <c r="W20" s="28" t="s">
        <v>175</v>
      </c>
      <c r="X20" s="28" t="s">
        <v>175</v>
      </c>
      <c r="Y20" s="28" t="s">
        <v>175</v>
      </c>
      <c r="Z20" s="28" t="s">
        <v>175</v>
      </c>
      <c r="AA20" s="21" t="s">
        <v>8</v>
      </c>
      <c r="AB20" s="21" t="s">
        <v>8</v>
      </c>
      <c r="AC20" s="28" t="s">
        <v>175</v>
      </c>
      <c r="AD20" s="28" t="s">
        <v>175</v>
      </c>
      <c r="AE20" s="21" t="s">
        <v>329</v>
      </c>
      <c r="AF20" s="21" t="s">
        <v>330</v>
      </c>
      <c r="AG20" s="21" t="s">
        <v>307</v>
      </c>
      <c r="AH20" s="21" t="s">
        <v>331</v>
      </c>
      <c r="AI20" s="21">
        <v>30</v>
      </c>
      <c r="AJ20" s="28" t="s">
        <v>332</v>
      </c>
      <c r="AK20" s="21" t="s">
        <v>106</v>
      </c>
      <c r="AL20" s="21" t="s">
        <v>377</v>
      </c>
      <c r="AM20" s="21" t="s">
        <v>62</v>
      </c>
      <c r="AN20" s="21" t="s">
        <v>378</v>
      </c>
      <c r="AO20" s="29" t="s">
        <v>141</v>
      </c>
      <c r="AP20" s="29" t="s">
        <v>333</v>
      </c>
      <c r="AQ20" s="28" t="s">
        <v>334</v>
      </c>
      <c r="AR20" s="28" t="s">
        <v>335</v>
      </c>
      <c r="AS20" s="28" t="s">
        <v>152</v>
      </c>
      <c r="AT20" s="28" t="s">
        <v>290</v>
      </c>
      <c r="AU20" s="28" t="s">
        <v>336</v>
      </c>
      <c r="AV20" s="28" t="s">
        <v>291</v>
      </c>
      <c r="AW20" s="21" t="s">
        <v>502</v>
      </c>
      <c r="AX20" s="21"/>
      <c r="AY20" s="21"/>
      <c r="AZ20" s="133" t="s">
        <v>763</v>
      </c>
      <c r="BA20" s="143" t="s">
        <v>700</v>
      </c>
    </row>
    <row r="21" spans="1:55" s="30" customFormat="1" ht="25.8">
      <c r="A21" s="21" t="s">
        <v>736</v>
      </c>
      <c r="B21" s="21">
        <v>35</v>
      </c>
      <c r="C21" s="22" t="s">
        <v>96</v>
      </c>
      <c r="D21" s="21" t="s">
        <v>468</v>
      </c>
      <c r="E21" s="23">
        <v>0</v>
      </c>
      <c r="F21" s="22" t="s">
        <v>344</v>
      </c>
      <c r="G21" s="25" t="s">
        <v>354</v>
      </c>
      <c r="H21" s="21" t="s">
        <v>737</v>
      </c>
      <c r="I21" s="21" t="s">
        <v>221</v>
      </c>
      <c r="J21" s="22" t="s">
        <v>234</v>
      </c>
      <c r="K21" s="21" t="s">
        <v>345</v>
      </c>
      <c r="L21" s="22" t="s">
        <v>346</v>
      </c>
      <c r="M21" s="22" t="s">
        <v>347</v>
      </c>
      <c r="N21" s="41" t="s">
        <v>101</v>
      </c>
      <c r="O21" s="41" t="s">
        <v>101</v>
      </c>
      <c r="P21" s="27" t="s">
        <v>172</v>
      </c>
      <c r="Q21" s="28" t="s">
        <v>139</v>
      </c>
      <c r="R21" s="28" t="s">
        <v>207</v>
      </c>
      <c r="S21" s="21" t="s">
        <v>137</v>
      </c>
      <c r="T21" s="21" t="s">
        <v>137</v>
      </c>
      <c r="U21" s="28" t="s">
        <v>104</v>
      </c>
      <c r="V21" s="28" t="s">
        <v>103</v>
      </c>
      <c r="W21" s="28" t="s">
        <v>175</v>
      </c>
      <c r="X21" s="28" t="s">
        <v>118</v>
      </c>
      <c r="Y21" s="28" t="s">
        <v>175</v>
      </c>
      <c r="Z21" s="28" t="s">
        <v>118</v>
      </c>
      <c r="AA21" s="21" t="s">
        <v>8</v>
      </c>
      <c r="AB21" s="21" t="s">
        <v>8</v>
      </c>
      <c r="AC21" s="28" t="s">
        <v>175</v>
      </c>
      <c r="AD21" s="28" t="s">
        <v>118</v>
      </c>
      <c r="AE21" s="21" t="s">
        <v>355</v>
      </c>
      <c r="AF21" s="21" t="s">
        <v>356</v>
      </c>
      <c r="AG21" s="21" t="s">
        <v>357</v>
      </c>
      <c r="AH21" s="21" t="s">
        <v>358</v>
      </c>
      <c r="AI21" s="21">
        <v>30</v>
      </c>
      <c r="AJ21" s="28" t="s">
        <v>352</v>
      </c>
      <c r="AK21" s="21" t="s">
        <v>106</v>
      </c>
      <c r="AL21" s="21" t="s">
        <v>422</v>
      </c>
      <c r="AM21" s="21" t="s">
        <v>228</v>
      </c>
      <c r="AN21" s="21" t="s">
        <v>378</v>
      </c>
      <c r="AO21" s="29" t="s">
        <v>141</v>
      </c>
      <c r="AP21" s="29" t="s">
        <v>141</v>
      </c>
      <c r="AQ21" s="28" t="s">
        <v>359</v>
      </c>
      <c r="AR21" s="28" t="s">
        <v>360</v>
      </c>
      <c r="AS21" s="28" t="s">
        <v>361</v>
      </c>
      <c r="AT21" s="28" t="s">
        <v>353</v>
      </c>
      <c r="AU21" s="28" t="s">
        <v>362</v>
      </c>
      <c r="AV21" s="28" t="s">
        <v>291</v>
      </c>
      <c r="AW21" s="21" t="s">
        <v>505</v>
      </c>
      <c r="AX21" s="21"/>
      <c r="AY21" s="21"/>
      <c r="AZ21" s="133" t="s">
        <v>764</v>
      </c>
      <c r="BA21" s="143" t="s">
        <v>698</v>
      </c>
      <c r="BC21" s="30" t="s">
        <v>770</v>
      </c>
    </row>
    <row r="22" spans="1:55" s="47" customFormat="1" ht="51.6">
      <c r="A22" s="21" t="s">
        <v>738</v>
      </c>
      <c r="B22" s="21">
        <v>36</v>
      </c>
      <c r="C22" s="22" t="s">
        <v>96</v>
      </c>
      <c r="D22" s="21" t="s">
        <v>771</v>
      </c>
      <c r="E22" s="23">
        <v>1</v>
      </c>
      <c r="F22" s="22" t="s">
        <v>123</v>
      </c>
      <c r="G22" s="25" t="s">
        <v>368</v>
      </c>
      <c r="H22" s="22" t="s">
        <v>735</v>
      </c>
      <c r="I22" s="22" t="s">
        <v>86</v>
      </c>
      <c r="J22" s="22" t="s">
        <v>114</v>
      </c>
      <c r="K22" s="22" t="s">
        <v>22</v>
      </c>
      <c r="L22" s="22" t="s">
        <v>146</v>
      </c>
      <c r="M22" s="22" t="s">
        <v>127</v>
      </c>
      <c r="N22" s="41" t="s">
        <v>101</v>
      </c>
      <c r="O22" s="41" t="s">
        <v>101</v>
      </c>
      <c r="P22" s="27" t="s">
        <v>102</v>
      </c>
      <c r="Q22" s="22" t="s">
        <v>412</v>
      </c>
      <c r="R22" s="22" t="s">
        <v>412</v>
      </c>
      <c r="S22" s="21" t="s">
        <v>137</v>
      </c>
      <c r="T22" s="21" t="s">
        <v>137</v>
      </c>
      <c r="U22" s="28" t="s">
        <v>104</v>
      </c>
      <c r="V22" s="28" t="s">
        <v>104</v>
      </c>
      <c r="W22" s="28" t="s">
        <v>118</v>
      </c>
      <c r="X22" s="28" t="s">
        <v>118</v>
      </c>
      <c r="Y22" s="28" t="s">
        <v>118</v>
      </c>
      <c r="Z22" s="28" t="s">
        <v>118</v>
      </c>
      <c r="AA22" s="21" t="s">
        <v>8</v>
      </c>
      <c r="AB22" s="21" t="s">
        <v>8</v>
      </c>
      <c r="AC22" s="28" t="s">
        <v>118</v>
      </c>
      <c r="AD22" s="28" t="s">
        <v>118</v>
      </c>
      <c r="AE22" s="21" t="s">
        <v>369</v>
      </c>
      <c r="AF22" s="21" t="s">
        <v>370</v>
      </c>
      <c r="AG22" s="21" t="s">
        <v>262</v>
      </c>
      <c r="AH22" s="21" t="s">
        <v>275</v>
      </c>
      <c r="AI22" s="21"/>
      <c r="AJ22" s="28" t="s">
        <v>105</v>
      </c>
      <c r="AK22" s="21" t="s">
        <v>106</v>
      </c>
      <c r="AL22" s="21" t="s">
        <v>377</v>
      </c>
      <c r="AM22" s="21" t="s">
        <v>62</v>
      </c>
      <c r="AN22" s="21" t="s">
        <v>378</v>
      </c>
      <c r="AO22" s="29" t="s">
        <v>285</v>
      </c>
      <c r="AP22" s="29" t="s">
        <v>285</v>
      </c>
      <c r="AQ22" s="28" t="s">
        <v>371</v>
      </c>
      <c r="AR22" s="28" t="s">
        <v>105</v>
      </c>
      <c r="AS22" s="28" t="s">
        <v>147</v>
      </c>
      <c r="AT22" s="28">
        <v>0.1</v>
      </c>
      <c r="AU22" s="28" t="s">
        <v>110</v>
      </c>
      <c r="AV22" s="28" t="s">
        <v>291</v>
      </c>
      <c r="AW22" s="21" t="s">
        <v>8</v>
      </c>
      <c r="AX22" s="21"/>
      <c r="AY22" s="21"/>
      <c r="AZ22" s="133" t="s">
        <v>756</v>
      </c>
      <c r="BA22" s="143" t="s">
        <v>698</v>
      </c>
    </row>
    <row r="23" spans="1:55" s="30" customFormat="1" ht="25.8">
      <c r="A23" s="21" t="s">
        <v>740</v>
      </c>
      <c r="B23" s="21">
        <v>44</v>
      </c>
      <c r="C23" s="21" t="s">
        <v>96</v>
      </c>
      <c r="D23" s="21" t="s">
        <v>772</v>
      </c>
      <c r="E23" s="23">
        <v>0</v>
      </c>
      <c r="F23" s="21" t="s">
        <v>623</v>
      </c>
      <c r="G23" s="25" t="s">
        <v>624</v>
      </c>
      <c r="H23" s="54" t="s">
        <v>741</v>
      </c>
      <c r="I23" s="21" t="s">
        <v>625</v>
      </c>
      <c r="J23" s="21" t="s">
        <v>626</v>
      </c>
      <c r="K23" s="21" t="s">
        <v>627</v>
      </c>
      <c r="L23" s="22" t="s">
        <v>628</v>
      </c>
      <c r="M23" s="22" t="s">
        <v>629</v>
      </c>
      <c r="N23" s="41" t="s">
        <v>101</v>
      </c>
      <c r="O23" s="41" t="s">
        <v>101</v>
      </c>
      <c r="P23" s="27" t="s">
        <v>160</v>
      </c>
      <c r="Q23" s="22" t="s">
        <v>630</v>
      </c>
      <c r="R23" s="22" t="s">
        <v>631</v>
      </c>
      <c r="S23" s="21" t="s">
        <v>577</v>
      </c>
      <c r="T23" s="21" t="s">
        <v>577</v>
      </c>
      <c r="U23" s="21" t="s">
        <v>103</v>
      </c>
      <c r="V23" s="21" t="s">
        <v>103</v>
      </c>
      <c r="W23" s="21" t="s">
        <v>104</v>
      </c>
      <c r="X23" s="21" t="s">
        <v>103</v>
      </c>
      <c r="Y23" s="21" t="s">
        <v>104</v>
      </c>
      <c r="Z23" s="21" t="s">
        <v>103</v>
      </c>
      <c r="AA23" s="21"/>
      <c r="AB23" s="21"/>
      <c r="AC23" s="21" t="s">
        <v>104</v>
      </c>
      <c r="AD23" s="21" t="s">
        <v>103</v>
      </c>
      <c r="AE23" s="21" t="s">
        <v>270</v>
      </c>
      <c r="AF23" s="21" t="s">
        <v>632</v>
      </c>
      <c r="AG23" s="21" t="s">
        <v>399</v>
      </c>
      <c r="AH23" s="21" t="s">
        <v>399</v>
      </c>
      <c r="AI23" s="21"/>
      <c r="AJ23" s="21" t="s">
        <v>633</v>
      </c>
      <c r="AK23" s="21" t="s">
        <v>106</v>
      </c>
      <c r="AL23" s="21" t="s">
        <v>8</v>
      </c>
      <c r="AM23" s="21" t="s">
        <v>634</v>
      </c>
      <c r="AN23" s="21" t="s">
        <v>608</v>
      </c>
      <c r="AO23" s="21" t="s">
        <v>635</v>
      </c>
      <c r="AP23" s="21" t="s">
        <v>636</v>
      </c>
      <c r="AQ23" s="21" t="s">
        <v>637</v>
      </c>
      <c r="AR23" s="21" t="s">
        <v>8</v>
      </c>
      <c r="AS23" s="21" t="s">
        <v>638</v>
      </c>
      <c r="AT23" s="21" t="s">
        <v>639</v>
      </c>
      <c r="AU23" s="21" t="s">
        <v>151</v>
      </c>
      <c r="AV23" s="21" t="s">
        <v>639</v>
      </c>
      <c r="AW23" s="21" t="e">
        <v>#REF!</v>
      </c>
      <c r="AX23" s="21"/>
      <c r="AY23" s="21"/>
      <c r="AZ23" s="133" t="s">
        <v>765</v>
      </c>
      <c r="BA23" s="143" t="s">
        <v>698</v>
      </c>
    </row>
    <row r="24" spans="1:55" s="30" customFormat="1" ht="25.8">
      <c r="A24" s="21" t="s">
        <v>742</v>
      </c>
      <c r="B24" s="21">
        <v>37</v>
      </c>
      <c r="C24" s="22" t="s">
        <v>96</v>
      </c>
      <c r="D24" s="21" t="s">
        <v>470</v>
      </c>
      <c r="E24" s="23">
        <v>1</v>
      </c>
      <c r="F24" s="22" t="s">
        <v>97</v>
      </c>
      <c r="G24" s="57" t="s">
        <v>390</v>
      </c>
      <c r="H24" s="54" t="s">
        <v>739</v>
      </c>
      <c r="I24" s="21" t="s">
        <v>391</v>
      </c>
      <c r="J24" s="54" t="s">
        <v>394</v>
      </c>
      <c r="K24" s="21" t="s">
        <v>392</v>
      </c>
      <c r="L24" s="22" t="s">
        <v>395</v>
      </c>
      <c r="M24" s="54" t="s">
        <v>24</v>
      </c>
      <c r="N24" s="59" t="s">
        <v>101</v>
      </c>
      <c r="O24" s="59" t="s">
        <v>396</v>
      </c>
      <c r="P24" s="27" t="s">
        <v>128</v>
      </c>
      <c r="Q24" s="28" t="s">
        <v>397</v>
      </c>
      <c r="R24" s="28" t="s">
        <v>631</v>
      </c>
      <c r="S24" s="21" t="s">
        <v>577</v>
      </c>
      <c r="T24" s="21" t="s">
        <v>577</v>
      </c>
      <c r="U24" s="28" t="s">
        <v>104</v>
      </c>
      <c r="V24" s="28" t="s">
        <v>104</v>
      </c>
      <c r="W24" s="61" t="s">
        <v>118</v>
      </c>
      <c r="X24" s="61" t="s">
        <v>118</v>
      </c>
      <c r="Y24" s="61" t="s">
        <v>118</v>
      </c>
      <c r="Z24" s="61" t="s">
        <v>118</v>
      </c>
      <c r="AA24" s="53" t="s">
        <v>8</v>
      </c>
      <c r="AB24" s="53" t="s">
        <v>8</v>
      </c>
      <c r="AC24" s="61" t="s">
        <v>118</v>
      </c>
      <c r="AD24" s="61" t="s">
        <v>118</v>
      </c>
      <c r="AE24" s="21" t="s">
        <v>393</v>
      </c>
      <c r="AF24" s="21" t="s">
        <v>398</v>
      </c>
      <c r="AG24" s="53" t="s">
        <v>399</v>
      </c>
      <c r="AH24" s="53" t="s">
        <v>399</v>
      </c>
      <c r="AI24" s="21" t="s">
        <v>400</v>
      </c>
      <c r="AJ24" s="61" t="s">
        <v>641</v>
      </c>
      <c r="AK24" s="21" t="s">
        <v>106</v>
      </c>
      <c r="AL24" s="21" t="s">
        <v>402</v>
      </c>
      <c r="AM24" s="21" t="s">
        <v>131</v>
      </c>
      <c r="AN24" s="53" t="s">
        <v>423</v>
      </c>
      <c r="AO24" s="69" t="s">
        <v>403</v>
      </c>
      <c r="AP24" s="69" t="s">
        <v>403</v>
      </c>
      <c r="AQ24" s="28" t="s">
        <v>110</v>
      </c>
      <c r="AR24" s="28" t="s">
        <v>404</v>
      </c>
      <c r="AS24" s="28" t="s">
        <v>405</v>
      </c>
      <c r="AT24" s="28" t="s">
        <v>291</v>
      </c>
      <c r="AU24" s="28" t="s">
        <v>152</v>
      </c>
      <c r="AV24" s="142" t="s">
        <v>8</v>
      </c>
      <c r="AW24" s="21" t="s">
        <v>507</v>
      </c>
      <c r="AX24" s="21"/>
      <c r="AY24" s="21"/>
      <c r="AZ24" s="133" t="s">
        <v>766</v>
      </c>
      <c r="BA24" s="143" t="s">
        <v>698</v>
      </c>
    </row>
    <row r="25" spans="1:55" s="30" customFormat="1" ht="51.6">
      <c r="A25" s="21" t="s">
        <v>744</v>
      </c>
      <c r="B25" s="21">
        <v>16</v>
      </c>
      <c r="C25" s="22" t="s">
        <v>96</v>
      </c>
      <c r="D25" s="21" t="s">
        <v>449</v>
      </c>
      <c r="E25" s="23">
        <v>3</v>
      </c>
      <c r="F25" s="22" t="s">
        <v>97</v>
      </c>
      <c r="G25" s="57" t="s">
        <v>675</v>
      </c>
      <c r="H25" s="22" t="s">
        <v>743</v>
      </c>
      <c r="I25" s="22" t="s">
        <v>153</v>
      </c>
      <c r="J25" s="22" t="s">
        <v>154</v>
      </c>
      <c r="K25" s="22" t="s">
        <v>193</v>
      </c>
      <c r="L25" s="22" t="s">
        <v>155</v>
      </c>
      <c r="M25" s="22" t="s">
        <v>127</v>
      </c>
      <c r="N25" s="26" t="s">
        <v>101</v>
      </c>
      <c r="O25" s="26" t="s">
        <v>101</v>
      </c>
      <c r="P25" s="27" t="s">
        <v>117</v>
      </c>
      <c r="Q25" s="22" t="s">
        <v>642</v>
      </c>
      <c r="R25" s="22" t="s">
        <v>643</v>
      </c>
      <c r="S25" s="21" t="s">
        <v>577</v>
      </c>
      <c r="T25" s="21" t="s">
        <v>577</v>
      </c>
      <c r="U25" s="28" t="s">
        <v>118</v>
      </c>
      <c r="V25" s="28" t="s">
        <v>118</v>
      </c>
      <c r="W25" s="28" t="s">
        <v>118</v>
      </c>
      <c r="X25" s="28" t="s">
        <v>118</v>
      </c>
      <c r="Y25" s="28" t="s">
        <v>118</v>
      </c>
      <c r="Z25" s="28" t="s">
        <v>118</v>
      </c>
      <c r="AA25" s="21" t="s">
        <v>8</v>
      </c>
      <c r="AB25" s="21" t="s">
        <v>8</v>
      </c>
      <c r="AC25" s="28" t="s">
        <v>118</v>
      </c>
      <c r="AD25" s="28" t="s">
        <v>118</v>
      </c>
      <c r="AE25" s="21" t="s">
        <v>646</v>
      </c>
      <c r="AF25" s="21" t="s">
        <v>644</v>
      </c>
      <c r="AG25" s="53" t="s">
        <v>399</v>
      </c>
      <c r="AH25" s="53" t="s">
        <v>399</v>
      </c>
      <c r="AI25" s="33" t="s">
        <v>599</v>
      </c>
      <c r="AJ25" s="28" t="s">
        <v>572</v>
      </c>
      <c r="AK25" s="21" t="s">
        <v>106</v>
      </c>
      <c r="AL25" s="21" t="s">
        <v>645</v>
      </c>
      <c r="AM25" s="21" t="s">
        <v>62</v>
      </c>
      <c r="AN25" s="21" t="s">
        <v>378</v>
      </c>
      <c r="AO25" s="29" t="s">
        <v>665</v>
      </c>
      <c r="AP25" s="29" t="s">
        <v>574</v>
      </c>
      <c r="AQ25" s="28" t="s">
        <v>140</v>
      </c>
      <c r="AR25" s="28" t="s">
        <v>232</v>
      </c>
      <c r="AS25" s="28" t="s">
        <v>676</v>
      </c>
      <c r="AT25" s="28" t="s">
        <v>291</v>
      </c>
      <c r="AU25" s="28" t="s">
        <v>647</v>
      </c>
      <c r="AV25" s="28" t="s">
        <v>291</v>
      </c>
      <c r="AW25" s="21" t="s">
        <v>486</v>
      </c>
      <c r="AX25" s="21"/>
      <c r="AY25" s="21"/>
      <c r="AZ25" s="133" t="s">
        <v>767</v>
      </c>
      <c r="BA25" s="143" t="s">
        <v>700</v>
      </c>
    </row>
    <row r="26" spans="1:55" s="45" customFormat="1" ht="25.8">
      <c r="A26" s="21" t="s">
        <v>745</v>
      </c>
      <c r="B26" s="21">
        <v>45</v>
      </c>
      <c r="C26" s="22" t="s">
        <v>111</v>
      </c>
      <c r="D26" s="21" t="s">
        <v>773</v>
      </c>
      <c r="E26" s="23">
        <v>0</v>
      </c>
      <c r="F26" s="22" t="s">
        <v>677</v>
      </c>
      <c r="G26" s="57" t="s">
        <v>678</v>
      </c>
      <c r="H26" s="21" t="s">
        <v>746</v>
      </c>
      <c r="I26" s="21" t="s">
        <v>680</v>
      </c>
      <c r="J26" s="22" t="s">
        <v>326</v>
      </c>
      <c r="K26" s="21" t="s">
        <v>597</v>
      </c>
      <c r="L26" s="22" t="s">
        <v>679</v>
      </c>
      <c r="M26" s="22" t="s">
        <v>8</v>
      </c>
      <c r="N26" s="41" t="s">
        <v>101</v>
      </c>
      <c r="O26" s="41" t="s">
        <v>8</v>
      </c>
      <c r="P26" s="27" t="s">
        <v>117</v>
      </c>
      <c r="Q26" s="22" t="s">
        <v>687</v>
      </c>
      <c r="R26" s="28" t="s">
        <v>597</v>
      </c>
      <c r="S26" s="21" t="s">
        <v>577</v>
      </c>
      <c r="T26" s="21" t="s">
        <v>8</v>
      </c>
      <c r="U26" s="28" t="s">
        <v>175</v>
      </c>
      <c r="V26" s="21" t="s">
        <v>8</v>
      </c>
      <c r="W26" s="28" t="s">
        <v>175</v>
      </c>
      <c r="X26" s="21" t="s">
        <v>8</v>
      </c>
      <c r="Y26" s="28" t="s">
        <v>175</v>
      </c>
      <c r="Z26" s="21" t="s">
        <v>8</v>
      </c>
      <c r="AA26" s="21" t="s">
        <v>8</v>
      </c>
      <c r="AB26" s="21" t="s">
        <v>8</v>
      </c>
      <c r="AC26" s="28" t="s">
        <v>175</v>
      </c>
      <c r="AD26" s="21" t="s">
        <v>8</v>
      </c>
      <c r="AE26" s="21" t="s">
        <v>686</v>
      </c>
      <c r="AF26" s="21" t="s">
        <v>8</v>
      </c>
      <c r="AG26" s="21" t="s">
        <v>399</v>
      </c>
      <c r="AH26" s="21" t="s">
        <v>8</v>
      </c>
      <c r="AI26" s="33" t="s">
        <v>599</v>
      </c>
      <c r="AJ26" s="28" t="s">
        <v>681</v>
      </c>
      <c r="AK26" s="53" t="s">
        <v>651</v>
      </c>
      <c r="AL26" s="21" t="s">
        <v>682</v>
      </c>
      <c r="AM26" s="53" t="s">
        <v>651</v>
      </c>
      <c r="AN26" s="21" t="s">
        <v>378</v>
      </c>
      <c r="AO26" s="29" t="s">
        <v>684</v>
      </c>
      <c r="AP26" s="29" t="s">
        <v>683</v>
      </c>
      <c r="AQ26" s="28" t="s">
        <v>157</v>
      </c>
      <c r="AR26" s="21" t="s">
        <v>8</v>
      </c>
      <c r="AS26" s="21" t="s">
        <v>8</v>
      </c>
      <c r="AT26" s="21" t="s">
        <v>8</v>
      </c>
      <c r="AU26" s="61" t="s">
        <v>289</v>
      </c>
      <c r="AV26" s="28" t="s">
        <v>291</v>
      </c>
      <c r="AW26" s="21" t="s">
        <v>8</v>
      </c>
      <c r="AX26" s="21"/>
      <c r="AY26" s="21"/>
      <c r="AZ26" s="133" t="s">
        <v>768</v>
      </c>
      <c r="BA26" s="143" t="s">
        <v>698</v>
      </c>
    </row>
    <row r="27" spans="1:55" s="45" customFormat="1" ht="51.6">
      <c r="A27" s="21" t="s">
        <v>747</v>
      </c>
      <c r="B27" s="21">
        <v>46</v>
      </c>
      <c r="C27" s="22" t="s">
        <v>111</v>
      </c>
      <c r="D27" s="21" t="s">
        <v>774</v>
      </c>
      <c r="E27" s="23">
        <v>0</v>
      </c>
      <c r="F27" s="22" t="s">
        <v>97</v>
      </c>
      <c r="G27" s="57" t="s">
        <v>688</v>
      </c>
      <c r="H27" s="21" t="s">
        <v>748</v>
      </c>
      <c r="I27" s="21" t="s">
        <v>689</v>
      </c>
      <c r="J27" s="22" t="s">
        <v>113</v>
      </c>
      <c r="K27" s="21" t="s">
        <v>690</v>
      </c>
      <c r="L27" s="22" t="s">
        <v>691</v>
      </c>
      <c r="M27" s="22" t="s">
        <v>8</v>
      </c>
      <c r="N27" s="41" t="s">
        <v>101</v>
      </c>
      <c r="O27" s="41" t="s">
        <v>8</v>
      </c>
      <c r="P27" s="27" t="s">
        <v>117</v>
      </c>
      <c r="Q27" s="22" t="s">
        <v>692</v>
      </c>
      <c r="R27" s="28" t="s">
        <v>597</v>
      </c>
      <c r="S27" s="21" t="s">
        <v>577</v>
      </c>
      <c r="T27" s="21" t="s">
        <v>8</v>
      </c>
      <c r="U27" s="28" t="s">
        <v>175</v>
      </c>
      <c r="V27" s="21" t="s">
        <v>8</v>
      </c>
      <c r="W27" s="28" t="s">
        <v>175</v>
      </c>
      <c r="X27" s="21" t="s">
        <v>8</v>
      </c>
      <c r="Y27" s="28" t="s">
        <v>175</v>
      </c>
      <c r="Z27" s="21" t="s">
        <v>8</v>
      </c>
      <c r="AA27" s="21" t="s">
        <v>8</v>
      </c>
      <c r="AB27" s="21" t="s">
        <v>8</v>
      </c>
      <c r="AC27" s="28" t="s">
        <v>175</v>
      </c>
      <c r="AD27" s="21" t="s">
        <v>8</v>
      </c>
      <c r="AE27" s="21" t="s">
        <v>686</v>
      </c>
      <c r="AF27" s="21" t="s">
        <v>8</v>
      </c>
      <c r="AG27" s="21" t="s">
        <v>399</v>
      </c>
      <c r="AH27" s="21" t="s">
        <v>8</v>
      </c>
      <c r="AI27" s="33" t="s">
        <v>599</v>
      </c>
      <c r="AJ27" s="28" t="s">
        <v>693</v>
      </c>
      <c r="AK27" s="53" t="s">
        <v>651</v>
      </c>
      <c r="AL27" s="21" t="s">
        <v>682</v>
      </c>
      <c r="AM27" s="53" t="s">
        <v>651</v>
      </c>
      <c r="AN27" s="21" t="s">
        <v>378</v>
      </c>
      <c r="AO27" s="29" t="s">
        <v>684</v>
      </c>
      <c r="AP27" s="29" t="s">
        <v>683</v>
      </c>
      <c r="AQ27" s="28" t="s">
        <v>157</v>
      </c>
      <c r="AR27" s="28" t="s">
        <v>694</v>
      </c>
      <c r="AS27" s="21" t="s">
        <v>8</v>
      </c>
      <c r="AT27" s="21" t="s">
        <v>8</v>
      </c>
      <c r="AU27" s="61" t="s">
        <v>695</v>
      </c>
      <c r="AV27" s="28"/>
      <c r="AW27" s="21" t="e">
        <v>#REF!</v>
      </c>
      <c r="AX27" s="21"/>
      <c r="AY27" s="21"/>
      <c r="AZ27" s="133" t="s">
        <v>769</v>
      </c>
      <c r="BA27" s="143" t="s">
        <v>698</v>
      </c>
    </row>
  </sheetData>
  <mergeCells count="26">
    <mergeCell ref="F3:F4"/>
    <mergeCell ref="A3:A4"/>
    <mergeCell ref="B3:B4"/>
    <mergeCell ref="C3:C4"/>
    <mergeCell ref="D3:D4"/>
    <mergeCell ref="E3:E4"/>
    <mergeCell ref="AO3:AO4"/>
    <mergeCell ref="G3:G4"/>
    <mergeCell ref="H3:H4"/>
    <mergeCell ref="I3:I4"/>
    <mergeCell ref="J3:J4"/>
    <mergeCell ref="K3:K4"/>
    <mergeCell ref="AI3:AI4"/>
    <mergeCell ref="AJ3:AJ4"/>
    <mergeCell ref="AK3:AK4"/>
    <mergeCell ref="AL3:AL4"/>
    <mergeCell ref="AM3:AM4"/>
    <mergeCell ref="AN3:AN4"/>
    <mergeCell ref="AV3:AV4"/>
    <mergeCell ref="AW3:AX4"/>
    <mergeCell ref="AP3:AP4"/>
    <mergeCell ref="AQ3:AQ4"/>
    <mergeCell ref="AR3:AR4"/>
    <mergeCell ref="AS3:AS4"/>
    <mergeCell ref="AT3:AT4"/>
    <mergeCell ref="AU3:AU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048571"/>
  <sheetViews>
    <sheetView view="pageBreakPreview" topLeftCell="B13" zoomScale="40" zoomScaleNormal="40" zoomScaleSheetLayoutView="40" workbookViewId="0">
      <selection activeCell="AY13" sqref="AY13"/>
    </sheetView>
  </sheetViews>
  <sheetFormatPr defaultColWidth="4.6640625" defaultRowHeight="25.8"/>
  <cols>
    <col min="1" max="1" width="13.109375" style="36" customWidth="1"/>
    <col min="2" max="2" width="10.5546875" style="51" customWidth="1"/>
    <col min="3" max="3" width="29.5546875" style="36" customWidth="1"/>
    <col min="4" max="4" width="57.33203125" style="36" hidden="1" customWidth="1"/>
    <col min="5" max="5" width="17.6640625" style="68" customWidth="1"/>
    <col min="6" max="6" width="20.44140625" style="36" bestFit="1" customWidth="1"/>
    <col min="7" max="7" width="28" style="39" hidden="1" customWidth="1"/>
    <col min="8" max="8" width="100.88671875" style="36" bestFit="1" customWidth="1"/>
    <col min="9" max="9" width="33" style="36" customWidth="1"/>
    <col min="10" max="10" width="40.109375" style="37" bestFit="1" customWidth="1"/>
    <col min="11" max="11" width="34.44140625" style="36" bestFit="1" customWidth="1"/>
    <col min="12" max="13" width="21.33203125" style="38" bestFit="1" customWidth="1"/>
    <col min="14" max="15" width="52.6640625" style="11" hidden="1" customWidth="1"/>
    <col min="16" max="18" width="20.33203125" style="38" hidden="1" customWidth="1"/>
    <col min="19" max="20" width="25.44140625" style="36" hidden="1" customWidth="1"/>
    <col min="21" max="22" width="24.88671875" style="36" hidden="1" customWidth="1"/>
    <col min="23" max="28" width="23.44140625" style="36" hidden="1" customWidth="1"/>
    <col min="29" max="29" width="26.33203125" style="36" hidden="1" customWidth="1"/>
    <col min="30" max="30" width="40.33203125" style="36" hidden="1" customWidth="1"/>
    <col min="31" max="32" width="25.6640625" style="36" hidden="1" customWidth="1"/>
    <col min="33" max="34" width="23.44140625" style="36" hidden="1" customWidth="1"/>
    <col min="35" max="35" width="20.6640625" style="36" hidden="1" customWidth="1"/>
    <col min="36" max="36" width="21.33203125" style="36" hidden="1" customWidth="1"/>
    <col min="37" max="37" width="26.33203125" style="36" hidden="1" customWidth="1"/>
    <col min="38" max="38" width="41.33203125" style="36" hidden="1" customWidth="1"/>
    <col min="39" max="39" width="30.44140625" style="36" hidden="1" customWidth="1"/>
    <col min="40" max="40" width="38" style="36" hidden="1" customWidth="1"/>
    <col min="41" max="41" width="27.33203125" style="36" hidden="1" customWidth="1"/>
    <col min="42" max="42" width="47.33203125" style="36" hidden="1" customWidth="1"/>
    <col min="43" max="44" width="18" style="36" hidden="1" customWidth="1"/>
    <col min="45" max="45" width="22.88671875" style="36" hidden="1" customWidth="1"/>
    <col min="46" max="46" width="23.6640625" style="36" hidden="1" customWidth="1"/>
    <col min="47" max="47" width="22.88671875" style="36" hidden="1" customWidth="1"/>
    <col min="48" max="48" width="24.88671875" style="51" hidden="1" customWidth="1"/>
    <col min="49" max="49" width="57.6640625" style="36" hidden="1" customWidth="1"/>
    <col min="50" max="50" width="60.109375" style="36" hidden="1" customWidth="1"/>
    <col min="51" max="51" width="143.6640625" style="51" customWidth="1"/>
    <col min="52" max="16384" width="4.6640625" style="36"/>
  </cols>
  <sheetData>
    <row r="1" spans="1:51" s="122" customFormat="1" ht="46.2">
      <c r="A1" s="188" t="s">
        <v>63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</row>
    <row r="2" spans="1:51" s="122" customFormat="1">
      <c r="B2" s="124"/>
      <c r="C2" s="125"/>
      <c r="D2" s="125"/>
      <c r="E2" s="124"/>
      <c r="F2" s="125"/>
      <c r="G2" s="125"/>
      <c r="H2" s="125"/>
      <c r="I2" s="125"/>
      <c r="J2" s="126"/>
      <c r="K2" s="125"/>
      <c r="L2" s="127"/>
      <c r="M2" s="127"/>
      <c r="N2" s="128"/>
      <c r="O2" s="128"/>
      <c r="P2" s="127"/>
      <c r="Q2" s="127"/>
      <c r="R2" s="127"/>
      <c r="AV2" s="123"/>
      <c r="AW2" s="125"/>
      <c r="AX2" s="125"/>
      <c r="AY2" s="123"/>
    </row>
    <row r="3" spans="1:51" s="14" customFormat="1" ht="28.5" customHeight="1">
      <c r="A3" s="182" t="s">
        <v>247</v>
      </c>
      <c r="B3" s="182" t="s">
        <v>38</v>
      </c>
      <c r="C3" s="182" t="s">
        <v>40</v>
      </c>
      <c r="D3" s="184" t="s">
        <v>41</v>
      </c>
      <c r="E3" s="182" t="s">
        <v>89</v>
      </c>
      <c r="F3" s="182" t="s">
        <v>72</v>
      </c>
      <c r="G3" s="182" t="s">
        <v>42</v>
      </c>
      <c r="H3" s="182" t="s">
        <v>39</v>
      </c>
      <c r="I3" s="182" t="s">
        <v>73</v>
      </c>
      <c r="J3" s="182" t="s">
        <v>64</v>
      </c>
      <c r="K3" s="182" t="s">
        <v>65</v>
      </c>
      <c r="L3" s="83" t="s">
        <v>77</v>
      </c>
      <c r="M3" s="83" t="s">
        <v>78</v>
      </c>
      <c r="N3" s="80" t="s">
        <v>48</v>
      </c>
      <c r="O3" s="80" t="s">
        <v>48</v>
      </c>
      <c r="P3" s="83" t="s">
        <v>67</v>
      </c>
      <c r="Q3" s="83" t="s">
        <v>68</v>
      </c>
      <c r="R3" s="83" t="s">
        <v>69</v>
      </c>
      <c r="S3" s="83" t="s">
        <v>70</v>
      </c>
      <c r="T3" s="83" t="s">
        <v>70</v>
      </c>
      <c r="U3" s="83" t="s">
        <v>80</v>
      </c>
      <c r="V3" s="83" t="s">
        <v>80</v>
      </c>
      <c r="W3" s="83" t="s">
        <v>81</v>
      </c>
      <c r="X3" s="83" t="s">
        <v>81</v>
      </c>
      <c r="Y3" s="83" t="s">
        <v>82</v>
      </c>
      <c r="Z3" s="83" t="s">
        <v>82</v>
      </c>
      <c r="AA3" s="83" t="s">
        <v>84</v>
      </c>
      <c r="AB3" s="83" t="s">
        <v>84</v>
      </c>
      <c r="AC3" s="83" t="s">
        <v>83</v>
      </c>
      <c r="AD3" s="83" t="s">
        <v>83</v>
      </c>
      <c r="AE3" s="83" t="s">
        <v>74</v>
      </c>
      <c r="AF3" s="83" t="s">
        <v>74</v>
      </c>
      <c r="AG3" s="83" t="s">
        <v>85</v>
      </c>
      <c r="AH3" s="83" t="s">
        <v>85</v>
      </c>
      <c r="AI3" s="182" t="s">
        <v>92</v>
      </c>
      <c r="AJ3" s="182" t="s">
        <v>53</v>
      </c>
      <c r="AK3" s="182" t="s">
        <v>90</v>
      </c>
      <c r="AL3" s="182" t="s">
        <v>71</v>
      </c>
      <c r="AM3" s="182" t="s">
        <v>54</v>
      </c>
      <c r="AN3" s="182" t="s">
        <v>88</v>
      </c>
      <c r="AO3" s="182" t="s">
        <v>91</v>
      </c>
      <c r="AP3" s="182" t="s">
        <v>95</v>
      </c>
      <c r="AQ3" s="182" t="s">
        <v>56</v>
      </c>
      <c r="AR3" s="182" t="s">
        <v>57</v>
      </c>
      <c r="AS3" s="182" t="s">
        <v>58</v>
      </c>
      <c r="AT3" s="182" t="s">
        <v>59</v>
      </c>
      <c r="AU3" s="182" t="s">
        <v>60</v>
      </c>
      <c r="AV3" s="182" t="s">
        <v>61</v>
      </c>
      <c r="AW3" s="184" t="s">
        <v>41</v>
      </c>
      <c r="AX3" s="186"/>
      <c r="AY3" s="182" t="s">
        <v>424</v>
      </c>
    </row>
    <row r="4" spans="1:51" s="14" customFormat="1" ht="28.5" customHeight="1">
      <c r="A4" s="183"/>
      <c r="B4" s="183"/>
      <c r="C4" s="183"/>
      <c r="D4" s="185"/>
      <c r="E4" s="183"/>
      <c r="F4" s="183"/>
      <c r="G4" s="183"/>
      <c r="H4" s="183"/>
      <c r="I4" s="183"/>
      <c r="J4" s="183"/>
      <c r="K4" s="183"/>
      <c r="L4" s="83" t="s">
        <v>44</v>
      </c>
      <c r="M4" s="83" t="s">
        <v>66</v>
      </c>
      <c r="N4" s="81" t="s">
        <v>49</v>
      </c>
      <c r="O4" s="81" t="s">
        <v>45</v>
      </c>
      <c r="P4" s="83" t="s">
        <v>55</v>
      </c>
      <c r="Q4" s="83" t="s">
        <v>55</v>
      </c>
      <c r="R4" s="83" t="s">
        <v>55</v>
      </c>
      <c r="S4" s="83" t="s">
        <v>51</v>
      </c>
      <c r="T4" s="83" t="s">
        <v>52</v>
      </c>
      <c r="U4" s="83" t="s">
        <v>51</v>
      </c>
      <c r="V4" s="83" t="s">
        <v>52</v>
      </c>
      <c r="W4" s="83" t="s">
        <v>51</v>
      </c>
      <c r="X4" s="83" t="s">
        <v>52</v>
      </c>
      <c r="Y4" s="83" t="s">
        <v>51</v>
      </c>
      <c r="Z4" s="83" t="s">
        <v>52</v>
      </c>
      <c r="AA4" s="83" t="s">
        <v>51</v>
      </c>
      <c r="AB4" s="83" t="s">
        <v>52</v>
      </c>
      <c r="AC4" s="83" t="s">
        <v>51</v>
      </c>
      <c r="AD4" s="83" t="s">
        <v>52</v>
      </c>
      <c r="AE4" s="83" t="s">
        <v>51</v>
      </c>
      <c r="AF4" s="83" t="s">
        <v>52</v>
      </c>
      <c r="AG4" s="83" t="s">
        <v>51</v>
      </c>
      <c r="AH4" s="83" t="s">
        <v>52</v>
      </c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5"/>
      <c r="AX4" s="187"/>
      <c r="AY4" s="189"/>
    </row>
    <row r="5" spans="1:51" s="14" customFormat="1">
      <c r="A5" s="82"/>
      <c r="B5" s="83"/>
      <c r="C5" s="83"/>
      <c r="D5" s="84" t="s">
        <v>372</v>
      </c>
      <c r="E5" s="83"/>
      <c r="F5" s="83"/>
      <c r="G5" s="83"/>
      <c r="H5" s="83"/>
      <c r="I5" s="83"/>
      <c r="J5" s="83" t="s">
        <v>76</v>
      </c>
      <c r="K5" s="83" t="s">
        <v>75</v>
      </c>
      <c r="L5" s="83" t="s">
        <v>79</v>
      </c>
      <c r="M5" s="83" t="s">
        <v>79</v>
      </c>
      <c r="N5" s="81"/>
      <c r="O5" s="81"/>
      <c r="P5" s="83" t="s">
        <v>43</v>
      </c>
      <c r="Q5" s="83" t="s">
        <v>43</v>
      </c>
      <c r="R5" s="83" t="s">
        <v>43</v>
      </c>
      <c r="S5" s="83" t="s">
        <v>50</v>
      </c>
      <c r="T5" s="83" t="s">
        <v>50</v>
      </c>
      <c r="U5" s="83" t="s">
        <v>545</v>
      </c>
      <c r="V5" s="83" t="s">
        <v>545</v>
      </c>
      <c r="W5" s="83" t="s">
        <v>545</v>
      </c>
      <c r="X5" s="83" t="s">
        <v>545</v>
      </c>
      <c r="Y5" s="83" t="s">
        <v>545</v>
      </c>
      <c r="Z5" s="83" t="s">
        <v>545</v>
      </c>
      <c r="AA5" s="83" t="s">
        <v>545</v>
      </c>
      <c r="AB5" s="83" t="s">
        <v>545</v>
      </c>
      <c r="AC5" s="83" t="s">
        <v>545</v>
      </c>
      <c r="AD5" s="83" t="s">
        <v>545</v>
      </c>
      <c r="AE5" s="83" t="s">
        <v>46</v>
      </c>
      <c r="AF5" s="83" t="s">
        <v>46</v>
      </c>
      <c r="AG5" s="83" t="s">
        <v>47</v>
      </c>
      <c r="AH5" s="83" t="s">
        <v>47</v>
      </c>
      <c r="AI5" s="83" t="s">
        <v>93</v>
      </c>
      <c r="AJ5" s="83" t="s">
        <v>50</v>
      </c>
      <c r="AK5" s="83"/>
      <c r="AL5" s="83"/>
      <c r="AM5" s="83"/>
      <c r="AN5" s="83" t="s">
        <v>545</v>
      </c>
      <c r="AO5" s="83" t="s">
        <v>94</v>
      </c>
      <c r="AP5" s="83" t="s">
        <v>94</v>
      </c>
      <c r="AQ5" s="83" t="s">
        <v>50</v>
      </c>
      <c r="AR5" s="83" t="s">
        <v>50</v>
      </c>
      <c r="AS5" s="83" t="s">
        <v>50</v>
      </c>
      <c r="AT5" s="83" t="s">
        <v>50</v>
      </c>
      <c r="AU5" s="83" t="s">
        <v>50</v>
      </c>
      <c r="AV5" s="83" t="s">
        <v>50</v>
      </c>
      <c r="AW5" s="130" t="s">
        <v>373</v>
      </c>
      <c r="AX5" s="130" t="s">
        <v>374</v>
      </c>
      <c r="AY5" s="183"/>
    </row>
    <row r="6" spans="1:51" s="19" customFormat="1" ht="28.5" customHeight="1">
      <c r="A6" s="82">
        <v>1</v>
      </c>
      <c r="B6" s="83">
        <v>2</v>
      </c>
      <c r="C6" s="83">
        <v>3</v>
      </c>
      <c r="D6" s="83">
        <v>4</v>
      </c>
      <c r="E6" s="83">
        <v>5</v>
      </c>
      <c r="F6" s="83">
        <v>6</v>
      </c>
      <c r="G6" s="83">
        <v>7</v>
      </c>
      <c r="H6" s="83">
        <v>8</v>
      </c>
      <c r="I6" s="83">
        <v>9</v>
      </c>
      <c r="J6" s="83">
        <v>10</v>
      </c>
      <c r="K6" s="83">
        <v>11</v>
      </c>
      <c r="L6" s="83">
        <v>12</v>
      </c>
      <c r="M6" s="83">
        <v>13</v>
      </c>
      <c r="N6" s="83">
        <v>14</v>
      </c>
      <c r="O6" s="83">
        <v>15</v>
      </c>
      <c r="P6" s="83">
        <v>16</v>
      </c>
      <c r="Q6" s="83">
        <v>17</v>
      </c>
      <c r="R6" s="83">
        <v>18</v>
      </c>
      <c r="S6" s="83">
        <v>19</v>
      </c>
      <c r="T6" s="83">
        <v>20</v>
      </c>
      <c r="U6" s="83">
        <v>21</v>
      </c>
      <c r="V6" s="83">
        <v>22</v>
      </c>
      <c r="W6" s="83">
        <v>23</v>
      </c>
      <c r="X6" s="83">
        <v>24</v>
      </c>
      <c r="Y6" s="83">
        <v>25</v>
      </c>
      <c r="Z6" s="83">
        <v>26</v>
      </c>
      <c r="AA6" s="83">
        <v>27</v>
      </c>
      <c r="AB6" s="83">
        <v>28</v>
      </c>
      <c r="AC6" s="83">
        <v>29</v>
      </c>
      <c r="AD6" s="83">
        <v>30</v>
      </c>
      <c r="AE6" s="83">
        <v>31</v>
      </c>
      <c r="AF6" s="83">
        <v>32</v>
      </c>
      <c r="AG6" s="83">
        <v>33</v>
      </c>
      <c r="AH6" s="83">
        <v>34</v>
      </c>
      <c r="AI6" s="83">
        <v>35</v>
      </c>
      <c r="AJ6" s="83">
        <v>36</v>
      </c>
      <c r="AK6" s="83">
        <v>37</v>
      </c>
      <c r="AL6" s="83">
        <v>38</v>
      </c>
      <c r="AM6" s="83">
        <v>39</v>
      </c>
      <c r="AN6" s="83">
        <v>40</v>
      </c>
      <c r="AO6" s="83">
        <v>41</v>
      </c>
      <c r="AP6" s="83">
        <v>42</v>
      </c>
      <c r="AQ6" s="83">
        <v>43</v>
      </c>
      <c r="AR6" s="83">
        <v>44</v>
      </c>
      <c r="AS6" s="83">
        <v>45</v>
      </c>
      <c r="AT6" s="83">
        <v>46</v>
      </c>
      <c r="AU6" s="83">
        <v>47</v>
      </c>
      <c r="AV6" s="83">
        <v>48</v>
      </c>
      <c r="AW6" s="83">
        <v>49</v>
      </c>
      <c r="AX6" s="84">
        <v>50</v>
      </c>
      <c r="AY6" s="129">
        <v>51</v>
      </c>
    </row>
    <row r="7" spans="1:51" s="45" customFormat="1" ht="54.75" customHeight="1">
      <c r="A7" s="85" t="str">
        <f t="shared" ref="A7:A60" si="0">CONCATENATE(B7,"-",E7)</f>
        <v>1-0</v>
      </c>
      <c r="B7" s="86">
        <v>1</v>
      </c>
      <c r="C7" s="87" t="s">
        <v>96</v>
      </c>
      <c r="D7" s="86" t="s">
        <v>434</v>
      </c>
      <c r="E7" s="88">
        <v>0</v>
      </c>
      <c r="F7" s="89" t="s">
        <v>123</v>
      </c>
      <c r="G7" s="90" t="s">
        <v>293</v>
      </c>
      <c r="H7" s="89" t="str">
        <f t="shared" ref="H7:H60" si="1">CONCATENATE(I7,"; ",J7,"; ",K7," ")</f>
        <v xml:space="preserve">Hose, Breather; Ø 3.5 mm × 7.5 mm; TSM1649G-1 </v>
      </c>
      <c r="I7" s="89" t="s">
        <v>124</v>
      </c>
      <c r="J7" s="89" t="s">
        <v>125</v>
      </c>
      <c r="K7" s="89" t="s">
        <v>31</v>
      </c>
      <c r="L7" s="87" t="s">
        <v>126</v>
      </c>
      <c r="M7" s="87" t="s">
        <v>127</v>
      </c>
      <c r="N7" s="91" t="s">
        <v>101</v>
      </c>
      <c r="O7" s="91" t="s">
        <v>101</v>
      </c>
      <c r="P7" s="92" t="s">
        <v>128</v>
      </c>
      <c r="Q7" s="93" t="s">
        <v>129</v>
      </c>
      <c r="R7" s="93" t="s">
        <v>143</v>
      </c>
      <c r="S7" s="86" t="s">
        <v>137</v>
      </c>
      <c r="T7" s="86" t="s">
        <v>137</v>
      </c>
      <c r="U7" s="93" t="s">
        <v>144</v>
      </c>
      <c r="V7" s="93" t="s">
        <v>104</v>
      </c>
      <c r="W7" s="93" t="s">
        <v>145</v>
      </c>
      <c r="X7" s="93" t="s">
        <v>118</v>
      </c>
      <c r="Y7" s="93" t="s">
        <v>145</v>
      </c>
      <c r="Z7" s="93" t="s">
        <v>118</v>
      </c>
      <c r="AA7" s="86" t="s">
        <v>8</v>
      </c>
      <c r="AB7" s="86" t="s">
        <v>8</v>
      </c>
      <c r="AC7" s="93" t="s">
        <v>145</v>
      </c>
      <c r="AD7" s="93" t="s">
        <v>118</v>
      </c>
      <c r="AE7" s="86" t="s">
        <v>248</v>
      </c>
      <c r="AF7" s="86" t="s">
        <v>260</v>
      </c>
      <c r="AG7" s="86" t="s">
        <v>262</v>
      </c>
      <c r="AH7" s="86" t="s">
        <v>275</v>
      </c>
      <c r="AI7" s="86"/>
      <c r="AJ7" s="93" t="s">
        <v>130</v>
      </c>
      <c r="AK7" s="86" t="s">
        <v>106</v>
      </c>
      <c r="AL7" s="86" t="s">
        <v>546</v>
      </c>
      <c r="AM7" s="86" t="s">
        <v>131</v>
      </c>
      <c r="AN7" s="86" t="s">
        <v>547</v>
      </c>
      <c r="AO7" s="94" t="s">
        <v>285</v>
      </c>
      <c r="AP7" s="94" t="s">
        <v>285</v>
      </c>
      <c r="AQ7" s="93" t="s">
        <v>110</v>
      </c>
      <c r="AR7" s="93" t="s">
        <v>130</v>
      </c>
      <c r="AS7" s="93" t="s">
        <v>132</v>
      </c>
      <c r="AT7" s="93" t="s">
        <v>290</v>
      </c>
      <c r="AU7" s="93" t="s">
        <v>133</v>
      </c>
      <c r="AV7" s="93" t="s">
        <v>291</v>
      </c>
      <c r="AW7" s="95" t="s">
        <v>471</v>
      </c>
      <c r="AX7" s="95" t="s">
        <v>508</v>
      </c>
      <c r="AY7" s="96"/>
    </row>
    <row r="8" spans="1:51" s="30" customFormat="1" ht="54.75" customHeight="1">
      <c r="A8" s="85" t="str">
        <f t="shared" si="0"/>
        <v>2-0</v>
      </c>
      <c r="B8" s="86">
        <v>2</v>
      </c>
      <c r="C8" s="87" t="s">
        <v>96</v>
      </c>
      <c r="D8" s="86" t="s">
        <v>435</v>
      </c>
      <c r="E8" s="88">
        <v>0</v>
      </c>
      <c r="F8" s="89" t="s">
        <v>123</v>
      </c>
      <c r="G8" s="90" t="s">
        <v>293</v>
      </c>
      <c r="H8" s="89" t="str">
        <f t="shared" si="1"/>
        <v xml:space="preserve">Hose, Breather; Ø 3.5 mm × 7.5 mm; TSM1649G-1 </v>
      </c>
      <c r="I8" s="89" t="s">
        <v>124</v>
      </c>
      <c r="J8" s="89" t="s">
        <v>125</v>
      </c>
      <c r="K8" s="89" t="s">
        <v>31</v>
      </c>
      <c r="L8" s="87" t="s">
        <v>126</v>
      </c>
      <c r="M8" s="87" t="s">
        <v>127</v>
      </c>
      <c r="N8" s="91" t="s">
        <v>101</v>
      </c>
      <c r="O8" s="91" t="s">
        <v>101</v>
      </c>
      <c r="P8" s="92" t="s">
        <v>128</v>
      </c>
      <c r="Q8" s="93" t="s">
        <v>129</v>
      </c>
      <c r="R8" s="93" t="s">
        <v>143</v>
      </c>
      <c r="S8" s="86" t="s">
        <v>137</v>
      </c>
      <c r="T8" s="86" t="s">
        <v>137</v>
      </c>
      <c r="U8" s="93" t="s">
        <v>104</v>
      </c>
      <c r="V8" s="93" t="s">
        <v>104</v>
      </c>
      <c r="W8" s="93" t="s">
        <v>118</v>
      </c>
      <c r="X8" s="93" t="s">
        <v>118</v>
      </c>
      <c r="Y8" s="93" t="s">
        <v>118</v>
      </c>
      <c r="Z8" s="93" t="s">
        <v>118</v>
      </c>
      <c r="AA8" s="86" t="s">
        <v>8</v>
      </c>
      <c r="AB8" s="86" t="s">
        <v>8</v>
      </c>
      <c r="AC8" s="93" t="s">
        <v>118</v>
      </c>
      <c r="AD8" s="93" t="s">
        <v>118</v>
      </c>
      <c r="AE8" s="86" t="s">
        <v>248</v>
      </c>
      <c r="AF8" s="86" t="s">
        <v>260</v>
      </c>
      <c r="AG8" s="86" t="s">
        <v>262</v>
      </c>
      <c r="AH8" s="86" t="s">
        <v>275</v>
      </c>
      <c r="AI8" s="86"/>
      <c r="AJ8" s="93" t="s">
        <v>130</v>
      </c>
      <c r="AK8" s="86" t="s">
        <v>106</v>
      </c>
      <c r="AL8" s="86" t="s">
        <v>546</v>
      </c>
      <c r="AM8" s="86" t="s">
        <v>131</v>
      </c>
      <c r="AN8" s="86" t="s">
        <v>547</v>
      </c>
      <c r="AO8" s="94" t="s">
        <v>285</v>
      </c>
      <c r="AP8" s="94" t="s">
        <v>285</v>
      </c>
      <c r="AQ8" s="93" t="s">
        <v>110</v>
      </c>
      <c r="AR8" s="93" t="s">
        <v>130</v>
      </c>
      <c r="AS8" s="93" t="s">
        <v>132</v>
      </c>
      <c r="AT8" s="93" t="s">
        <v>290</v>
      </c>
      <c r="AU8" s="93" t="s">
        <v>133</v>
      </c>
      <c r="AV8" s="93" t="s">
        <v>291</v>
      </c>
      <c r="AW8" s="95" t="s">
        <v>472</v>
      </c>
      <c r="AX8" s="95" t="s">
        <v>509</v>
      </c>
      <c r="AY8" s="96"/>
    </row>
    <row r="9" spans="1:51" s="45" customFormat="1" ht="54.75" customHeight="1">
      <c r="A9" s="85" t="str">
        <f t="shared" si="0"/>
        <v>3-0</v>
      </c>
      <c r="B9" s="86">
        <v>3</v>
      </c>
      <c r="C9" s="87" t="s">
        <v>96</v>
      </c>
      <c r="D9" s="86" t="s">
        <v>436</v>
      </c>
      <c r="E9" s="88">
        <v>0</v>
      </c>
      <c r="F9" s="89" t="s">
        <v>123</v>
      </c>
      <c r="G9" s="90" t="s">
        <v>293</v>
      </c>
      <c r="H9" s="89" t="str">
        <f t="shared" si="1"/>
        <v xml:space="preserve">Hose, Breather; Ø 3.5 mm × 7.5 mm; TSM1649G-1 </v>
      </c>
      <c r="I9" s="89" t="s">
        <v>124</v>
      </c>
      <c r="J9" s="89" t="s">
        <v>125</v>
      </c>
      <c r="K9" s="89" t="s">
        <v>31</v>
      </c>
      <c r="L9" s="87" t="s">
        <v>126</v>
      </c>
      <c r="M9" s="87" t="s">
        <v>127</v>
      </c>
      <c r="N9" s="91" t="s">
        <v>101</v>
      </c>
      <c r="O9" s="91" t="s">
        <v>101</v>
      </c>
      <c r="P9" s="92" t="s">
        <v>128</v>
      </c>
      <c r="Q9" s="93" t="s">
        <v>129</v>
      </c>
      <c r="R9" s="93" t="s">
        <v>143</v>
      </c>
      <c r="S9" s="86" t="s">
        <v>137</v>
      </c>
      <c r="T9" s="86" t="s">
        <v>137</v>
      </c>
      <c r="U9" s="93" t="s">
        <v>104</v>
      </c>
      <c r="V9" s="93" t="s">
        <v>104</v>
      </c>
      <c r="W9" s="93" t="s">
        <v>118</v>
      </c>
      <c r="X9" s="93" t="s">
        <v>118</v>
      </c>
      <c r="Y9" s="93" t="s">
        <v>118</v>
      </c>
      <c r="Z9" s="93" t="s">
        <v>118</v>
      </c>
      <c r="AA9" s="86" t="s">
        <v>8</v>
      </c>
      <c r="AB9" s="86" t="s">
        <v>8</v>
      </c>
      <c r="AC9" s="93" t="s">
        <v>118</v>
      </c>
      <c r="AD9" s="93" t="s">
        <v>118</v>
      </c>
      <c r="AE9" s="86" t="s">
        <v>248</v>
      </c>
      <c r="AF9" s="86" t="s">
        <v>260</v>
      </c>
      <c r="AG9" s="86" t="s">
        <v>262</v>
      </c>
      <c r="AH9" s="86" t="s">
        <v>275</v>
      </c>
      <c r="AI9" s="86"/>
      <c r="AJ9" s="93" t="s">
        <v>130</v>
      </c>
      <c r="AK9" s="86" t="s">
        <v>106</v>
      </c>
      <c r="AL9" s="86" t="s">
        <v>546</v>
      </c>
      <c r="AM9" s="86" t="s">
        <v>131</v>
      </c>
      <c r="AN9" s="86" t="s">
        <v>547</v>
      </c>
      <c r="AO9" s="94" t="s">
        <v>285</v>
      </c>
      <c r="AP9" s="94" t="s">
        <v>285</v>
      </c>
      <c r="AQ9" s="93" t="s">
        <v>110</v>
      </c>
      <c r="AR9" s="93" t="s">
        <v>130</v>
      </c>
      <c r="AS9" s="93" t="s">
        <v>132</v>
      </c>
      <c r="AT9" s="93" t="s">
        <v>290</v>
      </c>
      <c r="AU9" s="93" t="s">
        <v>133</v>
      </c>
      <c r="AV9" s="93" t="s">
        <v>291</v>
      </c>
      <c r="AW9" s="95" t="s">
        <v>473</v>
      </c>
      <c r="AX9" s="95" t="s">
        <v>510</v>
      </c>
      <c r="AY9" s="96"/>
    </row>
    <row r="10" spans="1:51" s="30" customFormat="1" ht="54.75" customHeight="1">
      <c r="A10" s="97" t="s">
        <v>406</v>
      </c>
      <c r="B10" s="86">
        <v>4</v>
      </c>
      <c r="C10" s="87" t="s">
        <v>111</v>
      </c>
      <c r="D10" s="86" t="s">
        <v>437</v>
      </c>
      <c r="E10" s="88">
        <v>0</v>
      </c>
      <c r="F10" s="89" t="s">
        <v>123</v>
      </c>
      <c r="G10" s="90" t="s">
        <v>293</v>
      </c>
      <c r="H10" s="89" t="str">
        <f t="shared" si="1"/>
        <v xml:space="preserve">Hose, Breather; Ø 3.5 mm × 7.5 mm; TSM1656G-2 </v>
      </c>
      <c r="I10" s="89" t="s">
        <v>124</v>
      </c>
      <c r="J10" s="89" t="s">
        <v>125</v>
      </c>
      <c r="K10" s="89" t="s">
        <v>9</v>
      </c>
      <c r="L10" s="87" t="s">
        <v>142</v>
      </c>
      <c r="M10" s="87" t="s">
        <v>8</v>
      </c>
      <c r="N10" s="91" t="s">
        <v>101</v>
      </c>
      <c r="O10" s="91" t="s">
        <v>8</v>
      </c>
      <c r="P10" s="92" t="s">
        <v>128</v>
      </c>
      <c r="Q10" s="87" t="s">
        <v>8</v>
      </c>
      <c r="R10" s="93" t="s">
        <v>143</v>
      </c>
      <c r="S10" s="86" t="s">
        <v>137</v>
      </c>
      <c r="T10" s="86" t="s">
        <v>8</v>
      </c>
      <c r="U10" s="93" t="s">
        <v>144</v>
      </c>
      <c r="V10" s="86" t="s">
        <v>8</v>
      </c>
      <c r="W10" s="93" t="s">
        <v>145</v>
      </c>
      <c r="X10" s="86" t="s">
        <v>8</v>
      </c>
      <c r="Y10" s="93" t="s">
        <v>145</v>
      </c>
      <c r="Z10" s="86" t="s">
        <v>8</v>
      </c>
      <c r="AA10" s="86" t="s">
        <v>8</v>
      </c>
      <c r="AB10" s="86" t="s">
        <v>8</v>
      </c>
      <c r="AC10" s="93" t="s">
        <v>145</v>
      </c>
      <c r="AD10" s="86" t="s">
        <v>8</v>
      </c>
      <c r="AE10" s="86" t="s">
        <v>248</v>
      </c>
      <c r="AF10" s="86" t="s">
        <v>8</v>
      </c>
      <c r="AG10" s="86" t="s">
        <v>262</v>
      </c>
      <c r="AH10" s="86" t="s">
        <v>8</v>
      </c>
      <c r="AI10" s="86"/>
      <c r="AJ10" s="93" t="s">
        <v>130</v>
      </c>
      <c r="AK10" s="86" t="s">
        <v>8</v>
      </c>
      <c r="AL10" s="86" t="s">
        <v>8</v>
      </c>
      <c r="AM10" s="86" t="s">
        <v>8</v>
      </c>
      <c r="AN10" s="86" t="s">
        <v>547</v>
      </c>
      <c r="AO10" s="94" t="s">
        <v>285</v>
      </c>
      <c r="AP10" s="94" t="s">
        <v>285</v>
      </c>
      <c r="AQ10" s="93" t="s">
        <v>110</v>
      </c>
      <c r="AR10" s="93" t="s">
        <v>130</v>
      </c>
      <c r="AS10" s="86" t="s">
        <v>8</v>
      </c>
      <c r="AT10" s="86" t="s">
        <v>8</v>
      </c>
      <c r="AU10" s="93" t="s">
        <v>133</v>
      </c>
      <c r="AV10" s="93" t="s">
        <v>291</v>
      </c>
      <c r="AW10" s="95" t="s">
        <v>474</v>
      </c>
      <c r="AX10" s="95" t="s">
        <v>511</v>
      </c>
      <c r="AY10" s="96"/>
    </row>
    <row r="11" spans="1:51" s="30" customFormat="1" ht="54.75" customHeight="1">
      <c r="A11" s="85" t="str">
        <f t="shared" si="0"/>
        <v>5-0</v>
      </c>
      <c r="B11" s="86">
        <v>5</v>
      </c>
      <c r="C11" s="87" t="s">
        <v>96</v>
      </c>
      <c r="D11" s="86" t="s">
        <v>438</v>
      </c>
      <c r="E11" s="88">
        <v>0</v>
      </c>
      <c r="F11" s="89" t="s">
        <v>164</v>
      </c>
      <c r="G11" s="90" t="s">
        <v>293</v>
      </c>
      <c r="H11" s="89" t="str">
        <f t="shared" si="1"/>
        <v xml:space="preserve">Hose, Vacuum; Ø 3.5 mm × 7.5 mm; - </v>
      </c>
      <c r="I11" s="89" t="s">
        <v>165</v>
      </c>
      <c r="J11" s="89" t="s">
        <v>125</v>
      </c>
      <c r="K11" s="87" t="s">
        <v>8</v>
      </c>
      <c r="L11" s="87" t="s">
        <v>166</v>
      </c>
      <c r="M11" s="87" t="s">
        <v>100</v>
      </c>
      <c r="N11" s="91" t="s">
        <v>101</v>
      </c>
      <c r="O11" s="91" t="s">
        <v>101</v>
      </c>
      <c r="P11" s="92" t="s">
        <v>128</v>
      </c>
      <c r="Q11" s="93" t="s">
        <v>129</v>
      </c>
      <c r="R11" s="93" t="s">
        <v>167</v>
      </c>
      <c r="S11" s="86" t="s">
        <v>137</v>
      </c>
      <c r="T11" s="86" t="s">
        <v>137</v>
      </c>
      <c r="U11" s="93" t="s">
        <v>103</v>
      </c>
      <c r="V11" s="93" t="s">
        <v>103</v>
      </c>
      <c r="W11" s="93" t="s">
        <v>104</v>
      </c>
      <c r="X11" s="93" t="s">
        <v>118</v>
      </c>
      <c r="Y11" s="93" t="s">
        <v>168</v>
      </c>
      <c r="Z11" s="93" t="s">
        <v>118</v>
      </c>
      <c r="AA11" s="93" t="s">
        <v>104</v>
      </c>
      <c r="AB11" s="86" t="s">
        <v>8</v>
      </c>
      <c r="AC11" s="93" t="s">
        <v>104</v>
      </c>
      <c r="AD11" s="93" t="s">
        <v>118</v>
      </c>
      <c r="AE11" s="86" t="s">
        <v>548</v>
      </c>
      <c r="AF11" s="86" t="s">
        <v>278</v>
      </c>
      <c r="AG11" s="86" t="s">
        <v>263</v>
      </c>
      <c r="AH11" s="86" t="s">
        <v>281</v>
      </c>
      <c r="AI11" s="86"/>
      <c r="AJ11" s="93" t="s">
        <v>130</v>
      </c>
      <c r="AK11" s="86" t="s">
        <v>106</v>
      </c>
      <c r="AL11" s="86" t="s">
        <v>549</v>
      </c>
      <c r="AM11" s="86" t="s">
        <v>131</v>
      </c>
      <c r="AN11" s="86" t="s">
        <v>547</v>
      </c>
      <c r="AO11" s="94" t="s">
        <v>285</v>
      </c>
      <c r="AP11" s="94" t="s">
        <v>285</v>
      </c>
      <c r="AQ11" s="93" t="s">
        <v>110</v>
      </c>
      <c r="AR11" s="93" t="s">
        <v>130</v>
      </c>
      <c r="AS11" s="93" t="s">
        <v>169</v>
      </c>
      <c r="AT11" s="93" t="s">
        <v>290</v>
      </c>
      <c r="AU11" s="93" t="s">
        <v>133</v>
      </c>
      <c r="AV11" s="93" t="s">
        <v>291</v>
      </c>
      <c r="AW11" s="95" t="s">
        <v>475</v>
      </c>
      <c r="AX11" s="95" t="s">
        <v>512</v>
      </c>
      <c r="AY11" s="96"/>
    </row>
    <row r="12" spans="1:51" s="30" customFormat="1" ht="54.75" customHeight="1">
      <c r="A12" s="85" t="str">
        <f t="shared" si="0"/>
        <v>6-0</v>
      </c>
      <c r="B12" s="86">
        <v>6</v>
      </c>
      <c r="C12" s="87" t="s">
        <v>96</v>
      </c>
      <c r="D12" s="86" t="s">
        <v>439</v>
      </c>
      <c r="E12" s="88">
        <v>0</v>
      </c>
      <c r="F12" s="89" t="s">
        <v>123</v>
      </c>
      <c r="G12" s="90" t="s">
        <v>293</v>
      </c>
      <c r="H12" s="89" t="str">
        <f t="shared" si="1"/>
        <v xml:space="preserve">Hose, Fuel; Ø 5.4 mm × 10.4 mm; TSM1651G-2 </v>
      </c>
      <c r="I12" s="89" t="s">
        <v>86</v>
      </c>
      <c r="J12" s="89" t="s">
        <v>159</v>
      </c>
      <c r="K12" s="98" t="s">
        <v>22</v>
      </c>
      <c r="L12" s="87" t="s">
        <v>146</v>
      </c>
      <c r="M12" s="87" t="s">
        <v>127</v>
      </c>
      <c r="N12" s="91" t="s">
        <v>101</v>
      </c>
      <c r="O12" s="91" t="s">
        <v>101</v>
      </c>
      <c r="P12" s="92" t="s">
        <v>160</v>
      </c>
      <c r="Q12" s="87" t="s">
        <v>550</v>
      </c>
      <c r="R12" s="93" t="s">
        <v>161</v>
      </c>
      <c r="S12" s="86" t="s">
        <v>137</v>
      </c>
      <c r="T12" s="86" t="s">
        <v>137</v>
      </c>
      <c r="U12" s="93" t="s">
        <v>104</v>
      </c>
      <c r="V12" s="93" t="s">
        <v>104</v>
      </c>
      <c r="W12" s="93" t="s">
        <v>118</v>
      </c>
      <c r="X12" s="93" t="s">
        <v>118</v>
      </c>
      <c r="Y12" s="93" t="s">
        <v>118</v>
      </c>
      <c r="Z12" s="93" t="s">
        <v>118</v>
      </c>
      <c r="AA12" s="86" t="s">
        <v>8</v>
      </c>
      <c r="AB12" s="86" t="s">
        <v>8</v>
      </c>
      <c r="AC12" s="93" t="s">
        <v>118</v>
      </c>
      <c r="AD12" s="93" t="s">
        <v>118</v>
      </c>
      <c r="AE12" s="86" t="s">
        <v>383</v>
      </c>
      <c r="AF12" s="86" t="s">
        <v>384</v>
      </c>
      <c r="AG12" s="86" t="s">
        <v>262</v>
      </c>
      <c r="AH12" s="86" t="s">
        <v>275</v>
      </c>
      <c r="AI12" s="86"/>
      <c r="AJ12" s="93" t="s">
        <v>162</v>
      </c>
      <c r="AK12" s="86" t="s">
        <v>106</v>
      </c>
      <c r="AL12" s="86" t="s">
        <v>551</v>
      </c>
      <c r="AM12" s="86" t="s">
        <v>62</v>
      </c>
      <c r="AN12" s="86" t="s">
        <v>547</v>
      </c>
      <c r="AO12" s="94" t="s">
        <v>285</v>
      </c>
      <c r="AP12" s="94" t="s">
        <v>285</v>
      </c>
      <c r="AQ12" s="93" t="s">
        <v>163</v>
      </c>
      <c r="AR12" s="93" t="s">
        <v>162</v>
      </c>
      <c r="AS12" s="93" t="s">
        <v>151</v>
      </c>
      <c r="AT12" s="93" t="s">
        <v>290</v>
      </c>
      <c r="AU12" s="93" t="s">
        <v>152</v>
      </c>
      <c r="AV12" s="93" t="s">
        <v>291</v>
      </c>
      <c r="AW12" s="95" t="s">
        <v>476</v>
      </c>
      <c r="AX12" s="95" t="s">
        <v>513</v>
      </c>
      <c r="AY12" s="96"/>
    </row>
    <row r="13" spans="1:51" s="45" customFormat="1" ht="54.75" customHeight="1">
      <c r="A13" s="85" t="str">
        <f t="shared" si="0"/>
        <v>7-0</v>
      </c>
      <c r="B13" s="86">
        <v>7</v>
      </c>
      <c r="C13" s="87" t="s">
        <v>96</v>
      </c>
      <c r="D13" s="86" t="s">
        <v>440</v>
      </c>
      <c r="E13" s="88">
        <v>0</v>
      </c>
      <c r="F13" s="89" t="s">
        <v>123</v>
      </c>
      <c r="G13" s="90" t="s">
        <v>98</v>
      </c>
      <c r="H13" s="89" t="str">
        <f t="shared" si="1"/>
        <v xml:space="preserve">Hose, Fuel; Ø 5.4 mm × 10.4 mm; TSM1651G-2 </v>
      </c>
      <c r="I13" s="89" t="s">
        <v>86</v>
      </c>
      <c r="J13" s="89" t="s">
        <v>159</v>
      </c>
      <c r="K13" s="98" t="s">
        <v>22</v>
      </c>
      <c r="L13" s="87" t="s">
        <v>146</v>
      </c>
      <c r="M13" s="87" t="s">
        <v>127</v>
      </c>
      <c r="N13" s="91" t="s">
        <v>101</v>
      </c>
      <c r="O13" s="91" t="s">
        <v>101</v>
      </c>
      <c r="P13" s="92" t="s">
        <v>160</v>
      </c>
      <c r="Q13" s="87" t="s">
        <v>550</v>
      </c>
      <c r="R13" s="93" t="s">
        <v>161</v>
      </c>
      <c r="S13" s="86" t="s">
        <v>137</v>
      </c>
      <c r="T13" s="86" t="s">
        <v>137</v>
      </c>
      <c r="U13" s="93" t="s">
        <v>104</v>
      </c>
      <c r="V13" s="93" t="s">
        <v>104</v>
      </c>
      <c r="W13" s="93" t="s">
        <v>118</v>
      </c>
      <c r="X13" s="93" t="s">
        <v>118</v>
      </c>
      <c r="Y13" s="93" t="s">
        <v>118</v>
      </c>
      <c r="Z13" s="93" t="s">
        <v>118</v>
      </c>
      <c r="AA13" s="86" t="s">
        <v>8</v>
      </c>
      <c r="AB13" s="86" t="s">
        <v>8</v>
      </c>
      <c r="AC13" s="93" t="s">
        <v>118</v>
      </c>
      <c r="AD13" s="93" t="s">
        <v>118</v>
      </c>
      <c r="AE13" s="86" t="s">
        <v>248</v>
      </c>
      <c r="AF13" s="86" t="s">
        <v>260</v>
      </c>
      <c r="AG13" s="86" t="s">
        <v>262</v>
      </c>
      <c r="AH13" s="86" t="s">
        <v>275</v>
      </c>
      <c r="AI13" s="86"/>
      <c r="AJ13" s="93" t="s">
        <v>162</v>
      </c>
      <c r="AK13" s="86" t="s">
        <v>106</v>
      </c>
      <c r="AL13" s="86" t="s">
        <v>551</v>
      </c>
      <c r="AM13" s="86" t="s">
        <v>62</v>
      </c>
      <c r="AN13" s="86" t="s">
        <v>547</v>
      </c>
      <c r="AO13" s="94" t="s">
        <v>285</v>
      </c>
      <c r="AP13" s="94" t="s">
        <v>285</v>
      </c>
      <c r="AQ13" s="93" t="s">
        <v>163</v>
      </c>
      <c r="AR13" s="93" t="s">
        <v>162</v>
      </c>
      <c r="AS13" s="93" t="s">
        <v>151</v>
      </c>
      <c r="AT13" s="93">
        <v>0.1</v>
      </c>
      <c r="AU13" s="93" t="s">
        <v>152</v>
      </c>
      <c r="AV13" s="93" t="s">
        <v>291</v>
      </c>
      <c r="AW13" s="95" t="s">
        <v>477</v>
      </c>
      <c r="AX13" s="95" t="s">
        <v>514</v>
      </c>
      <c r="AY13" s="96"/>
    </row>
    <row r="14" spans="1:51" s="30" customFormat="1" ht="54.75" customHeight="1">
      <c r="A14" s="85" t="str">
        <f t="shared" si="0"/>
        <v>8-0</v>
      </c>
      <c r="B14" s="86">
        <v>8</v>
      </c>
      <c r="C14" s="87" t="s">
        <v>96</v>
      </c>
      <c r="D14" s="86" t="s">
        <v>441</v>
      </c>
      <c r="E14" s="88">
        <v>0</v>
      </c>
      <c r="F14" s="89" t="s">
        <v>97</v>
      </c>
      <c r="G14" s="90" t="s">
        <v>293</v>
      </c>
      <c r="H14" s="89" t="str">
        <f t="shared" si="1"/>
        <v xml:space="preserve">Hose, Fuel; Ø 5.4 mm × 10.4 mm; DTSM1651G-2 </v>
      </c>
      <c r="I14" s="89" t="s">
        <v>86</v>
      </c>
      <c r="J14" s="89" t="s">
        <v>159</v>
      </c>
      <c r="K14" s="89" t="s">
        <v>87</v>
      </c>
      <c r="L14" s="87" t="s">
        <v>99</v>
      </c>
      <c r="M14" s="87" t="s">
        <v>100</v>
      </c>
      <c r="N14" s="91" t="s">
        <v>101</v>
      </c>
      <c r="O14" s="91" t="s">
        <v>101</v>
      </c>
      <c r="P14" s="92" t="s">
        <v>160</v>
      </c>
      <c r="Q14" s="87" t="s">
        <v>550</v>
      </c>
      <c r="R14" s="93" t="s">
        <v>240</v>
      </c>
      <c r="S14" s="86" t="s">
        <v>182</v>
      </c>
      <c r="T14" s="86" t="s">
        <v>182</v>
      </c>
      <c r="U14" s="93" t="s">
        <v>138</v>
      </c>
      <c r="V14" s="93" t="s">
        <v>103</v>
      </c>
      <c r="W14" s="93" t="s">
        <v>103</v>
      </c>
      <c r="X14" s="93" t="s">
        <v>104</v>
      </c>
      <c r="Y14" s="93" t="s">
        <v>103</v>
      </c>
      <c r="Z14" s="93" t="s">
        <v>104</v>
      </c>
      <c r="AA14" s="86" t="s">
        <v>8</v>
      </c>
      <c r="AB14" s="86" t="s">
        <v>8</v>
      </c>
      <c r="AC14" s="93" t="s">
        <v>103</v>
      </c>
      <c r="AD14" s="93" t="s">
        <v>104</v>
      </c>
      <c r="AE14" s="86" t="s">
        <v>249</v>
      </c>
      <c r="AF14" s="86" t="s">
        <v>279</v>
      </c>
      <c r="AG14" s="86" t="s">
        <v>264</v>
      </c>
      <c r="AH14" s="86" t="s">
        <v>276</v>
      </c>
      <c r="AI14" s="86"/>
      <c r="AJ14" s="93" t="s">
        <v>162</v>
      </c>
      <c r="AK14" s="86" t="s">
        <v>106</v>
      </c>
      <c r="AL14" s="86" t="s">
        <v>551</v>
      </c>
      <c r="AM14" s="86" t="s">
        <v>62</v>
      </c>
      <c r="AN14" s="86" t="s">
        <v>547</v>
      </c>
      <c r="AO14" s="94" t="s">
        <v>285</v>
      </c>
      <c r="AP14" s="94" t="s">
        <v>285</v>
      </c>
      <c r="AQ14" s="93" t="s">
        <v>241</v>
      </c>
      <c r="AR14" s="93" t="s">
        <v>242</v>
      </c>
      <c r="AS14" s="93" t="s">
        <v>151</v>
      </c>
      <c r="AT14" s="93" t="s">
        <v>291</v>
      </c>
      <c r="AU14" s="93" t="s">
        <v>152</v>
      </c>
      <c r="AV14" s="93" t="s">
        <v>291</v>
      </c>
      <c r="AW14" s="95" t="s">
        <v>478</v>
      </c>
      <c r="AX14" s="95" t="s">
        <v>515</v>
      </c>
      <c r="AY14" s="96"/>
    </row>
    <row r="15" spans="1:51" s="45" customFormat="1" ht="54.75" customHeight="1">
      <c r="A15" s="85" t="str">
        <f t="shared" si="0"/>
        <v>9-0</v>
      </c>
      <c r="B15" s="86">
        <v>9</v>
      </c>
      <c r="C15" s="87" t="s">
        <v>96</v>
      </c>
      <c r="D15" s="86" t="s">
        <v>442</v>
      </c>
      <c r="E15" s="88">
        <v>0</v>
      </c>
      <c r="F15" s="89" t="s">
        <v>123</v>
      </c>
      <c r="G15" s="90" t="s">
        <v>98</v>
      </c>
      <c r="H15" s="89" t="str">
        <f t="shared" si="1"/>
        <v xml:space="preserve">Hose, Fuel; Ø 7 mm × 12 mm; TSM1651G-2 </v>
      </c>
      <c r="I15" s="89" t="s">
        <v>86</v>
      </c>
      <c r="J15" s="89" t="s">
        <v>148</v>
      </c>
      <c r="K15" s="89" t="s">
        <v>22</v>
      </c>
      <c r="L15" s="87" t="s">
        <v>146</v>
      </c>
      <c r="M15" s="87" t="s">
        <v>127</v>
      </c>
      <c r="N15" s="91" t="s">
        <v>101</v>
      </c>
      <c r="O15" s="91" t="s">
        <v>101</v>
      </c>
      <c r="P15" s="92" t="s">
        <v>102</v>
      </c>
      <c r="Q15" s="87" t="s">
        <v>550</v>
      </c>
      <c r="R15" s="93" t="s">
        <v>149</v>
      </c>
      <c r="S15" s="86" t="s">
        <v>137</v>
      </c>
      <c r="T15" s="86" t="s">
        <v>137</v>
      </c>
      <c r="U15" s="93" t="s">
        <v>104</v>
      </c>
      <c r="V15" s="93" t="s">
        <v>104</v>
      </c>
      <c r="W15" s="93" t="s">
        <v>118</v>
      </c>
      <c r="X15" s="93" t="s">
        <v>118</v>
      </c>
      <c r="Y15" s="93" t="s">
        <v>118</v>
      </c>
      <c r="Z15" s="93" t="s">
        <v>118</v>
      </c>
      <c r="AA15" s="86" t="s">
        <v>8</v>
      </c>
      <c r="AB15" s="86" t="s">
        <v>8</v>
      </c>
      <c r="AC15" s="93" t="s">
        <v>118</v>
      </c>
      <c r="AD15" s="93" t="s">
        <v>118</v>
      </c>
      <c r="AE15" s="86" t="s">
        <v>248</v>
      </c>
      <c r="AF15" s="86" t="s">
        <v>260</v>
      </c>
      <c r="AG15" s="86" t="s">
        <v>262</v>
      </c>
      <c r="AH15" s="86" t="s">
        <v>275</v>
      </c>
      <c r="AI15" s="86"/>
      <c r="AJ15" s="93" t="s">
        <v>150</v>
      </c>
      <c r="AK15" s="86" t="s">
        <v>106</v>
      </c>
      <c r="AL15" s="86" t="s">
        <v>551</v>
      </c>
      <c r="AM15" s="86" t="s">
        <v>62</v>
      </c>
      <c r="AN15" s="86" t="s">
        <v>547</v>
      </c>
      <c r="AO15" s="94" t="s">
        <v>285</v>
      </c>
      <c r="AP15" s="94" t="s">
        <v>285</v>
      </c>
      <c r="AQ15" s="93" t="s">
        <v>107</v>
      </c>
      <c r="AR15" s="93" t="s">
        <v>150</v>
      </c>
      <c r="AS15" s="93" t="s">
        <v>151</v>
      </c>
      <c r="AT15" s="93" t="s">
        <v>290</v>
      </c>
      <c r="AU15" s="93" t="s">
        <v>152</v>
      </c>
      <c r="AV15" s="93" t="s">
        <v>291</v>
      </c>
      <c r="AW15" s="95" t="s">
        <v>479</v>
      </c>
      <c r="AX15" s="95" t="s">
        <v>516</v>
      </c>
      <c r="AY15" s="96"/>
    </row>
    <row r="16" spans="1:51" s="30" customFormat="1" ht="54.75" customHeight="1">
      <c r="A16" s="85" t="str">
        <f t="shared" si="0"/>
        <v>10-0</v>
      </c>
      <c r="B16" s="86">
        <v>10</v>
      </c>
      <c r="C16" s="87" t="s">
        <v>96</v>
      </c>
      <c r="D16" s="86" t="s">
        <v>443</v>
      </c>
      <c r="E16" s="88">
        <v>0</v>
      </c>
      <c r="F16" s="89" t="s">
        <v>123</v>
      </c>
      <c r="G16" s="90" t="s">
        <v>293</v>
      </c>
      <c r="H16" s="89" t="str">
        <f t="shared" si="1"/>
        <v xml:space="preserve">Hose, Fuel; Ø 7 mm × 12 mm; TSM1651G-2 </v>
      </c>
      <c r="I16" s="89" t="s">
        <v>86</v>
      </c>
      <c r="J16" s="89" t="s">
        <v>148</v>
      </c>
      <c r="K16" s="89" t="s">
        <v>22</v>
      </c>
      <c r="L16" s="87" t="s">
        <v>146</v>
      </c>
      <c r="M16" s="87" t="s">
        <v>127</v>
      </c>
      <c r="N16" s="91" t="s">
        <v>101</v>
      </c>
      <c r="O16" s="91" t="s">
        <v>101</v>
      </c>
      <c r="P16" s="92" t="s">
        <v>102</v>
      </c>
      <c r="Q16" s="87" t="s">
        <v>550</v>
      </c>
      <c r="R16" s="93" t="s">
        <v>149</v>
      </c>
      <c r="S16" s="86" t="s">
        <v>137</v>
      </c>
      <c r="T16" s="86" t="s">
        <v>137</v>
      </c>
      <c r="U16" s="93" t="s">
        <v>104</v>
      </c>
      <c r="V16" s="93" t="s">
        <v>104</v>
      </c>
      <c r="W16" s="93" t="s">
        <v>118</v>
      </c>
      <c r="X16" s="93" t="s">
        <v>118</v>
      </c>
      <c r="Y16" s="93" t="s">
        <v>118</v>
      </c>
      <c r="Z16" s="93" t="s">
        <v>118</v>
      </c>
      <c r="AA16" s="86" t="s">
        <v>8</v>
      </c>
      <c r="AB16" s="86" t="s">
        <v>8</v>
      </c>
      <c r="AC16" s="93" t="s">
        <v>118</v>
      </c>
      <c r="AD16" s="93" t="s">
        <v>118</v>
      </c>
      <c r="AE16" s="86" t="s">
        <v>248</v>
      </c>
      <c r="AF16" s="86" t="s">
        <v>260</v>
      </c>
      <c r="AG16" s="86" t="s">
        <v>262</v>
      </c>
      <c r="AH16" s="86" t="s">
        <v>275</v>
      </c>
      <c r="AI16" s="86"/>
      <c r="AJ16" s="93" t="s">
        <v>150</v>
      </c>
      <c r="AK16" s="86" t="s">
        <v>106</v>
      </c>
      <c r="AL16" s="86" t="s">
        <v>551</v>
      </c>
      <c r="AM16" s="86" t="s">
        <v>62</v>
      </c>
      <c r="AN16" s="86" t="s">
        <v>547</v>
      </c>
      <c r="AO16" s="94" t="s">
        <v>285</v>
      </c>
      <c r="AP16" s="94" t="s">
        <v>285</v>
      </c>
      <c r="AQ16" s="93" t="s">
        <v>107</v>
      </c>
      <c r="AR16" s="93" t="s">
        <v>150</v>
      </c>
      <c r="AS16" s="93" t="s">
        <v>151</v>
      </c>
      <c r="AT16" s="93" t="s">
        <v>290</v>
      </c>
      <c r="AU16" s="93" t="s">
        <v>152</v>
      </c>
      <c r="AV16" s="93" t="s">
        <v>291</v>
      </c>
      <c r="AW16" s="95" t="s">
        <v>480</v>
      </c>
      <c r="AX16" s="95" t="s">
        <v>517</v>
      </c>
      <c r="AY16" s="96"/>
    </row>
    <row r="17" spans="1:51" s="30" customFormat="1" ht="54.75" customHeight="1">
      <c r="A17" s="85" t="str">
        <f t="shared" si="0"/>
        <v>11-0</v>
      </c>
      <c r="B17" s="86">
        <v>11</v>
      </c>
      <c r="C17" s="87" t="s">
        <v>96</v>
      </c>
      <c r="D17" s="86" t="s">
        <v>444</v>
      </c>
      <c r="E17" s="88">
        <v>0</v>
      </c>
      <c r="F17" s="89" t="s">
        <v>123</v>
      </c>
      <c r="G17" s="90" t="s">
        <v>293</v>
      </c>
      <c r="H17" s="89" t="str">
        <f t="shared" si="1"/>
        <v xml:space="preserve">Hose, Fuel; Ø 7 mm × 14 mm; TSM1651G-2 </v>
      </c>
      <c r="I17" s="89" t="s">
        <v>86</v>
      </c>
      <c r="J17" s="89" t="s">
        <v>114</v>
      </c>
      <c r="K17" s="89" t="s">
        <v>22</v>
      </c>
      <c r="L17" s="87" t="s">
        <v>146</v>
      </c>
      <c r="M17" s="87" t="s">
        <v>127</v>
      </c>
      <c r="N17" s="91" t="s">
        <v>101</v>
      </c>
      <c r="O17" s="91" t="s">
        <v>101</v>
      </c>
      <c r="P17" s="92" t="s">
        <v>102</v>
      </c>
      <c r="Q17" s="87" t="s">
        <v>550</v>
      </c>
      <c r="R17" s="87" t="s">
        <v>552</v>
      </c>
      <c r="S17" s="86" t="s">
        <v>137</v>
      </c>
      <c r="T17" s="86" t="s">
        <v>137</v>
      </c>
      <c r="U17" s="93" t="s">
        <v>104</v>
      </c>
      <c r="V17" s="93" t="s">
        <v>104</v>
      </c>
      <c r="W17" s="93" t="s">
        <v>118</v>
      </c>
      <c r="X17" s="93" t="s">
        <v>118</v>
      </c>
      <c r="Y17" s="93" t="s">
        <v>118</v>
      </c>
      <c r="Z17" s="93" t="s">
        <v>118</v>
      </c>
      <c r="AA17" s="86" t="s">
        <v>8</v>
      </c>
      <c r="AB17" s="86" t="s">
        <v>8</v>
      </c>
      <c r="AC17" s="93" t="s">
        <v>118</v>
      </c>
      <c r="AD17" s="93" t="s">
        <v>118</v>
      </c>
      <c r="AE17" s="86" t="s">
        <v>248</v>
      </c>
      <c r="AF17" s="86" t="s">
        <v>260</v>
      </c>
      <c r="AG17" s="86" t="s">
        <v>262</v>
      </c>
      <c r="AH17" s="86" t="s">
        <v>275</v>
      </c>
      <c r="AI17" s="86"/>
      <c r="AJ17" s="93" t="s">
        <v>105</v>
      </c>
      <c r="AK17" s="86" t="s">
        <v>106</v>
      </c>
      <c r="AL17" s="86" t="s">
        <v>551</v>
      </c>
      <c r="AM17" s="86" t="s">
        <v>62</v>
      </c>
      <c r="AN17" s="86" t="s">
        <v>547</v>
      </c>
      <c r="AO17" s="94" t="s">
        <v>285</v>
      </c>
      <c r="AP17" s="94" t="s">
        <v>285</v>
      </c>
      <c r="AQ17" s="93" t="s">
        <v>107</v>
      </c>
      <c r="AR17" s="93" t="s">
        <v>105</v>
      </c>
      <c r="AS17" s="93" t="s">
        <v>147</v>
      </c>
      <c r="AT17" s="93" t="s">
        <v>290</v>
      </c>
      <c r="AU17" s="93" t="s">
        <v>110</v>
      </c>
      <c r="AV17" s="93" t="s">
        <v>291</v>
      </c>
      <c r="AW17" s="95" t="s">
        <v>481</v>
      </c>
      <c r="AX17" s="95" t="s">
        <v>518</v>
      </c>
      <c r="AY17" s="96"/>
    </row>
    <row r="18" spans="1:51" s="45" customFormat="1" ht="54.75" customHeight="1">
      <c r="A18" s="85" t="str">
        <f t="shared" si="0"/>
        <v>12-0</v>
      </c>
      <c r="B18" s="86">
        <v>12</v>
      </c>
      <c r="C18" s="87" t="s">
        <v>96</v>
      </c>
      <c r="D18" s="86" t="s">
        <v>445</v>
      </c>
      <c r="E18" s="88">
        <v>0</v>
      </c>
      <c r="F18" s="89" t="s">
        <v>123</v>
      </c>
      <c r="G18" s="90" t="s">
        <v>98</v>
      </c>
      <c r="H18" s="89" t="str">
        <f t="shared" si="1"/>
        <v xml:space="preserve">Hose, Fuel; Ø 7 mm × 14 mm; TSM1651G-2 </v>
      </c>
      <c r="I18" s="89" t="s">
        <v>86</v>
      </c>
      <c r="J18" s="89" t="s">
        <v>114</v>
      </c>
      <c r="K18" s="89" t="s">
        <v>22</v>
      </c>
      <c r="L18" s="87" t="s">
        <v>146</v>
      </c>
      <c r="M18" s="87" t="s">
        <v>127</v>
      </c>
      <c r="N18" s="91" t="s">
        <v>101</v>
      </c>
      <c r="O18" s="91" t="s">
        <v>101</v>
      </c>
      <c r="P18" s="92" t="s">
        <v>102</v>
      </c>
      <c r="Q18" s="87" t="s">
        <v>553</v>
      </c>
      <c r="R18" s="87" t="s">
        <v>553</v>
      </c>
      <c r="S18" s="86" t="s">
        <v>137</v>
      </c>
      <c r="T18" s="86" t="s">
        <v>137</v>
      </c>
      <c r="U18" s="93" t="s">
        <v>104</v>
      </c>
      <c r="V18" s="93" t="s">
        <v>104</v>
      </c>
      <c r="W18" s="93" t="s">
        <v>118</v>
      </c>
      <c r="X18" s="93" t="s">
        <v>118</v>
      </c>
      <c r="Y18" s="93" t="s">
        <v>118</v>
      </c>
      <c r="Z18" s="93" t="s">
        <v>118</v>
      </c>
      <c r="AA18" s="86" t="s">
        <v>8</v>
      </c>
      <c r="AB18" s="86" t="s">
        <v>8</v>
      </c>
      <c r="AC18" s="93" t="s">
        <v>118</v>
      </c>
      <c r="AD18" s="93" t="s">
        <v>118</v>
      </c>
      <c r="AE18" s="86" t="s">
        <v>248</v>
      </c>
      <c r="AF18" s="86" t="s">
        <v>260</v>
      </c>
      <c r="AG18" s="86" t="s">
        <v>262</v>
      </c>
      <c r="AH18" s="86" t="s">
        <v>275</v>
      </c>
      <c r="AI18" s="86"/>
      <c r="AJ18" s="93" t="s">
        <v>105</v>
      </c>
      <c r="AK18" s="86" t="s">
        <v>106</v>
      </c>
      <c r="AL18" s="86" t="s">
        <v>551</v>
      </c>
      <c r="AM18" s="86" t="s">
        <v>62</v>
      </c>
      <c r="AN18" s="86" t="s">
        <v>547</v>
      </c>
      <c r="AO18" s="94" t="s">
        <v>285</v>
      </c>
      <c r="AP18" s="94" t="s">
        <v>285</v>
      </c>
      <c r="AQ18" s="93" t="s">
        <v>107</v>
      </c>
      <c r="AR18" s="93" t="s">
        <v>105</v>
      </c>
      <c r="AS18" s="93" t="s">
        <v>147</v>
      </c>
      <c r="AT18" s="93">
        <v>0.1</v>
      </c>
      <c r="AU18" s="93" t="s">
        <v>110</v>
      </c>
      <c r="AV18" s="93" t="s">
        <v>291</v>
      </c>
      <c r="AW18" s="95" t="s">
        <v>482</v>
      </c>
      <c r="AX18" s="95" t="s">
        <v>519</v>
      </c>
      <c r="AY18" s="96"/>
    </row>
    <row r="19" spans="1:51" s="30" customFormat="1" ht="54.75" customHeight="1">
      <c r="A19" s="85" t="str">
        <f t="shared" si="0"/>
        <v>13-0</v>
      </c>
      <c r="B19" s="86">
        <v>13</v>
      </c>
      <c r="C19" s="87" t="s">
        <v>96</v>
      </c>
      <c r="D19" s="86" t="s">
        <v>446</v>
      </c>
      <c r="E19" s="88">
        <v>0</v>
      </c>
      <c r="F19" s="89" t="s">
        <v>97</v>
      </c>
      <c r="G19" s="90" t="s">
        <v>293</v>
      </c>
      <c r="H19" s="89" t="str">
        <f t="shared" si="1"/>
        <v xml:space="preserve">Hose, Fuel; Ø 7 mm × 14 mm; DTSM1651G-2 </v>
      </c>
      <c r="I19" s="89" t="s">
        <v>86</v>
      </c>
      <c r="J19" s="89" t="s">
        <v>114</v>
      </c>
      <c r="K19" s="89" t="s">
        <v>87</v>
      </c>
      <c r="L19" s="87" t="s">
        <v>99</v>
      </c>
      <c r="M19" s="87" t="s">
        <v>100</v>
      </c>
      <c r="N19" s="91" t="s">
        <v>101</v>
      </c>
      <c r="O19" s="91" t="s">
        <v>101</v>
      </c>
      <c r="P19" s="92" t="s">
        <v>102</v>
      </c>
      <c r="Q19" s="87" t="s">
        <v>554</v>
      </c>
      <c r="R19" s="87" t="s">
        <v>553</v>
      </c>
      <c r="S19" s="86" t="s">
        <v>137</v>
      </c>
      <c r="T19" s="86" t="s">
        <v>137</v>
      </c>
      <c r="U19" s="93" t="s">
        <v>103</v>
      </c>
      <c r="V19" s="93" t="s">
        <v>103</v>
      </c>
      <c r="W19" s="93" t="s">
        <v>104</v>
      </c>
      <c r="X19" s="93" t="s">
        <v>104</v>
      </c>
      <c r="Y19" s="93" t="s">
        <v>104</v>
      </c>
      <c r="Z19" s="93" t="s">
        <v>104</v>
      </c>
      <c r="AA19" s="87" t="s">
        <v>8</v>
      </c>
      <c r="AB19" s="87" t="s">
        <v>8</v>
      </c>
      <c r="AC19" s="93" t="s">
        <v>104</v>
      </c>
      <c r="AD19" s="93" t="s">
        <v>104</v>
      </c>
      <c r="AE19" s="86" t="s">
        <v>250</v>
      </c>
      <c r="AF19" s="86" t="s">
        <v>280</v>
      </c>
      <c r="AG19" s="86" t="s">
        <v>265</v>
      </c>
      <c r="AH19" s="86" t="s">
        <v>283</v>
      </c>
      <c r="AI19" s="86"/>
      <c r="AJ19" s="93" t="s">
        <v>105</v>
      </c>
      <c r="AK19" s="86" t="s">
        <v>106</v>
      </c>
      <c r="AL19" s="86" t="s">
        <v>551</v>
      </c>
      <c r="AM19" s="86" t="s">
        <v>62</v>
      </c>
      <c r="AN19" s="86" t="s">
        <v>547</v>
      </c>
      <c r="AO19" s="94" t="s">
        <v>285</v>
      </c>
      <c r="AP19" s="94" t="s">
        <v>285</v>
      </c>
      <c r="AQ19" s="93" t="s">
        <v>107</v>
      </c>
      <c r="AR19" s="93" t="s">
        <v>108</v>
      </c>
      <c r="AS19" s="93" t="s">
        <v>109</v>
      </c>
      <c r="AT19" s="93" t="s">
        <v>291</v>
      </c>
      <c r="AU19" s="93" t="s">
        <v>110</v>
      </c>
      <c r="AV19" s="93" t="s">
        <v>291</v>
      </c>
      <c r="AW19" s="95" t="s">
        <v>483</v>
      </c>
      <c r="AX19" s="95" t="s">
        <v>520</v>
      </c>
      <c r="AY19" s="96"/>
    </row>
    <row r="20" spans="1:51" s="30" customFormat="1" ht="54.75" customHeight="1">
      <c r="A20" s="85" t="str">
        <f t="shared" si="0"/>
        <v>14-0</v>
      </c>
      <c r="B20" s="86">
        <v>14</v>
      </c>
      <c r="C20" s="87" t="s">
        <v>111</v>
      </c>
      <c r="D20" s="86" t="s">
        <v>447</v>
      </c>
      <c r="E20" s="88">
        <v>0</v>
      </c>
      <c r="F20" s="89" t="s">
        <v>97</v>
      </c>
      <c r="G20" s="90" t="s">
        <v>293</v>
      </c>
      <c r="H20" s="89" t="str">
        <f t="shared" si="1"/>
        <v xml:space="preserve">Hose, Reservoir; Ø 8.5 mm × 16.6 mm; DTSM1650G-1 </v>
      </c>
      <c r="I20" s="98" t="s">
        <v>112</v>
      </c>
      <c r="J20" s="89" t="s">
        <v>113</v>
      </c>
      <c r="K20" s="98" t="s">
        <v>115</v>
      </c>
      <c r="L20" s="87" t="s">
        <v>116</v>
      </c>
      <c r="M20" s="87" t="s">
        <v>8</v>
      </c>
      <c r="N20" s="91" t="s">
        <v>101</v>
      </c>
      <c r="O20" s="91" t="s">
        <v>8</v>
      </c>
      <c r="P20" s="92" t="s">
        <v>117</v>
      </c>
      <c r="Q20" s="87" t="s">
        <v>8</v>
      </c>
      <c r="R20" s="87" t="s">
        <v>555</v>
      </c>
      <c r="S20" s="86" t="s">
        <v>137</v>
      </c>
      <c r="T20" s="86" t="s">
        <v>8</v>
      </c>
      <c r="U20" s="93" t="s">
        <v>103</v>
      </c>
      <c r="V20" s="86" t="s">
        <v>8</v>
      </c>
      <c r="W20" s="93" t="s">
        <v>118</v>
      </c>
      <c r="X20" s="86" t="s">
        <v>8</v>
      </c>
      <c r="Y20" s="93" t="s">
        <v>118</v>
      </c>
      <c r="Z20" s="86" t="s">
        <v>8</v>
      </c>
      <c r="AA20" s="86" t="s">
        <v>8</v>
      </c>
      <c r="AB20" s="86" t="s">
        <v>8</v>
      </c>
      <c r="AC20" s="93" t="s">
        <v>118</v>
      </c>
      <c r="AD20" s="86" t="s">
        <v>8</v>
      </c>
      <c r="AE20" s="86" t="s">
        <v>251</v>
      </c>
      <c r="AF20" s="86" t="s">
        <v>8</v>
      </c>
      <c r="AG20" s="86" t="s">
        <v>266</v>
      </c>
      <c r="AH20" s="86" t="s">
        <v>8</v>
      </c>
      <c r="AI20" s="86"/>
      <c r="AJ20" s="93" t="s">
        <v>119</v>
      </c>
      <c r="AK20" s="86" t="s">
        <v>8</v>
      </c>
      <c r="AL20" s="86" t="s">
        <v>8</v>
      </c>
      <c r="AM20" s="86" t="s">
        <v>8</v>
      </c>
      <c r="AN20" s="86" t="s">
        <v>547</v>
      </c>
      <c r="AO20" s="94" t="s">
        <v>285</v>
      </c>
      <c r="AP20" s="94" t="s">
        <v>285</v>
      </c>
      <c r="AQ20" s="93" t="s">
        <v>120</v>
      </c>
      <c r="AR20" s="93" t="s">
        <v>121</v>
      </c>
      <c r="AS20" s="86" t="s">
        <v>8</v>
      </c>
      <c r="AT20" s="86" t="s">
        <v>8</v>
      </c>
      <c r="AU20" s="93" t="s">
        <v>122</v>
      </c>
      <c r="AV20" s="93" t="s">
        <v>291</v>
      </c>
      <c r="AW20" s="95" t="s">
        <v>484</v>
      </c>
      <c r="AX20" s="95" t="s">
        <v>521</v>
      </c>
      <c r="AY20" s="96"/>
    </row>
    <row r="21" spans="1:51" s="30" customFormat="1" ht="54.75" customHeight="1">
      <c r="A21" s="85" t="str">
        <f t="shared" si="0"/>
        <v>15-0</v>
      </c>
      <c r="B21" s="86">
        <v>15</v>
      </c>
      <c r="C21" s="87" t="s">
        <v>111</v>
      </c>
      <c r="D21" s="86" t="s">
        <v>448</v>
      </c>
      <c r="E21" s="88">
        <v>0</v>
      </c>
      <c r="F21" s="89" t="s">
        <v>123</v>
      </c>
      <c r="G21" s="90" t="s">
        <v>293</v>
      </c>
      <c r="H21" s="89" t="str">
        <f t="shared" si="1"/>
        <v xml:space="preserve">Hose, Clutch; Ø 8.5 mm × 17 mm; TSM1650G-1 </v>
      </c>
      <c r="I21" s="98" t="s">
        <v>134</v>
      </c>
      <c r="J21" s="89" t="s">
        <v>135</v>
      </c>
      <c r="K21" s="98" t="s">
        <v>136</v>
      </c>
      <c r="L21" s="87" t="s">
        <v>116</v>
      </c>
      <c r="M21" s="87" t="s">
        <v>8</v>
      </c>
      <c r="N21" s="91" t="s">
        <v>101</v>
      </c>
      <c r="O21" s="91" t="s">
        <v>8</v>
      </c>
      <c r="P21" s="92" t="s">
        <v>117</v>
      </c>
      <c r="Q21" s="87" t="s">
        <v>8</v>
      </c>
      <c r="R21" s="87" t="s">
        <v>556</v>
      </c>
      <c r="S21" s="86" t="s">
        <v>137</v>
      </c>
      <c r="T21" s="86" t="s">
        <v>8</v>
      </c>
      <c r="U21" s="93" t="s">
        <v>138</v>
      </c>
      <c r="V21" s="86" t="s">
        <v>8</v>
      </c>
      <c r="W21" s="93" t="s">
        <v>103</v>
      </c>
      <c r="X21" s="86" t="s">
        <v>8</v>
      </c>
      <c r="Y21" s="93" t="s">
        <v>103</v>
      </c>
      <c r="Z21" s="86" t="s">
        <v>8</v>
      </c>
      <c r="AA21" s="86" t="s">
        <v>8</v>
      </c>
      <c r="AB21" s="86" t="s">
        <v>8</v>
      </c>
      <c r="AC21" s="93" t="s">
        <v>103</v>
      </c>
      <c r="AD21" s="86" t="s">
        <v>8</v>
      </c>
      <c r="AE21" s="86" t="s">
        <v>252</v>
      </c>
      <c r="AF21" s="86" t="s">
        <v>8</v>
      </c>
      <c r="AG21" s="86" t="s">
        <v>267</v>
      </c>
      <c r="AH21" s="86" t="s">
        <v>8</v>
      </c>
      <c r="AI21" s="86"/>
      <c r="AJ21" s="93" t="s">
        <v>139</v>
      </c>
      <c r="AK21" s="86" t="s">
        <v>8</v>
      </c>
      <c r="AL21" s="86" t="s">
        <v>8</v>
      </c>
      <c r="AM21" s="86" t="s">
        <v>8</v>
      </c>
      <c r="AN21" s="86" t="s">
        <v>547</v>
      </c>
      <c r="AO21" s="94" t="s">
        <v>285</v>
      </c>
      <c r="AP21" s="94" t="s">
        <v>285</v>
      </c>
      <c r="AQ21" s="93" t="s">
        <v>140</v>
      </c>
      <c r="AR21" s="93" t="s">
        <v>139</v>
      </c>
      <c r="AS21" s="86" t="s">
        <v>8</v>
      </c>
      <c r="AT21" s="86" t="s">
        <v>8</v>
      </c>
      <c r="AU21" s="93" t="s">
        <v>141</v>
      </c>
      <c r="AV21" s="93" t="s">
        <v>291</v>
      </c>
      <c r="AW21" s="95" t="s">
        <v>485</v>
      </c>
      <c r="AX21" s="95" t="s">
        <v>522</v>
      </c>
      <c r="AY21" s="96"/>
    </row>
    <row r="22" spans="1:51" s="30" customFormat="1" ht="54.75" customHeight="1">
      <c r="A22" s="85" t="str">
        <f t="shared" si="0"/>
        <v>16-0</v>
      </c>
      <c r="B22" s="86">
        <v>16</v>
      </c>
      <c r="C22" s="87" t="s">
        <v>96</v>
      </c>
      <c r="D22" s="86" t="s">
        <v>449</v>
      </c>
      <c r="E22" s="88">
        <v>0</v>
      </c>
      <c r="F22" s="89" t="s">
        <v>97</v>
      </c>
      <c r="G22" s="90" t="s">
        <v>293</v>
      </c>
      <c r="H22" s="89" t="str">
        <f t="shared" si="1"/>
        <v xml:space="preserve">Hose, Ventilation; Ø 9 mm × 17 mm; DTSM1670G-1 </v>
      </c>
      <c r="I22" s="89" t="s">
        <v>153</v>
      </c>
      <c r="J22" s="89" t="s">
        <v>154</v>
      </c>
      <c r="K22" s="89" t="s">
        <v>193</v>
      </c>
      <c r="L22" s="87" t="s">
        <v>155</v>
      </c>
      <c r="M22" s="87" t="s">
        <v>127</v>
      </c>
      <c r="N22" s="91" t="s">
        <v>101</v>
      </c>
      <c r="O22" s="91" t="s">
        <v>101</v>
      </c>
      <c r="P22" s="92" t="s">
        <v>117</v>
      </c>
      <c r="Q22" s="87" t="s">
        <v>557</v>
      </c>
      <c r="R22" s="87" t="s">
        <v>558</v>
      </c>
      <c r="S22" s="86" t="s">
        <v>137</v>
      </c>
      <c r="T22" s="86" t="s">
        <v>137</v>
      </c>
      <c r="U22" s="93" t="s">
        <v>103</v>
      </c>
      <c r="V22" s="93" t="s">
        <v>103</v>
      </c>
      <c r="W22" s="93" t="s">
        <v>118</v>
      </c>
      <c r="X22" s="93" t="s">
        <v>118</v>
      </c>
      <c r="Y22" s="93" t="s">
        <v>118</v>
      </c>
      <c r="Z22" s="93" t="s">
        <v>118</v>
      </c>
      <c r="AA22" s="86" t="s">
        <v>8</v>
      </c>
      <c r="AB22" s="86" t="s">
        <v>8</v>
      </c>
      <c r="AC22" s="93" t="s">
        <v>118</v>
      </c>
      <c r="AD22" s="93" t="s">
        <v>118</v>
      </c>
      <c r="AE22" s="86" t="s">
        <v>253</v>
      </c>
      <c r="AF22" s="86" t="s">
        <v>261</v>
      </c>
      <c r="AG22" s="86" t="s">
        <v>268</v>
      </c>
      <c r="AH22" s="86" t="s">
        <v>284</v>
      </c>
      <c r="AI22" s="86"/>
      <c r="AJ22" s="93" t="s">
        <v>231</v>
      </c>
      <c r="AK22" s="86" t="s">
        <v>106</v>
      </c>
      <c r="AL22" s="86" t="s">
        <v>551</v>
      </c>
      <c r="AM22" s="86" t="s">
        <v>62</v>
      </c>
      <c r="AN22" s="86" t="s">
        <v>547</v>
      </c>
      <c r="AO22" s="94" t="s">
        <v>285</v>
      </c>
      <c r="AP22" s="94" t="s">
        <v>285</v>
      </c>
      <c r="AQ22" s="93" t="s">
        <v>157</v>
      </c>
      <c r="AR22" s="93" t="s">
        <v>232</v>
      </c>
      <c r="AS22" s="93" t="s">
        <v>122</v>
      </c>
      <c r="AT22" s="93" t="s">
        <v>291</v>
      </c>
      <c r="AU22" s="93" t="s">
        <v>233</v>
      </c>
      <c r="AV22" s="93" t="s">
        <v>291</v>
      </c>
      <c r="AW22" s="95" t="s">
        <v>486</v>
      </c>
      <c r="AX22" s="95" t="s">
        <v>523</v>
      </c>
      <c r="AY22" s="96"/>
    </row>
    <row r="23" spans="1:51" s="30" customFormat="1" ht="54.75" customHeight="1">
      <c r="A23" s="85" t="str">
        <f t="shared" si="0"/>
        <v>17-0</v>
      </c>
      <c r="B23" s="86">
        <v>17</v>
      </c>
      <c r="C23" s="87" t="s">
        <v>96</v>
      </c>
      <c r="D23" s="86" t="s">
        <v>450</v>
      </c>
      <c r="E23" s="88">
        <v>0</v>
      </c>
      <c r="F23" s="89" t="s">
        <v>123</v>
      </c>
      <c r="G23" s="90" t="s">
        <v>293</v>
      </c>
      <c r="H23" s="89" t="str">
        <f t="shared" si="1"/>
        <v xml:space="preserve">Hose, Ventilation; Ø 9 mm × 17 mm; TSM1671G-1A </v>
      </c>
      <c r="I23" s="89" t="s">
        <v>153</v>
      </c>
      <c r="J23" s="89" t="s">
        <v>154</v>
      </c>
      <c r="K23" s="89" t="s">
        <v>29</v>
      </c>
      <c r="L23" s="87" t="s">
        <v>155</v>
      </c>
      <c r="M23" s="87" t="s">
        <v>127</v>
      </c>
      <c r="N23" s="91" t="s">
        <v>101</v>
      </c>
      <c r="O23" s="91" t="s">
        <v>101</v>
      </c>
      <c r="P23" s="92" t="s">
        <v>117</v>
      </c>
      <c r="Q23" s="87" t="s">
        <v>557</v>
      </c>
      <c r="R23" s="87" t="s">
        <v>552</v>
      </c>
      <c r="S23" s="86" t="s">
        <v>137</v>
      </c>
      <c r="T23" s="86" t="s">
        <v>137</v>
      </c>
      <c r="U23" s="93" t="s">
        <v>103</v>
      </c>
      <c r="V23" s="93" t="s">
        <v>103</v>
      </c>
      <c r="W23" s="93" t="s">
        <v>118</v>
      </c>
      <c r="X23" s="93" t="s">
        <v>118</v>
      </c>
      <c r="Y23" s="93" t="s">
        <v>118</v>
      </c>
      <c r="Z23" s="93" t="s">
        <v>118</v>
      </c>
      <c r="AA23" s="86" t="s">
        <v>8</v>
      </c>
      <c r="AB23" s="86" t="s">
        <v>8</v>
      </c>
      <c r="AC23" s="93" t="s">
        <v>118</v>
      </c>
      <c r="AD23" s="93" t="s">
        <v>118</v>
      </c>
      <c r="AE23" s="86" t="s">
        <v>254</v>
      </c>
      <c r="AF23" s="86" t="s">
        <v>281</v>
      </c>
      <c r="AG23" s="86" t="s">
        <v>267</v>
      </c>
      <c r="AH23" s="86" t="s">
        <v>267</v>
      </c>
      <c r="AI23" s="86"/>
      <c r="AJ23" s="93" t="s">
        <v>156</v>
      </c>
      <c r="AK23" s="86" t="s">
        <v>106</v>
      </c>
      <c r="AL23" s="86" t="s">
        <v>551</v>
      </c>
      <c r="AM23" s="86" t="s">
        <v>62</v>
      </c>
      <c r="AN23" s="86" t="s">
        <v>547</v>
      </c>
      <c r="AO23" s="94" t="s">
        <v>285</v>
      </c>
      <c r="AP23" s="94" t="s">
        <v>285</v>
      </c>
      <c r="AQ23" s="93" t="s">
        <v>157</v>
      </c>
      <c r="AR23" s="93" t="s">
        <v>156</v>
      </c>
      <c r="AS23" s="93" t="s">
        <v>158</v>
      </c>
      <c r="AT23" s="93" t="s">
        <v>291</v>
      </c>
      <c r="AU23" s="93" t="s">
        <v>122</v>
      </c>
      <c r="AV23" s="93" t="s">
        <v>291</v>
      </c>
      <c r="AW23" s="95" t="s">
        <v>487</v>
      </c>
      <c r="AX23" s="95" t="s">
        <v>524</v>
      </c>
      <c r="AY23" s="96"/>
    </row>
    <row r="24" spans="1:51" s="30" customFormat="1" ht="54.75" customHeight="1">
      <c r="A24" s="85" t="str">
        <f t="shared" si="0"/>
        <v>18-0</v>
      </c>
      <c r="B24" s="86">
        <v>18</v>
      </c>
      <c r="C24" s="87" t="s">
        <v>111</v>
      </c>
      <c r="D24" s="86" t="s">
        <v>451</v>
      </c>
      <c r="E24" s="88">
        <v>0</v>
      </c>
      <c r="F24" s="89" t="s">
        <v>97</v>
      </c>
      <c r="G24" s="90" t="s">
        <v>196</v>
      </c>
      <c r="H24" s="89" t="str">
        <f t="shared" si="1"/>
        <v xml:space="preserve">Hose, Fuel Tank; Ø 13.5 mm × 21.5 mm; DTSM1647G-1C </v>
      </c>
      <c r="I24" s="89" t="s">
        <v>221</v>
      </c>
      <c r="J24" s="89" t="s">
        <v>234</v>
      </c>
      <c r="K24" s="89" t="s">
        <v>223</v>
      </c>
      <c r="L24" s="87" t="s">
        <v>235</v>
      </c>
      <c r="M24" s="87" t="s">
        <v>8</v>
      </c>
      <c r="N24" s="91" t="s">
        <v>101</v>
      </c>
      <c r="O24" s="91" t="s">
        <v>101</v>
      </c>
      <c r="P24" s="92" t="s">
        <v>172</v>
      </c>
      <c r="Q24" s="87" t="s">
        <v>8</v>
      </c>
      <c r="R24" s="93" t="s">
        <v>236</v>
      </c>
      <c r="S24" s="86" t="s">
        <v>137</v>
      </c>
      <c r="T24" s="86" t="s">
        <v>8</v>
      </c>
      <c r="U24" s="93" t="s">
        <v>103</v>
      </c>
      <c r="V24" s="93" t="s">
        <v>8</v>
      </c>
      <c r="W24" s="93" t="s">
        <v>118</v>
      </c>
      <c r="X24" s="93" t="s">
        <v>8</v>
      </c>
      <c r="Y24" s="93" t="s">
        <v>118</v>
      </c>
      <c r="Z24" s="93" t="s">
        <v>8</v>
      </c>
      <c r="AA24" s="86" t="s">
        <v>8</v>
      </c>
      <c r="AB24" s="86" t="s">
        <v>8</v>
      </c>
      <c r="AC24" s="93" t="s">
        <v>118</v>
      </c>
      <c r="AD24" s="93" t="s">
        <v>8</v>
      </c>
      <c r="AE24" s="86" t="s">
        <v>295</v>
      </c>
      <c r="AF24" s="86" t="s">
        <v>8</v>
      </c>
      <c r="AG24" s="86" t="s">
        <v>296</v>
      </c>
      <c r="AH24" s="86" t="s">
        <v>8</v>
      </c>
      <c r="AI24" s="86"/>
      <c r="AJ24" s="93" t="s">
        <v>237</v>
      </c>
      <c r="AK24" s="86" t="s">
        <v>106</v>
      </c>
      <c r="AL24" s="86" t="s">
        <v>227</v>
      </c>
      <c r="AM24" s="86" t="s">
        <v>228</v>
      </c>
      <c r="AN24" s="86" t="s">
        <v>547</v>
      </c>
      <c r="AO24" s="94" t="s">
        <v>297</v>
      </c>
      <c r="AP24" s="94" t="s">
        <v>298</v>
      </c>
      <c r="AQ24" s="93" t="s">
        <v>238</v>
      </c>
      <c r="AR24" s="93" t="s">
        <v>299</v>
      </c>
      <c r="AS24" s="86" t="s">
        <v>8</v>
      </c>
      <c r="AT24" s="86" t="s">
        <v>8</v>
      </c>
      <c r="AU24" s="93" t="s">
        <v>239</v>
      </c>
      <c r="AV24" s="93" t="s">
        <v>291</v>
      </c>
      <c r="AW24" s="95" t="s">
        <v>488</v>
      </c>
      <c r="AX24" s="95" t="s">
        <v>525</v>
      </c>
      <c r="AY24" s="96"/>
    </row>
    <row r="25" spans="1:51" s="46" customFormat="1" ht="54.75" customHeight="1">
      <c r="A25" s="85" t="str">
        <f t="shared" si="0"/>
        <v>19-0</v>
      </c>
      <c r="B25" s="86">
        <v>19</v>
      </c>
      <c r="C25" s="87" t="s">
        <v>111</v>
      </c>
      <c r="D25" s="86" t="s">
        <v>452</v>
      </c>
      <c r="E25" s="88">
        <v>0</v>
      </c>
      <c r="F25" s="89" t="s">
        <v>97</v>
      </c>
      <c r="G25" s="90" t="s">
        <v>196</v>
      </c>
      <c r="H25" s="89" t="str">
        <f t="shared" si="1"/>
        <v xml:space="preserve">EPDM Solid; Ø 15 mm × 19 mm; DTSM1500G-N708 </v>
      </c>
      <c r="I25" s="89" t="s">
        <v>197</v>
      </c>
      <c r="J25" s="89" t="s">
        <v>205</v>
      </c>
      <c r="K25" s="89" t="s">
        <v>206</v>
      </c>
      <c r="L25" s="87" t="s">
        <v>200</v>
      </c>
      <c r="M25" s="87" t="s">
        <v>8</v>
      </c>
      <c r="N25" s="91" t="s">
        <v>101</v>
      </c>
      <c r="O25" s="91" t="s">
        <v>101</v>
      </c>
      <c r="P25" s="92" t="s">
        <v>201</v>
      </c>
      <c r="Q25" s="87" t="s">
        <v>8</v>
      </c>
      <c r="R25" s="87" t="s">
        <v>559</v>
      </c>
      <c r="S25" s="86" t="s">
        <v>137</v>
      </c>
      <c r="T25" s="86" t="s">
        <v>8</v>
      </c>
      <c r="U25" s="93" t="s">
        <v>104</v>
      </c>
      <c r="V25" s="93" t="s">
        <v>8</v>
      </c>
      <c r="W25" s="93" t="s">
        <v>175</v>
      </c>
      <c r="X25" s="93" t="s">
        <v>8</v>
      </c>
      <c r="Y25" s="93" t="s">
        <v>175</v>
      </c>
      <c r="Z25" s="93" t="s">
        <v>8</v>
      </c>
      <c r="AA25" s="86" t="s">
        <v>8</v>
      </c>
      <c r="AB25" s="86" t="s">
        <v>8</v>
      </c>
      <c r="AC25" s="93" t="s">
        <v>175</v>
      </c>
      <c r="AD25" s="93" t="s">
        <v>8</v>
      </c>
      <c r="AE25" s="86" t="s">
        <v>255</v>
      </c>
      <c r="AF25" s="86" t="s">
        <v>8</v>
      </c>
      <c r="AG25" s="86" t="s">
        <v>269</v>
      </c>
      <c r="AH25" s="86" t="s">
        <v>8</v>
      </c>
      <c r="AI25" s="86"/>
      <c r="AJ25" s="93" t="s">
        <v>207</v>
      </c>
      <c r="AK25" s="86" t="s">
        <v>8</v>
      </c>
      <c r="AL25" s="86" t="s">
        <v>8</v>
      </c>
      <c r="AM25" s="86" t="s">
        <v>8</v>
      </c>
      <c r="AN25" s="86" t="s">
        <v>547</v>
      </c>
      <c r="AO25" s="94" t="s">
        <v>285</v>
      </c>
      <c r="AP25" s="94" t="s">
        <v>285</v>
      </c>
      <c r="AQ25" s="93" t="s">
        <v>208</v>
      </c>
      <c r="AR25" s="93" t="s">
        <v>209</v>
      </c>
      <c r="AS25" s="86" t="s">
        <v>8</v>
      </c>
      <c r="AT25" s="86" t="s">
        <v>8</v>
      </c>
      <c r="AU25" s="93" t="s">
        <v>169</v>
      </c>
      <c r="AV25" s="93" t="s">
        <v>291</v>
      </c>
      <c r="AW25" s="95" t="s">
        <v>489</v>
      </c>
      <c r="AX25" s="95" t="s">
        <v>526</v>
      </c>
      <c r="AY25" s="96"/>
    </row>
    <row r="26" spans="1:51" s="46" customFormat="1" ht="54.75" customHeight="1">
      <c r="A26" s="85" t="str">
        <f t="shared" si="0"/>
        <v>20-0</v>
      </c>
      <c r="B26" s="86">
        <v>20</v>
      </c>
      <c r="C26" s="87" t="s">
        <v>111</v>
      </c>
      <c r="D26" s="86" t="s">
        <v>453</v>
      </c>
      <c r="E26" s="88">
        <v>0</v>
      </c>
      <c r="F26" s="89" t="s">
        <v>123</v>
      </c>
      <c r="G26" s="90" t="s">
        <v>196</v>
      </c>
      <c r="H26" s="89" t="str">
        <f t="shared" si="1"/>
        <v xml:space="preserve">EPDM Solid; Ø 15.5 mm × 19.5 mm; TSM1500G-N708 </v>
      </c>
      <c r="I26" s="89" t="s">
        <v>197</v>
      </c>
      <c r="J26" s="89" t="s">
        <v>198</v>
      </c>
      <c r="K26" s="89" t="s">
        <v>199</v>
      </c>
      <c r="L26" s="87" t="s">
        <v>200</v>
      </c>
      <c r="M26" s="87" t="s">
        <v>8</v>
      </c>
      <c r="N26" s="91" t="s">
        <v>101</v>
      </c>
      <c r="O26" s="91" t="s">
        <v>8</v>
      </c>
      <c r="P26" s="92" t="s">
        <v>201</v>
      </c>
      <c r="Q26" s="87" t="s">
        <v>8</v>
      </c>
      <c r="R26" s="87" t="s">
        <v>560</v>
      </c>
      <c r="S26" s="86" t="s">
        <v>137</v>
      </c>
      <c r="T26" s="86" t="s">
        <v>8</v>
      </c>
      <c r="U26" s="93" t="s">
        <v>104</v>
      </c>
      <c r="V26" s="93" t="s">
        <v>8</v>
      </c>
      <c r="W26" s="93" t="s">
        <v>175</v>
      </c>
      <c r="X26" s="93" t="s">
        <v>8</v>
      </c>
      <c r="Y26" s="93" t="s">
        <v>175</v>
      </c>
      <c r="Z26" s="93" t="s">
        <v>8</v>
      </c>
      <c r="AA26" s="86" t="s">
        <v>8</v>
      </c>
      <c r="AB26" s="86" t="s">
        <v>8</v>
      </c>
      <c r="AC26" s="93" t="s">
        <v>175</v>
      </c>
      <c r="AD26" s="93" t="s">
        <v>8</v>
      </c>
      <c r="AE26" s="86" t="s">
        <v>255</v>
      </c>
      <c r="AF26" s="86" t="s">
        <v>8</v>
      </c>
      <c r="AG26" s="86" t="s">
        <v>269</v>
      </c>
      <c r="AH26" s="86" t="s">
        <v>8</v>
      </c>
      <c r="AI26" s="86"/>
      <c r="AJ26" s="93" t="s">
        <v>202</v>
      </c>
      <c r="AK26" s="86" t="s">
        <v>8</v>
      </c>
      <c r="AL26" s="86" t="s">
        <v>8</v>
      </c>
      <c r="AM26" s="86" t="s">
        <v>8</v>
      </c>
      <c r="AN26" s="86" t="s">
        <v>547</v>
      </c>
      <c r="AO26" s="94" t="s">
        <v>285</v>
      </c>
      <c r="AP26" s="94" t="s">
        <v>285</v>
      </c>
      <c r="AQ26" s="93" t="s">
        <v>203</v>
      </c>
      <c r="AR26" s="93" t="s">
        <v>204</v>
      </c>
      <c r="AS26" s="86" t="s">
        <v>8</v>
      </c>
      <c r="AT26" s="86" t="s">
        <v>8</v>
      </c>
      <c r="AU26" s="93" t="s">
        <v>169</v>
      </c>
      <c r="AV26" s="93" t="s">
        <v>291</v>
      </c>
      <c r="AW26" s="95" t="s">
        <v>490</v>
      </c>
      <c r="AX26" s="95" t="s">
        <v>527</v>
      </c>
      <c r="AY26" s="96"/>
    </row>
    <row r="27" spans="1:51" s="30" customFormat="1" ht="54.75" customHeight="1">
      <c r="A27" s="85" t="str">
        <f t="shared" si="0"/>
        <v>21-0</v>
      </c>
      <c r="B27" s="86">
        <v>21</v>
      </c>
      <c r="C27" s="87" t="s">
        <v>96</v>
      </c>
      <c r="D27" s="86" t="s">
        <v>454</v>
      </c>
      <c r="E27" s="88">
        <v>0</v>
      </c>
      <c r="F27" s="89" t="s">
        <v>123</v>
      </c>
      <c r="G27" s="90" t="s">
        <v>293</v>
      </c>
      <c r="H27" s="89" t="str">
        <f t="shared" si="1"/>
        <v xml:space="preserve">Hose, Ventilation; Ø 15 mm × 22 mm; TSM1670G-1B </v>
      </c>
      <c r="I27" s="89" t="s">
        <v>153</v>
      </c>
      <c r="J27" s="89" t="s">
        <v>170</v>
      </c>
      <c r="K27" s="89" t="s">
        <v>171</v>
      </c>
      <c r="L27" s="87" t="s">
        <v>155</v>
      </c>
      <c r="M27" s="87" t="s">
        <v>127</v>
      </c>
      <c r="N27" s="91" t="s">
        <v>101</v>
      </c>
      <c r="O27" s="91" t="s">
        <v>101</v>
      </c>
      <c r="P27" s="92" t="s">
        <v>172</v>
      </c>
      <c r="Q27" s="93" t="s">
        <v>173</v>
      </c>
      <c r="R27" s="93" t="s">
        <v>174</v>
      </c>
      <c r="S27" s="86" t="s">
        <v>137</v>
      </c>
      <c r="T27" s="86" t="s">
        <v>137</v>
      </c>
      <c r="U27" s="93" t="s">
        <v>104</v>
      </c>
      <c r="V27" s="93" t="s">
        <v>104</v>
      </c>
      <c r="W27" s="93" t="s">
        <v>175</v>
      </c>
      <c r="X27" s="93" t="s">
        <v>175</v>
      </c>
      <c r="Y27" s="93" t="s">
        <v>175</v>
      </c>
      <c r="Z27" s="93" t="s">
        <v>175</v>
      </c>
      <c r="AA27" s="86" t="s">
        <v>8</v>
      </c>
      <c r="AB27" s="86" t="s">
        <v>8</v>
      </c>
      <c r="AC27" s="93" t="s">
        <v>175</v>
      </c>
      <c r="AD27" s="93" t="s">
        <v>175</v>
      </c>
      <c r="AE27" s="86" t="s">
        <v>255</v>
      </c>
      <c r="AF27" s="86" t="s">
        <v>282</v>
      </c>
      <c r="AG27" s="86" t="s">
        <v>270</v>
      </c>
      <c r="AH27" s="86" t="s">
        <v>277</v>
      </c>
      <c r="AI27" s="86"/>
      <c r="AJ27" s="93" t="s">
        <v>176</v>
      </c>
      <c r="AK27" s="86" t="s">
        <v>106</v>
      </c>
      <c r="AL27" s="86" t="s">
        <v>551</v>
      </c>
      <c r="AM27" s="86" t="s">
        <v>62</v>
      </c>
      <c r="AN27" s="86" t="s">
        <v>547</v>
      </c>
      <c r="AO27" s="94" t="s">
        <v>285</v>
      </c>
      <c r="AP27" s="94" t="s">
        <v>285</v>
      </c>
      <c r="AQ27" s="93" t="s">
        <v>105</v>
      </c>
      <c r="AR27" s="93" t="s">
        <v>195</v>
      </c>
      <c r="AS27" s="93" t="s">
        <v>109</v>
      </c>
      <c r="AT27" s="93" t="s">
        <v>290</v>
      </c>
      <c r="AU27" s="93" t="s">
        <v>177</v>
      </c>
      <c r="AV27" s="93" t="s">
        <v>291</v>
      </c>
      <c r="AW27" s="95" t="s">
        <v>491</v>
      </c>
      <c r="AX27" s="95" t="s">
        <v>528</v>
      </c>
      <c r="AY27" s="96"/>
    </row>
    <row r="28" spans="1:51" s="30" customFormat="1" ht="54.75" customHeight="1">
      <c r="A28" s="85" t="str">
        <f t="shared" si="0"/>
        <v>22-0</v>
      </c>
      <c r="B28" s="86">
        <v>22</v>
      </c>
      <c r="C28" s="87" t="s">
        <v>96</v>
      </c>
      <c r="D28" s="86" t="s">
        <v>455</v>
      </c>
      <c r="E28" s="88">
        <v>0</v>
      </c>
      <c r="F28" s="89" t="s">
        <v>97</v>
      </c>
      <c r="G28" s="90" t="s">
        <v>293</v>
      </c>
      <c r="H28" s="89" t="str">
        <f t="shared" si="1"/>
        <v xml:space="preserve">Hose, Ventilation; Ø 15 mm × 22 mm; DTSM1670G-1 </v>
      </c>
      <c r="I28" s="89" t="s">
        <v>153</v>
      </c>
      <c r="J28" s="89" t="s">
        <v>170</v>
      </c>
      <c r="K28" s="89" t="s">
        <v>193</v>
      </c>
      <c r="L28" s="87" t="s">
        <v>155</v>
      </c>
      <c r="M28" s="87" t="s">
        <v>127</v>
      </c>
      <c r="N28" s="91" t="s">
        <v>101</v>
      </c>
      <c r="O28" s="91" t="s">
        <v>101</v>
      </c>
      <c r="P28" s="92" t="s">
        <v>172</v>
      </c>
      <c r="Q28" s="93" t="s">
        <v>173</v>
      </c>
      <c r="R28" s="93" t="s">
        <v>174</v>
      </c>
      <c r="S28" s="86" t="s">
        <v>137</v>
      </c>
      <c r="T28" s="86" t="s">
        <v>137</v>
      </c>
      <c r="U28" s="93" t="s">
        <v>104</v>
      </c>
      <c r="V28" s="93" t="s">
        <v>104</v>
      </c>
      <c r="W28" s="93" t="s">
        <v>175</v>
      </c>
      <c r="X28" s="93" t="s">
        <v>175</v>
      </c>
      <c r="Y28" s="93" t="s">
        <v>175</v>
      </c>
      <c r="Z28" s="93" t="s">
        <v>175</v>
      </c>
      <c r="AA28" s="86" t="s">
        <v>8</v>
      </c>
      <c r="AB28" s="86" t="s">
        <v>8</v>
      </c>
      <c r="AC28" s="93" t="s">
        <v>175</v>
      </c>
      <c r="AD28" s="93" t="s">
        <v>175</v>
      </c>
      <c r="AE28" s="86" t="s">
        <v>255</v>
      </c>
      <c r="AF28" s="86" t="s">
        <v>282</v>
      </c>
      <c r="AG28" s="86" t="s">
        <v>270</v>
      </c>
      <c r="AH28" s="86" t="s">
        <v>277</v>
      </c>
      <c r="AI28" s="86"/>
      <c r="AJ28" s="93" t="s">
        <v>194</v>
      </c>
      <c r="AK28" s="86" t="s">
        <v>106</v>
      </c>
      <c r="AL28" s="86" t="s">
        <v>551</v>
      </c>
      <c r="AM28" s="86" t="s">
        <v>62</v>
      </c>
      <c r="AN28" s="86" t="s">
        <v>547</v>
      </c>
      <c r="AO28" s="94" t="s">
        <v>285</v>
      </c>
      <c r="AP28" s="94" t="s">
        <v>285</v>
      </c>
      <c r="AQ28" s="93" t="s">
        <v>105</v>
      </c>
      <c r="AR28" s="93" t="s">
        <v>195</v>
      </c>
      <c r="AS28" s="93" t="s">
        <v>109</v>
      </c>
      <c r="AT28" s="93" t="s">
        <v>290</v>
      </c>
      <c r="AU28" s="93" t="s">
        <v>177</v>
      </c>
      <c r="AV28" s="93" t="s">
        <v>291</v>
      </c>
      <c r="AW28" s="95" t="s">
        <v>492</v>
      </c>
      <c r="AX28" s="95" t="s">
        <v>529</v>
      </c>
      <c r="AY28" s="96"/>
    </row>
    <row r="29" spans="1:51" s="46" customFormat="1" ht="54.75" customHeight="1">
      <c r="A29" s="85" t="str">
        <f t="shared" si="0"/>
        <v>23-0</v>
      </c>
      <c r="B29" s="86">
        <v>23</v>
      </c>
      <c r="C29" s="87" t="s">
        <v>111</v>
      </c>
      <c r="D29" s="86" t="s">
        <v>456</v>
      </c>
      <c r="E29" s="88">
        <v>0</v>
      </c>
      <c r="F29" s="89" t="s">
        <v>97</v>
      </c>
      <c r="G29" s="90" t="s">
        <v>196</v>
      </c>
      <c r="H29" s="89" t="str">
        <f t="shared" si="1"/>
        <v xml:space="preserve">EPDM Solid; Ø 17 mm × 20 mm; DTSM1500G-N708 </v>
      </c>
      <c r="I29" s="89" t="s">
        <v>197</v>
      </c>
      <c r="J29" s="89" t="s">
        <v>216</v>
      </c>
      <c r="K29" s="89" t="s">
        <v>206</v>
      </c>
      <c r="L29" s="87" t="s">
        <v>200</v>
      </c>
      <c r="M29" s="87" t="s">
        <v>8</v>
      </c>
      <c r="N29" s="91" t="s">
        <v>101</v>
      </c>
      <c r="O29" s="91" t="s">
        <v>101</v>
      </c>
      <c r="P29" s="92" t="s">
        <v>201</v>
      </c>
      <c r="Q29" s="87" t="s">
        <v>8</v>
      </c>
      <c r="R29" s="93" t="s">
        <v>217</v>
      </c>
      <c r="S29" s="86" t="s">
        <v>137</v>
      </c>
      <c r="T29" s="86" t="s">
        <v>8</v>
      </c>
      <c r="U29" s="93" t="s">
        <v>103</v>
      </c>
      <c r="V29" s="93" t="s">
        <v>103</v>
      </c>
      <c r="W29" s="93" t="s">
        <v>118</v>
      </c>
      <c r="X29" s="93" t="s">
        <v>118</v>
      </c>
      <c r="Y29" s="93" t="s">
        <v>118</v>
      </c>
      <c r="Z29" s="93" t="s">
        <v>118</v>
      </c>
      <c r="AA29" s="86" t="s">
        <v>8</v>
      </c>
      <c r="AB29" s="86" t="s">
        <v>8</v>
      </c>
      <c r="AC29" s="93" t="s">
        <v>118</v>
      </c>
      <c r="AD29" s="93" t="s">
        <v>118</v>
      </c>
      <c r="AE29" s="86" t="s">
        <v>256</v>
      </c>
      <c r="AF29" s="86" t="s">
        <v>8</v>
      </c>
      <c r="AG29" s="86" t="s">
        <v>271</v>
      </c>
      <c r="AH29" s="86" t="s">
        <v>8</v>
      </c>
      <c r="AI29" s="86"/>
      <c r="AJ29" s="93" t="s">
        <v>218</v>
      </c>
      <c r="AK29" s="86" t="s">
        <v>8</v>
      </c>
      <c r="AL29" s="86" t="s">
        <v>8</v>
      </c>
      <c r="AM29" s="86" t="s">
        <v>8</v>
      </c>
      <c r="AN29" s="86" t="s">
        <v>547</v>
      </c>
      <c r="AO29" s="94" t="s">
        <v>285</v>
      </c>
      <c r="AP29" s="94" t="s">
        <v>285</v>
      </c>
      <c r="AQ29" s="93" t="s">
        <v>219</v>
      </c>
      <c r="AR29" s="93" t="s">
        <v>220</v>
      </c>
      <c r="AS29" s="86" t="s">
        <v>8</v>
      </c>
      <c r="AT29" s="86" t="s">
        <v>8</v>
      </c>
      <c r="AU29" s="93" t="s">
        <v>132</v>
      </c>
      <c r="AV29" s="93" t="s">
        <v>291</v>
      </c>
      <c r="AW29" s="95" t="s">
        <v>493</v>
      </c>
      <c r="AX29" s="95" t="s">
        <v>530</v>
      </c>
      <c r="AY29" s="96"/>
    </row>
    <row r="30" spans="1:51" s="30" customFormat="1" ht="54.75" customHeight="1">
      <c r="A30" s="85" t="str">
        <f t="shared" si="0"/>
        <v>24-0</v>
      </c>
      <c r="B30" s="86">
        <v>24</v>
      </c>
      <c r="C30" s="87" t="s">
        <v>96</v>
      </c>
      <c r="D30" s="86" t="s">
        <v>457</v>
      </c>
      <c r="E30" s="88">
        <v>0</v>
      </c>
      <c r="F30" s="89" t="s">
        <v>123</v>
      </c>
      <c r="G30" s="90" t="s">
        <v>196</v>
      </c>
      <c r="H30" s="89" t="str">
        <f t="shared" si="1"/>
        <v xml:space="preserve">Hose, Air; Ø 18 mm × 25 mm; TSM1671G-1A </v>
      </c>
      <c r="I30" s="89" t="s">
        <v>178</v>
      </c>
      <c r="J30" s="89" t="s">
        <v>179</v>
      </c>
      <c r="K30" s="89" t="s">
        <v>29</v>
      </c>
      <c r="L30" s="87" t="s">
        <v>155</v>
      </c>
      <c r="M30" s="87" t="s">
        <v>127</v>
      </c>
      <c r="N30" s="91" t="s">
        <v>101</v>
      </c>
      <c r="O30" s="91" t="s">
        <v>101</v>
      </c>
      <c r="P30" s="92" t="s">
        <v>180</v>
      </c>
      <c r="Q30" s="87" t="s">
        <v>561</v>
      </c>
      <c r="R30" s="93" t="s">
        <v>181</v>
      </c>
      <c r="S30" s="86" t="s">
        <v>182</v>
      </c>
      <c r="T30" s="86" t="s">
        <v>182</v>
      </c>
      <c r="U30" s="93" t="s">
        <v>104</v>
      </c>
      <c r="V30" s="93" t="s">
        <v>104</v>
      </c>
      <c r="W30" s="93" t="s">
        <v>118</v>
      </c>
      <c r="X30" s="93" t="s">
        <v>118</v>
      </c>
      <c r="Y30" s="93" t="s">
        <v>118</v>
      </c>
      <c r="Z30" s="93" t="s">
        <v>118</v>
      </c>
      <c r="AA30" s="86" t="s">
        <v>8</v>
      </c>
      <c r="AB30" s="86" t="s">
        <v>8</v>
      </c>
      <c r="AC30" s="93" t="s">
        <v>118</v>
      </c>
      <c r="AD30" s="93" t="s">
        <v>118</v>
      </c>
      <c r="AE30" s="86" t="s">
        <v>248</v>
      </c>
      <c r="AF30" s="86" t="s">
        <v>260</v>
      </c>
      <c r="AG30" s="86" t="s">
        <v>262</v>
      </c>
      <c r="AH30" s="86" t="s">
        <v>275</v>
      </c>
      <c r="AI30" s="86"/>
      <c r="AJ30" s="93" t="s">
        <v>183</v>
      </c>
      <c r="AK30" s="86" t="s">
        <v>106</v>
      </c>
      <c r="AL30" s="86" t="s">
        <v>551</v>
      </c>
      <c r="AM30" s="86" t="s">
        <v>62</v>
      </c>
      <c r="AN30" s="86" t="s">
        <v>547</v>
      </c>
      <c r="AO30" s="94" t="s">
        <v>285</v>
      </c>
      <c r="AP30" s="94" t="s">
        <v>285</v>
      </c>
      <c r="AQ30" s="93" t="s">
        <v>184</v>
      </c>
      <c r="AR30" s="93" t="s">
        <v>185</v>
      </c>
      <c r="AS30" s="93" t="s">
        <v>186</v>
      </c>
      <c r="AT30" s="93" t="s">
        <v>292</v>
      </c>
      <c r="AU30" s="93" t="s">
        <v>110</v>
      </c>
      <c r="AV30" s="93" t="s">
        <v>291</v>
      </c>
      <c r="AW30" s="95" t="s">
        <v>494</v>
      </c>
      <c r="AX30" s="95" t="s">
        <v>531</v>
      </c>
      <c r="AY30" s="96"/>
    </row>
    <row r="31" spans="1:51" s="46" customFormat="1" ht="54.75" customHeight="1">
      <c r="A31" s="85" t="str">
        <f t="shared" si="0"/>
        <v>25-0</v>
      </c>
      <c r="B31" s="86">
        <v>25</v>
      </c>
      <c r="C31" s="87" t="s">
        <v>111</v>
      </c>
      <c r="D31" s="86" t="s">
        <v>458</v>
      </c>
      <c r="E31" s="88">
        <v>0</v>
      </c>
      <c r="F31" s="89" t="s">
        <v>97</v>
      </c>
      <c r="G31" s="90" t="s">
        <v>196</v>
      </c>
      <c r="H31" s="89" t="str">
        <f t="shared" si="1"/>
        <v xml:space="preserve">EPDM Solid; Ø 23 mm × 27 mm; DTSM1500G-N708 </v>
      </c>
      <c r="I31" s="89" t="s">
        <v>197</v>
      </c>
      <c r="J31" s="89" t="s">
        <v>210</v>
      </c>
      <c r="K31" s="89" t="s">
        <v>206</v>
      </c>
      <c r="L31" s="87" t="s">
        <v>200</v>
      </c>
      <c r="M31" s="87" t="s">
        <v>8</v>
      </c>
      <c r="N31" s="91" t="s">
        <v>101</v>
      </c>
      <c r="O31" s="91" t="s">
        <v>101</v>
      </c>
      <c r="P31" s="92" t="s">
        <v>211</v>
      </c>
      <c r="Q31" s="87" t="s">
        <v>8</v>
      </c>
      <c r="R31" s="93" t="s">
        <v>212</v>
      </c>
      <c r="S31" s="86" t="s">
        <v>137</v>
      </c>
      <c r="T31" s="86" t="s">
        <v>8</v>
      </c>
      <c r="U31" s="93" t="s">
        <v>104</v>
      </c>
      <c r="V31" s="93" t="s">
        <v>8</v>
      </c>
      <c r="W31" s="93" t="s">
        <v>175</v>
      </c>
      <c r="X31" s="93" t="s">
        <v>8</v>
      </c>
      <c r="Y31" s="93" t="s">
        <v>175</v>
      </c>
      <c r="Z31" s="93" t="s">
        <v>8</v>
      </c>
      <c r="AA31" s="86" t="s">
        <v>8</v>
      </c>
      <c r="AB31" s="86" t="s">
        <v>8</v>
      </c>
      <c r="AC31" s="93" t="s">
        <v>175</v>
      </c>
      <c r="AD31" s="93" t="s">
        <v>8</v>
      </c>
      <c r="AE31" s="86" t="s">
        <v>257</v>
      </c>
      <c r="AF31" s="86" t="s">
        <v>8</v>
      </c>
      <c r="AG31" s="86" t="s">
        <v>272</v>
      </c>
      <c r="AH31" s="86" t="s">
        <v>8</v>
      </c>
      <c r="AI31" s="86"/>
      <c r="AJ31" s="93" t="s">
        <v>213</v>
      </c>
      <c r="AK31" s="86" t="s">
        <v>8</v>
      </c>
      <c r="AL31" s="86" t="s">
        <v>8</v>
      </c>
      <c r="AM31" s="86" t="s">
        <v>8</v>
      </c>
      <c r="AN31" s="86" t="s">
        <v>547</v>
      </c>
      <c r="AO31" s="94" t="s">
        <v>285</v>
      </c>
      <c r="AP31" s="94" t="s">
        <v>285</v>
      </c>
      <c r="AQ31" s="93" t="s">
        <v>214</v>
      </c>
      <c r="AR31" s="93" t="s">
        <v>215</v>
      </c>
      <c r="AS31" s="86" t="s">
        <v>8</v>
      </c>
      <c r="AT31" s="86" t="s">
        <v>8</v>
      </c>
      <c r="AU31" s="93" t="s">
        <v>169</v>
      </c>
      <c r="AV31" s="93" t="s">
        <v>291</v>
      </c>
      <c r="AW31" s="95" t="s">
        <v>495</v>
      </c>
      <c r="AX31" s="95" t="s">
        <v>532</v>
      </c>
      <c r="AY31" s="96"/>
    </row>
    <row r="32" spans="1:51" s="30" customFormat="1" ht="54.75" customHeight="1">
      <c r="A32" s="85" t="str">
        <f t="shared" si="0"/>
        <v>26-0</v>
      </c>
      <c r="B32" s="86">
        <v>26</v>
      </c>
      <c r="C32" s="87" t="s">
        <v>96</v>
      </c>
      <c r="D32" s="86" t="s">
        <v>459</v>
      </c>
      <c r="E32" s="88">
        <v>0</v>
      </c>
      <c r="F32" s="89" t="s">
        <v>123</v>
      </c>
      <c r="G32" s="90" t="s">
        <v>196</v>
      </c>
      <c r="H32" s="89" t="str">
        <f t="shared" si="1"/>
        <v xml:space="preserve">Hose, Air; Ø 24.5 mm × 31.5 mm; TSM1671G-1A </v>
      </c>
      <c r="I32" s="89" t="s">
        <v>178</v>
      </c>
      <c r="J32" s="89" t="s">
        <v>192</v>
      </c>
      <c r="K32" s="89" t="s">
        <v>29</v>
      </c>
      <c r="L32" s="87" t="s">
        <v>155</v>
      </c>
      <c r="M32" s="87" t="s">
        <v>127</v>
      </c>
      <c r="N32" s="91" t="s">
        <v>101</v>
      </c>
      <c r="O32" s="91" t="s">
        <v>101</v>
      </c>
      <c r="P32" s="92" t="s">
        <v>187</v>
      </c>
      <c r="Q32" s="87" t="s">
        <v>562</v>
      </c>
      <c r="R32" s="93" t="s">
        <v>188</v>
      </c>
      <c r="S32" s="86" t="s">
        <v>182</v>
      </c>
      <c r="T32" s="86" t="s">
        <v>182</v>
      </c>
      <c r="U32" s="93" t="s">
        <v>103</v>
      </c>
      <c r="V32" s="93" t="s">
        <v>103</v>
      </c>
      <c r="W32" s="93" t="s">
        <v>118</v>
      </c>
      <c r="X32" s="93" t="s">
        <v>118</v>
      </c>
      <c r="Y32" s="93" t="s">
        <v>118</v>
      </c>
      <c r="Z32" s="93" t="s">
        <v>118</v>
      </c>
      <c r="AA32" s="86" t="s">
        <v>8</v>
      </c>
      <c r="AB32" s="86" t="s">
        <v>8</v>
      </c>
      <c r="AC32" s="93" t="s">
        <v>118</v>
      </c>
      <c r="AD32" s="93" t="s">
        <v>118</v>
      </c>
      <c r="AE32" s="86" t="s">
        <v>248</v>
      </c>
      <c r="AF32" s="86" t="s">
        <v>260</v>
      </c>
      <c r="AG32" s="86" t="s">
        <v>262</v>
      </c>
      <c r="AH32" s="86" t="s">
        <v>275</v>
      </c>
      <c r="AI32" s="86"/>
      <c r="AJ32" s="93" t="s">
        <v>189</v>
      </c>
      <c r="AK32" s="86" t="s">
        <v>106</v>
      </c>
      <c r="AL32" s="86" t="s">
        <v>551</v>
      </c>
      <c r="AM32" s="86" t="s">
        <v>62</v>
      </c>
      <c r="AN32" s="86" t="s">
        <v>547</v>
      </c>
      <c r="AO32" s="94" t="s">
        <v>285</v>
      </c>
      <c r="AP32" s="94" t="s">
        <v>285</v>
      </c>
      <c r="AQ32" s="93" t="s">
        <v>190</v>
      </c>
      <c r="AR32" s="93" t="s">
        <v>191</v>
      </c>
      <c r="AS32" s="93" t="s">
        <v>147</v>
      </c>
      <c r="AT32" s="93" t="s">
        <v>291</v>
      </c>
      <c r="AU32" s="93" t="s">
        <v>158</v>
      </c>
      <c r="AV32" s="93" t="s">
        <v>291</v>
      </c>
      <c r="AW32" s="95" t="s">
        <v>496</v>
      </c>
      <c r="AX32" s="95" t="s">
        <v>533</v>
      </c>
      <c r="AY32" s="96"/>
    </row>
    <row r="33" spans="1:51" s="30" customFormat="1" ht="54.75" customHeight="1">
      <c r="A33" s="85" t="str">
        <f t="shared" si="0"/>
        <v>27-0</v>
      </c>
      <c r="B33" s="86">
        <v>27</v>
      </c>
      <c r="C33" s="87" t="s">
        <v>111</v>
      </c>
      <c r="D33" s="86" t="s">
        <v>460</v>
      </c>
      <c r="E33" s="88">
        <v>0</v>
      </c>
      <c r="F33" s="89" t="s">
        <v>97</v>
      </c>
      <c r="G33" s="90" t="s">
        <v>196</v>
      </c>
      <c r="H33" s="89" t="str">
        <f t="shared" si="1"/>
        <v xml:space="preserve">Hose, Fuel Tank; Ø 34 mm × 42 mm; DTSM1647G-1C </v>
      </c>
      <c r="I33" s="89" t="s">
        <v>221</v>
      </c>
      <c r="J33" s="89" t="s">
        <v>222</v>
      </c>
      <c r="K33" s="89" t="s">
        <v>223</v>
      </c>
      <c r="L33" s="87" t="s">
        <v>235</v>
      </c>
      <c r="M33" s="87" t="s">
        <v>8</v>
      </c>
      <c r="N33" s="91" t="s">
        <v>101</v>
      </c>
      <c r="O33" s="91" t="s">
        <v>101</v>
      </c>
      <c r="P33" s="92" t="s">
        <v>224</v>
      </c>
      <c r="Q33" s="87" t="s">
        <v>8</v>
      </c>
      <c r="R33" s="93" t="s">
        <v>225</v>
      </c>
      <c r="S33" s="86" t="s">
        <v>137</v>
      </c>
      <c r="T33" s="86" t="s">
        <v>8</v>
      </c>
      <c r="U33" s="93" t="s">
        <v>103</v>
      </c>
      <c r="V33" s="93" t="s">
        <v>8</v>
      </c>
      <c r="W33" s="93" t="s">
        <v>118</v>
      </c>
      <c r="X33" s="93" t="s">
        <v>8</v>
      </c>
      <c r="Y33" s="93" t="s">
        <v>118</v>
      </c>
      <c r="Z33" s="93" t="s">
        <v>8</v>
      </c>
      <c r="AA33" s="86" t="s">
        <v>8</v>
      </c>
      <c r="AB33" s="86" t="s">
        <v>8</v>
      </c>
      <c r="AC33" s="93" t="s">
        <v>118</v>
      </c>
      <c r="AD33" s="93" t="s">
        <v>8</v>
      </c>
      <c r="AE33" s="86" t="s">
        <v>258</v>
      </c>
      <c r="AF33" s="86" t="s">
        <v>8</v>
      </c>
      <c r="AG33" s="86" t="s">
        <v>273</v>
      </c>
      <c r="AH33" s="86" t="s">
        <v>8</v>
      </c>
      <c r="AI33" s="86"/>
      <c r="AJ33" s="93" t="s">
        <v>226</v>
      </c>
      <c r="AK33" s="86" t="s">
        <v>106</v>
      </c>
      <c r="AL33" s="86" t="s">
        <v>227</v>
      </c>
      <c r="AM33" s="86" t="s">
        <v>228</v>
      </c>
      <c r="AN33" s="86" t="s">
        <v>547</v>
      </c>
      <c r="AO33" s="94" t="s">
        <v>286</v>
      </c>
      <c r="AP33" s="94" t="s">
        <v>287</v>
      </c>
      <c r="AQ33" s="93" t="s">
        <v>229</v>
      </c>
      <c r="AR33" s="93" t="s">
        <v>230</v>
      </c>
      <c r="AS33" s="86" t="s">
        <v>8</v>
      </c>
      <c r="AT33" s="86" t="s">
        <v>8</v>
      </c>
      <c r="AU33" s="93" t="s">
        <v>122</v>
      </c>
      <c r="AV33" s="93" t="s">
        <v>291</v>
      </c>
      <c r="AW33" s="95" t="s">
        <v>497</v>
      </c>
      <c r="AX33" s="95" t="s">
        <v>534</v>
      </c>
      <c r="AY33" s="96"/>
    </row>
    <row r="34" spans="1:51" s="30" customFormat="1" ht="54.75" customHeight="1">
      <c r="A34" s="85" t="str">
        <f t="shared" si="0"/>
        <v>28-0</v>
      </c>
      <c r="B34" s="86">
        <v>28</v>
      </c>
      <c r="C34" s="87" t="s">
        <v>111</v>
      </c>
      <c r="D34" s="86" t="s">
        <v>461</v>
      </c>
      <c r="E34" s="88">
        <v>0</v>
      </c>
      <c r="F34" s="89" t="s">
        <v>97</v>
      </c>
      <c r="G34" s="90" t="s">
        <v>196</v>
      </c>
      <c r="H34" s="89" t="str">
        <f t="shared" si="1"/>
        <v xml:space="preserve">Hose, Fuel Tank; Ø 34 mm × 42 mm; DTSE7351G-1 </v>
      </c>
      <c r="I34" s="89" t="s">
        <v>221</v>
      </c>
      <c r="J34" s="89" t="s">
        <v>222</v>
      </c>
      <c r="K34" s="98" t="s">
        <v>243</v>
      </c>
      <c r="L34" s="87" t="s">
        <v>235</v>
      </c>
      <c r="M34" s="87" t="s">
        <v>8</v>
      </c>
      <c r="N34" s="91" t="s">
        <v>101</v>
      </c>
      <c r="O34" s="91" t="s">
        <v>101</v>
      </c>
      <c r="P34" s="92" t="s">
        <v>244</v>
      </c>
      <c r="Q34" s="87" t="s">
        <v>8</v>
      </c>
      <c r="R34" s="93" t="s">
        <v>245</v>
      </c>
      <c r="S34" s="86" t="s">
        <v>137</v>
      </c>
      <c r="T34" s="86" t="s">
        <v>8</v>
      </c>
      <c r="U34" s="93" t="s">
        <v>103</v>
      </c>
      <c r="V34" s="86" t="s">
        <v>8</v>
      </c>
      <c r="W34" s="93" t="s">
        <v>118</v>
      </c>
      <c r="X34" s="86" t="s">
        <v>8</v>
      </c>
      <c r="Y34" s="93" t="s">
        <v>118</v>
      </c>
      <c r="Z34" s="86" t="s">
        <v>8</v>
      </c>
      <c r="AA34" s="86" t="s">
        <v>8</v>
      </c>
      <c r="AB34" s="86" t="s">
        <v>8</v>
      </c>
      <c r="AC34" s="93" t="s">
        <v>118</v>
      </c>
      <c r="AD34" s="86" t="s">
        <v>8</v>
      </c>
      <c r="AE34" s="86" t="s">
        <v>259</v>
      </c>
      <c r="AF34" s="86" t="s">
        <v>8</v>
      </c>
      <c r="AG34" s="86" t="s">
        <v>274</v>
      </c>
      <c r="AH34" s="86" t="s">
        <v>8</v>
      </c>
      <c r="AI34" s="86"/>
      <c r="AJ34" s="93" t="s">
        <v>246</v>
      </c>
      <c r="AK34" s="86" t="s">
        <v>106</v>
      </c>
      <c r="AL34" s="86" t="s">
        <v>227</v>
      </c>
      <c r="AM34" s="86" t="s">
        <v>228</v>
      </c>
      <c r="AN34" s="86" t="s">
        <v>547</v>
      </c>
      <c r="AO34" s="94" t="s">
        <v>288</v>
      </c>
      <c r="AP34" s="94" t="s">
        <v>289</v>
      </c>
      <c r="AQ34" s="93" t="s">
        <v>229</v>
      </c>
      <c r="AR34" s="93" t="s">
        <v>230</v>
      </c>
      <c r="AS34" s="86" t="s">
        <v>8</v>
      </c>
      <c r="AT34" s="86" t="s">
        <v>8</v>
      </c>
      <c r="AU34" s="93" t="s">
        <v>122</v>
      </c>
      <c r="AV34" s="93" t="s">
        <v>291</v>
      </c>
      <c r="AW34" s="95" t="s">
        <v>498</v>
      </c>
      <c r="AX34" s="95" t="s">
        <v>535</v>
      </c>
      <c r="AY34" s="96"/>
    </row>
    <row r="35" spans="1:51" s="30" customFormat="1" ht="54.75" customHeight="1">
      <c r="A35" s="85" t="str">
        <f t="shared" si="0"/>
        <v>29-0</v>
      </c>
      <c r="B35" s="86">
        <v>29</v>
      </c>
      <c r="C35" s="87" t="s">
        <v>111</v>
      </c>
      <c r="D35" s="86" t="s">
        <v>462</v>
      </c>
      <c r="E35" s="88">
        <v>0</v>
      </c>
      <c r="F35" s="89" t="s">
        <v>300</v>
      </c>
      <c r="G35" s="90" t="s">
        <v>301</v>
      </c>
      <c r="H35" s="89" t="str">
        <f t="shared" si="1"/>
        <v xml:space="preserve">Hose, Vacuum; Ø 7.5 mm × 14.5 mm; - </v>
      </c>
      <c r="I35" s="89" t="s">
        <v>165</v>
      </c>
      <c r="J35" s="89" t="s">
        <v>302</v>
      </c>
      <c r="K35" s="98" t="s">
        <v>8</v>
      </c>
      <c r="L35" s="87" t="s">
        <v>303</v>
      </c>
      <c r="M35" s="87" t="s">
        <v>8</v>
      </c>
      <c r="N35" s="91" t="s">
        <v>101</v>
      </c>
      <c r="O35" s="91" t="s">
        <v>8</v>
      </c>
      <c r="P35" s="92" t="s">
        <v>304</v>
      </c>
      <c r="Q35" s="87" t="s">
        <v>8</v>
      </c>
      <c r="R35" s="93" t="s">
        <v>305</v>
      </c>
      <c r="S35" s="86" t="s">
        <v>137</v>
      </c>
      <c r="T35" s="86" t="s">
        <v>8</v>
      </c>
      <c r="U35" s="93" t="s">
        <v>138</v>
      </c>
      <c r="V35" s="86" t="s">
        <v>8</v>
      </c>
      <c r="W35" s="93" t="s">
        <v>145</v>
      </c>
      <c r="X35" s="86" t="s">
        <v>8</v>
      </c>
      <c r="Y35" s="93" t="s">
        <v>145</v>
      </c>
      <c r="Z35" s="86" t="s">
        <v>8</v>
      </c>
      <c r="AA35" s="86" t="s">
        <v>8</v>
      </c>
      <c r="AB35" s="86" t="s">
        <v>8</v>
      </c>
      <c r="AC35" s="93" t="s">
        <v>145</v>
      </c>
      <c r="AD35" s="86" t="s">
        <v>8</v>
      </c>
      <c r="AE35" s="86" t="s">
        <v>306</v>
      </c>
      <c r="AF35" s="86" t="s">
        <v>8</v>
      </c>
      <c r="AG35" s="86" t="s">
        <v>307</v>
      </c>
      <c r="AH35" s="86" t="s">
        <v>8</v>
      </c>
      <c r="AI35" s="86"/>
      <c r="AJ35" s="93" t="s">
        <v>308</v>
      </c>
      <c r="AK35" s="86" t="s">
        <v>106</v>
      </c>
      <c r="AL35" s="86" t="s">
        <v>309</v>
      </c>
      <c r="AM35" s="86" t="s">
        <v>228</v>
      </c>
      <c r="AN35" s="86" t="s">
        <v>547</v>
      </c>
      <c r="AO35" s="94" t="s">
        <v>310</v>
      </c>
      <c r="AP35" s="94" t="s">
        <v>310</v>
      </c>
      <c r="AQ35" s="93" t="s">
        <v>311</v>
      </c>
      <c r="AR35" s="93" t="s">
        <v>312</v>
      </c>
      <c r="AS35" s="86" t="s">
        <v>8</v>
      </c>
      <c r="AT35" s="86" t="s">
        <v>8</v>
      </c>
      <c r="AU35" s="93" t="s">
        <v>110</v>
      </c>
      <c r="AV35" s="93" t="s">
        <v>291</v>
      </c>
      <c r="AW35" s="95" t="s">
        <v>499</v>
      </c>
      <c r="AX35" s="95" t="s">
        <v>536</v>
      </c>
      <c r="AY35" s="96"/>
    </row>
    <row r="36" spans="1:51" s="30" customFormat="1" ht="54.75" customHeight="1">
      <c r="A36" s="85" t="str">
        <f t="shared" si="0"/>
        <v>30-0</v>
      </c>
      <c r="B36" s="86">
        <v>30</v>
      </c>
      <c r="C36" s="87" t="s">
        <v>111</v>
      </c>
      <c r="D36" s="86" t="s">
        <v>463</v>
      </c>
      <c r="E36" s="88">
        <v>0</v>
      </c>
      <c r="F36" s="89" t="s">
        <v>313</v>
      </c>
      <c r="G36" s="90" t="s">
        <v>314</v>
      </c>
      <c r="H36" s="85" t="str">
        <f t="shared" si="1"/>
        <v xml:space="preserve">Hose, Fuel Tank; Ø 34 mm × 44 mm; TSM1647G-1C </v>
      </c>
      <c r="I36" s="85" t="s">
        <v>221</v>
      </c>
      <c r="J36" s="89" t="s">
        <v>337</v>
      </c>
      <c r="K36" s="99" t="s">
        <v>315</v>
      </c>
      <c r="L36" s="100" t="s">
        <v>316</v>
      </c>
      <c r="M36" s="100" t="s">
        <v>8</v>
      </c>
      <c r="N36" s="101" t="s">
        <v>101</v>
      </c>
      <c r="O36" s="101" t="s">
        <v>8</v>
      </c>
      <c r="P36" s="102" t="s">
        <v>244</v>
      </c>
      <c r="Q36" s="100" t="s">
        <v>8</v>
      </c>
      <c r="R36" s="103" t="s">
        <v>317</v>
      </c>
      <c r="S36" s="104" t="s">
        <v>137</v>
      </c>
      <c r="T36" s="104" t="s">
        <v>8</v>
      </c>
      <c r="U36" s="103" t="s">
        <v>145</v>
      </c>
      <c r="V36" s="104" t="s">
        <v>8</v>
      </c>
      <c r="W36" s="103" t="s">
        <v>103</v>
      </c>
      <c r="X36" s="104" t="s">
        <v>8</v>
      </c>
      <c r="Y36" s="103" t="s">
        <v>103</v>
      </c>
      <c r="Z36" s="104" t="s">
        <v>8</v>
      </c>
      <c r="AA36" s="104" t="s">
        <v>8</v>
      </c>
      <c r="AB36" s="104" t="s">
        <v>8</v>
      </c>
      <c r="AC36" s="103" t="s">
        <v>103</v>
      </c>
      <c r="AD36" s="104" t="s">
        <v>8</v>
      </c>
      <c r="AE36" s="104" t="s">
        <v>318</v>
      </c>
      <c r="AF36" s="104" t="s">
        <v>8</v>
      </c>
      <c r="AG36" s="104" t="s">
        <v>319</v>
      </c>
      <c r="AH36" s="104" t="s">
        <v>8</v>
      </c>
      <c r="AI36" s="105">
        <v>0.5</v>
      </c>
      <c r="AJ36" s="103" t="s">
        <v>320</v>
      </c>
      <c r="AK36" s="104" t="s">
        <v>106</v>
      </c>
      <c r="AL36" s="104" t="s">
        <v>325</v>
      </c>
      <c r="AM36" s="104" t="s">
        <v>321</v>
      </c>
      <c r="AN36" s="104" t="s">
        <v>547</v>
      </c>
      <c r="AO36" s="106" t="s">
        <v>286</v>
      </c>
      <c r="AP36" s="106" t="s">
        <v>322</v>
      </c>
      <c r="AQ36" s="103" t="s">
        <v>323</v>
      </c>
      <c r="AR36" s="104" t="s">
        <v>8</v>
      </c>
      <c r="AS36" s="104" t="s">
        <v>8</v>
      </c>
      <c r="AT36" s="104" t="s">
        <v>8</v>
      </c>
      <c r="AU36" s="103" t="s">
        <v>324</v>
      </c>
      <c r="AV36" s="103" t="s">
        <v>291</v>
      </c>
      <c r="AW36" s="95" t="s">
        <v>500</v>
      </c>
      <c r="AX36" s="95" t="s">
        <v>537</v>
      </c>
      <c r="AY36" s="96"/>
    </row>
    <row r="37" spans="1:51" s="45" customFormat="1" ht="54.75" customHeight="1">
      <c r="A37" s="85" t="str">
        <f t="shared" si="0"/>
        <v>31-0</v>
      </c>
      <c r="B37" s="110">
        <v>31</v>
      </c>
      <c r="C37" s="87" t="s">
        <v>96</v>
      </c>
      <c r="D37" s="86" t="s">
        <v>464</v>
      </c>
      <c r="E37" s="88">
        <v>0</v>
      </c>
      <c r="F37" s="89" t="s">
        <v>313</v>
      </c>
      <c r="G37" s="90" t="s">
        <v>314</v>
      </c>
      <c r="H37" s="85" t="str">
        <f t="shared" si="1"/>
        <v xml:space="preserve">Hose, Fuel; Ø 7 mm × 12 mm; TSM1651G-2 </v>
      </c>
      <c r="I37" s="111" t="s">
        <v>86</v>
      </c>
      <c r="J37" s="89" t="s">
        <v>148</v>
      </c>
      <c r="K37" s="85" t="s">
        <v>22</v>
      </c>
      <c r="L37" s="107" t="s">
        <v>146</v>
      </c>
      <c r="M37" s="107" t="s">
        <v>127</v>
      </c>
      <c r="N37" s="108" t="s">
        <v>101</v>
      </c>
      <c r="O37" s="108" t="s">
        <v>101</v>
      </c>
      <c r="P37" s="92" t="s">
        <v>102</v>
      </c>
      <c r="Q37" s="87" t="s">
        <v>550</v>
      </c>
      <c r="R37" s="93" t="s">
        <v>149</v>
      </c>
      <c r="S37" s="86" t="s">
        <v>137</v>
      </c>
      <c r="T37" s="86" t="s">
        <v>137</v>
      </c>
      <c r="U37" s="93" t="s">
        <v>104</v>
      </c>
      <c r="V37" s="93" t="s">
        <v>104</v>
      </c>
      <c r="W37" s="93" t="s">
        <v>118</v>
      </c>
      <c r="X37" s="93" t="s">
        <v>118</v>
      </c>
      <c r="Y37" s="93" t="s">
        <v>118</v>
      </c>
      <c r="Z37" s="93" t="s">
        <v>118</v>
      </c>
      <c r="AA37" s="86" t="s">
        <v>8</v>
      </c>
      <c r="AB37" s="86" t="s">
        <v>8</v>
      </c>
      <c r="AC37" s="93" t="s">
        <v>118</v>
      </c>
      <c r="AD37" s="93" t="s">
        <v>118</v>
      </c>
      <c r="AE37" s="86" t="s">
        <v>379</v>
      </c>
      <c r="AF37" s="86" t="s">
        <v>380</v>
      </c>
      <c r="AG37" s="86" t="s">
        <v>262</v>
      </c>
      <c r="AH37" s="86" t="s">
        <v>275</v>
      </c>
      <c r="AI37" s="86"/>
      <c r="AJ37" s="93" t="s">
        <v>150</v>
      </c>
      <c r="AK37" s="86" t="s">
        <v>106</v>
      </c>
      <c r="AL37" s="86" t="s">
        <v>563</v>
      </c>
      <c r="AM37" s="86" t="s">
        <v>62</v>
      </c>
      <c r="AN37" s="86" t="s">
        <v>547</v>
      </c>
      <c r="AO37" s="94" t="s">
        <v>285</v>
      </c>
      <c r="AP37" s="94" t="s">
        <v>285</v>
      </c>
      <c r="AQ37" s="93" t="s">
        <v>107</v>
      </c>
      <c r="AR37" s="93" t="s">
        <v>150</v>
      </c>
      <c r="AS37" s="93" t="s">
        <v>151</v>
      </c>
      <c r="AT37" s="93" t="s">
        <v>290</v>
      </c>
      <c r="AU37" s="93" t="s">
        <v>152</v>
      </c>
      <c r="AV37" s="93" t="s">
        <v>291</v>
      </c>
      <c r="AW37" s="95" t="s">
        <v>501</v>
      </c>
      <c r="AX37" s="95" t="s">
        <v>538</v>
      </c>
      <c r="AY37" s="96"/>
    </row>
    <row r="38" spans="1:51" s="30" customFormat="1" ht="54.75" customHeight="1">
      <c r="A38" s="85" t="str">
        <f t="shared" si="0"/>
        <v>32-0</v>
      </c>
      <c r="B38" s="110">
        <v>32</v>
      </c>
      <c r="C38" s="87" t="s">
        <v>96</v>
      </c>
      <c r="D38" s="86" t="s">
        <v>465</v>
      </c>
      <c r="E38" s="88">
        <v>0</v>
      </c>
      <c r="F38" s="89" t="s">
        <v>313</v>
      </c>
      <c r="G38" s="90" t="s">
        <v>314</v>
      </c>
      <c r="H38" s="85" t="str">
        <f t="shared" si="1"/>
        <v xml:space="preserve">Hose, Fuel; Ø 9 mm × 14 mm; TSM1651G-2 </v>
      </c>
      <c r="I38" s="111" t="s">
        <v>86</v>
      </c>
      <c r="J38" s="89" t="s">
        <v>326</v>
      </c>
      <c r="K38" s="85" t="s">
        <v>22</v>
      </c>
      <c r="L38" s="107" t="s">
        <v>146</v>
      </c>
      <c r="M38" s="107" t="s">
        <v>127</v>
      </c>
      <c r="N38" s="108" t="s">
        <v>101</v>
      </c>
      <c r="O38" s="108" t="s">
        <v>101</v>
      </c>
      <c r="P38" s="112" t="s">
        <v>117</v>
      </c>
      <c r="Q38" s="93" t="s">
        <v>327</v>
      </c>
      <c r="R38" s="93" t="s">
        <v>328</v>
      </c>
      <c r="S38" s="86" t="s">
        <v>137</v>
      </c>
      <c r="T38" s="86" t="s">
        <v>137</v>
      </c>
      <c r="U38" s="93" t="s">
        <v>104</v>
      </c>
      <c r="V38" s="93" t="s">
        <v>104</v>
      </c>
      <c r="W38" s="93" t="s">
        <v>175</v>
      </c>
      <c r="X38" s="93" t="s">
        <v>175</v>
      </c>
      <c r="Y38" s="93" t="s">
        <v>175</v>
      </c>
      <c r="Z38" s="93" t="s">
        <v>175</v>
      </c>
      <c r="AA38" s="86" t="s">
        <v>8</v>
      </c>
      <c r="AB38" s="86" t="s">
        <v>8</v>
      </c>
      <c r="AC38" s="93" t="s">
        <v>175</v>
      </c>
      <c r="AD38" s="93" t="s">
        <v>175</v>
      </c>
      <c r="AE38" s="86" t="s">
        <v>329</v>
      </c>
      <c r="AF38" s="86" t="s">
        <v>330</v>
      </c>
      <c r="AG38" s="86" t="s">
        <v>307</v>
      </c>
      <c r="AH38" s="86" t="s">
        <v>331</v>
      </c>
      <c r="AI38" s="86">
        <v>30</v>
      </c>
      <c r="AJ38" s="93" t="s">
        <v>332</v>
      </c>
      <c r="AK38" s="86" t="s">
        <v>106</v>
      </c>
      <c r="AL38" s="86" t="s">
        <v>563</v>
      </c>
      <c r="AM38" s="86" t="s">
        <v>62</v>
      </c>
      <c r="AN38" s="86" t="s">
        <v>547</v>
      </c>
      <c r="AO38" s="94" t="s">
        <v>141</v>
      </c>
      <c r="AP38" s="94" t="s">
        <v>333</v>
      </c>
      <c r="AQ38" s="93" t="s">
        <v>334</v>
      </c>
      <c r="AR38" s="93" t="s">
        <v>335</v>
      </c>
      <c r="AS38" s="93" t="s">
        <v>152</v>
      </c>
      <c r="AT38" s="93" t="s">
        <v>290</v>
      </c>
      <c r="AU38" s="93" t="s">
        <v>336</v>
      </c>
      <c r="AV38" s="93" t="s">
        <v>291</v>
      </c>
      <c r="AW38" s="95" t="s">
        <v>502</v>
      </c>
      <c r="AX38" s="95" t="s">
        <v>539</v>
      </c>
      <c r="AY38" s="96"/>
    </row>
    <row r="39" spans="1:51" s="30" customFormat="1" ht="54.75" customHeight="1">
      <c r="A39" s="85" t="str">
        <f t="shared" si="0"/>
        <v>33-0</v>
      </c>
      <c r="B39" s="86">
        <v>33</v>
      </c>
      <c r="C39" s="87" t="s">
        <v>111</v>
      </c>
      <c r="D39" s="86" t="s">
        <v>466</v>
      </c>
      <c r="E39" s="88">
        <v>0</v>
      </c>
      <c r="F39" s="89" t="s">
        <v>313</v>
      </c>
      <c r="G39" s="90" t="s">
        <v>339</v>
      </c>
      <c r="H39" s="85" t="str">
        <f t="shared" si="1"/>
        <v xml:space="preserve">Hose, Fuel Tank; Ø 34 mm × 44 mm; TSM1647G-1C </v>
      </c>
      <c r="I39" s="85" t="s">
        <v>221</v>
      </c>
      <c r="J39" s="89" t="s">
        <v>337</v>
      </c>
      <c r="K39" s="85" t="s">
        <v>315</v>
      </c>
      <c r="L39" s="107" t="s">
        <v>316</v>
      </c>
      <c r="M39" s="107" t="s">
        <v>8</v>
      </c>
      <c r="N39" s="108" t="s">
        <v>101</v>
      </c>
      <c r="O39" s="108" t="s">
        <v>8</v>
      </c>
      <c r="P39" s="92" t="s">
        <v>244</v>
      </c>
      <c r="Q39" s="107" t="s">
        <v>8</v>
      </c>
      <c r="R39" s="93" t="s">
        <v>338</v>
      </c>
      <c r="S39" s="86" t="s">
        <v>137</v>
      </c>
      <c r="T39" s="86" t="s">
        <v>8</v>
      </c>
      <c r="U39" s="93" t="s">
        <v>145</v>
      </c>
      <c r="V39" s="86" t="s">
        <v>8</v>
      </c>
      <c r="W39" s="93" t="s">
        <v>103</v>
      </c>
      <c r="X39" s="86" t="s">
        <v>8</v>
      </c>
      <c r="Y39" s="93" t="s">
        <v>103</v>
      </c>
      <c r="Z39" s="86" t="s">
        <v>8</v>
      </c>
      <c r="AA39" s="86" t="s">
        <v>8</v>
      </c>
      <c r="AB39" s="86" t="s">
        <v>8</v>
      </c>
      <c r="AC39" s="93" t="s">
        <v>103</v>
      </c>
      <c r="AD39" s="86" t="s">
        <v>8</v>
      </c>
      <c r="AE39" s="86" t="s">
        <v>340</v>
      </c>
      <c r="AF39" s="86" t="s">
        <v>8</v>
      </c>
      <c r="AG39" s="86" t="s">
        <v>319</v>
      </c>
      <c r="AH39" s="86" t="s">
        <v>8</v>
      </c>
      <c r="AI39" s="109">
        <v>0.5</v>
      </c>
      <c r="AJ39" s="93" t="s">
        <v>341</v>
      </c>
      <c r="AK39" s="86" t="s">
        <v>106</v>
      </c>
      <c r="AL39" s="86" t="s">
        <v>325</v>
      </c>
      <c r="AM39" s="86" t="s">
        <v>228</v>
      </c>
      <c r="AN39" s="86" t="s">
        <v>547</v>
      </c>
      <c r="AO39" s="94" t="s">
        <v>286</v>
      </c>
      <c r="AP39" s="94" t="s">
        <v>342</v>
      </c>
      <c r="AQ39" s="93" t="s">
        <v>343</v>
      </c>
      <c r="AR39" s="86" t="s">
        <v>8</v>
      </c>
      <c r="AS39" s="86" t="s">
        <v>8</v>
      </c>
      <c r="AT39" s="86" t="s">
        <v>8</v>
      </c>
      <c r="AU39" s="93" t="s">
        <v>310</v>
      </c>
      <c r="AV39" s="93" t="s">
        <v>291</v>
      </c>
      <c r="AW39" s="95" t="s">
        <v>503</v>
      </c>
      <c r="AX39" s="95" t="s">
        <v>540</v>
      </c>
      <c r="AY39" s="96"/>
    </row>
    <row r="40" spans="1:51" s="47" customFormat="1" ht="54.75" customHeight="1">
      <c r="A40" s="85" t="str">
        <f t="shared" si="0"/>
        <v>34-0</v>
      </c>
      <c r="B40" s="86">
        <v>34</v>
      </c>
      <c r="C40" s="87" t="s">
        <v>96</v>
      </c>
      <c r="D40" s="86" t="s">
        <v>467</v>
      </c>
      <c r="E40" s="88">
        <v>0</v>
      </c>
      <c r="F40" s="89" t="s">
        <v>382</v>
      </c>
      <c r="G40" s="90" t="s">
        <v>354</v>
      </c>
      <c r="H40" s="85" t="str">
        <f t="shared" si="1"/>
        <v xml:space="preserve">Hose, Fuel; Ø 7 mm × 14 mm; TSM1651G-2 </v>
      </c>
      <c r="I40" s="85" t="s">
        <v>86</v>
      </c>
      <c r="J40" s="89" t="s">
        <v>114</v>
      </c>
      <c r="K40" s="89" t="s">
        <v>22</v>
      </c>
      <c r="L40" s="107" t="s">
        <v>146</v>
      </c>
      <c r="M40" s="107" t="s">
        <v>127</v>
      </c>
      <c r="N40" s="108" t="s">
        <v>101</v>
      </c>
      <c r="O40" s="108" t="s">
        <v>101</v>
      </c>
      <c r="P40" s="92" t="s">
        <v>102</v>
      </c>
      <c r="Q40" s="93" t="s">
        <v>349</v>
      </c>
      <c r="R40" s="93" t="s">
        <v>348</v>
      </c>
      <c r="S40" s="86" t="s">
        <v>137</v>
      </c>
      <c r="T40" s="86" t="s">
        <v>137</v>
      </c>
      <c r="U40" s="93" t="s">
        <v>104</v>
      </c>
      <c r="V40" s="93" t="s">
        <v>104</v>
      </c>
      <c r="W40" s="93" t="s">
        <v>118</v>
      </c>
      <c r="X40" s="93" t="s">
        <v>118</v>
      </c>
      <c r="Y40" s="93" t="s">
        <v>118</v>
      </c>
      <c r="Z40" s="93" t="s">
        <v>118</v>
      </c>
      <c r="AA40" s="86" t="s">
        <v>8</v>
      </c>
      <c r="AB40" s="86" t="s">
        <v>8</v>
      </c>
      <c r="AC40" s="93" t="s">
        <v>118</v>
      </c>
      <c r="AD40" s="93" t="s">
        <v>118</v>
      </c>
      <c r="AE40" s="86" t="s">
        <v>363</v>
      </c>
      <c r="AF40" s="86" t="s">
        <v>364</v>
      </c>
      <c r="AG40" s="86" t="s">
        <v>365</v>
      </c>
      <c r="AH40" s="86" t="s">
        <v>366</v>
      </c>
      <c r="AI40" s="86">
        <v>30</v>
      </c>
      <c r="AJ40" s="93" t="s">
        <v>350</v>
      </c>
      <c r="AK40" s="86" t="s">
        <v>106</v>
      </c>
      <c r="AL40" s="86" t="s">
        <v>563</v>
      </c>
      <c r="AM40" s="86" t="s">
        <v>62</v>
      </c>
      <c r="AN40" s="86" t="s">
        <v>547</v>
      </c>
      <c r="AO40" s="94" t="s">
        <v>285</v>
      </c>
      <c r="AP40" s="94" t="s">
        <v>285</v>
      </c>
      <c r="AQ40" s="93" t="s">
        <v>107</v>
      </c>
      <c r="AR40" s="93" t="s">
        <v>105</v>
      </c>
      <c r="AS40" s="93" t="s">
        <v>147</v>
      </c>
      <c r="AT40" s="93" t="s">
        <v>351</v>
      </c>
      <c r="AU40" s="93" t="s">
        <v>158</v>
      </c>
      <c r="AV40" s="93" t="s">
        <v>291</v>
      </c>
      <c r="AW40" s="95" t="s">
        <v>504</v>
      </c>
      <c r="AX40" s="95" t="s">
        <v>541</v>
      </c>
      <c r="AY40" s="96"/>
    </row>
    <row r="41" spans="1:51" s="30" customFormat="1" ht="54.75" customHeight="1">
      <c r="A41" s="85" t="str">
        <f t="shared" si="0"/>
        <v>35-0</v>
      </c>
      <c r="B41" s="86">
        <v>35</v>
      </c>
      <c r="C41" s="87" t="s">
        <v>96</v>
      </c>
      <c r="D41" s="86" t="s">
        <v>468</v>
      </c>
      <c r="E41" s="88">
        <v>0</v>
      </c>
      <c r="F41" s="89" t="s">
        <v>344</v>
      </c>
      <c r="G41" s="90" t="s">
        <v>354</v>
      </c>
      <c r="H41" s="85" t="str">
        <f t="shared" si="1"/>
        <v xml:space="preserve">Hose, Fuel Tank; Ø 13.5 mm × 21.5 mm; TSM1648G-3 </v>
      </c>
      <c r="I41" s="85" t="s">
        <v>221</v>
      </c>
      <c r="J41" s="89" t="s">
        <v>234</v>
      </c>
      <c r="K41" s="85" t="s">
        <v>345</v>
      </c>
      <c r="L41" s="107" t="s">
        <v>346</v>
      </c>
      <c r="M41" s="107" t="s">
        <v>347</v>
      </c>
      <c r="N41" s="108" t="s">
        <v>101</v>
      </c>
      <c r="O41" s="108" t="s">
        <v>101</v>
      </c>
      <c r="P41" s="92" t="s">
        <v>172</v>
      </c>
      <c r="Q41" s="93" t="s">
        <v>139</v>
      </c>
      <c r="R41" s="93" t="s">
        <v>207</v>
      </c>
      <c r="S41" s="86" t="s">
        <v>137</v>
      </c>
      <c r="T41" s="86" t="s">
        <v>137</v>
      </c>
      <c r="U41" s="93" t="s">
        <v>104</v>
      </c>
      <c r="V41" s="93" t="s">
        <v>103</v>
      </c>
      <c r="W41" s="93" t="s">
        <v>175</v>
      </c>
      <c r="X41" s="93" t="s">
        <v>118</v>
      </c>
      <c r="Y41" s="93" t="s">
        <v>175</v>
      </c>
      <c r="Z41" s="93" t="s">
        <v>118</v>
      </c>
      <c r="AA41" s="86" t="s">
        <v>8</v>
      </c>
      <c r="AB41" s="86" t="s">
        <v>8</v>
      </c>
      <c r="AC41" s="93" t="s">
        <v>175</v>
      </c>
      <c r="AD41" s="93" t="s">
        <v>118</v>
      </c>
      <c r="AE41" s="86" t="s">
        <v>355</v>
      </c>
      <c r="AF41" s="86" t="s">
        <v>356</v>
      </c>
      <c r="AG41" s="86" t="s">
        <v>357</v>
      </c>
      <c r="AH41" s="86" t="s">
        <v>358</v>
      </c>
      <c r="AI41" s="86">
        <v>30</v>
      </c>
      <c r="AJ41" s="93" t="s">
        <v>352</v>
      </c>
      <c r="AK41" s="86" t="s">
        <v>106</v>
      </c>
      <c r="AL41" s="86" t="s">
        <v>564</v>
      </c>
      <c r="AM41" s="86" t="s">
        <v>228</v>
      </c>
      <c r="AN41" s="86" t="s">
        <v>547</v>
      </c>
      <c r="AO41" s="94" t="s">
        <v>141</v>
      </c>
      <c r="AP41" s="94" t="s">
        <v>141</v>
      </c>
      <c r="AQ41" s="93" t="s">
        <v>359</v>
      </c>
      <c r="AR41" s="93" t="s">
        <v>360</v>
      </c>
      <c r="AS41" s="93" t="s">
        <v>361</v>
      </c>
      <c r="AT41" s="93" t="s">
        <v>353</v>
      </c>
      <c r="AU41" s="93" t="s">
        <v>362</v>
      </c>
      <c r="AV41" s="93" t="s">
        <v>291</v>
      </c>
      <c r="AW41" s="95" t="s">
        <v>505</v>
      </c>
      <c r="AX41" s="95" t="s">
        <v>542</v>
      </c>
      <c r="AY41" s="96"/>
    </row>
    <row r="42" spans="1:51" s="47" customFormat="1" ht="54.75" customHeight="1">
      <c r="A42" s="85" t="str">
        <f t="shared" si="0"/>
        <v>36-0</v>
      </c>
      <c r="B42" s="86">
        <v>36</v>
      </c>
      <c r="C42" s="87" t="s">
        <v>96</v>
      </c>
      <c r="D42" s="86" t="s">
        <v>469</v>
      </c>
      <c r="E42" s="88">
        <v>0</v>
      </c>
      <c r="F42" s="89" t="s">
        <v>123</v>
      </c>
      <c r="G42" s="90" t="s">
        <v>367</v>
      </c>
      <c r="H42" s="89" t="str">
        <f t="shared" si="1"/>
        <v xml:space="preserve">Hose, Fuel; Ø 7 mm × 14 mm; TSM1651G-2 </v>
      </c>
      <c r="I42" s="89" t="s">
        <v>86</v>
      </c>
      <c r="J42" s="89" t="s">
        <v>114</v>
      </c>
      <c r="K42" s="89" t="s">
        <v>22</v>
      </c>
      <c r="L42" s="87" t="s">
        <v>146</v>
      </c>
      <c r="M42" s="87" t="s">
        <v>127</v>
      </c>
      <c r="N42" s="91" t="s">
        <v>101</v>
      </c>
      <c r="O42" s="91" t="s">
        <v>101</v>
      </c>
      <c r="P42" s="92" t="s">
        <v>102</v>
      </c>
      <c r="Q42" s="87" t="s">
        <v>553</v>
      </c>
      <c r="R42" s="87" t="s">
        <v>553</v>
      </c>
      <c r="S42" s="86" t="s">
        <v>137</v>
      </c>
      <c r="T42" s="86" t="s">
        <v>137</v>
      </c>
      <c r="U42" s="93" t="s">
        <v>104</v>
      </c>
      <c r="V42" s="93" t="s">
        <v>104</v>
      </c>
      <c r="W42" s="93" t="s">
        <v>118</v>
      </c>
      <c r="X42" s="93" t="s">
        <v>118</v>
      </c>
      <c r="Y42" s="93" t="s">
        <v>118</v>
      </c>
      <c r="Z42" s="93" t="s">
        <v>118</v>
      </c>
      <c r="AA42" s="86" t="s">
        <v>8</v>
      </c>
      <c r="AB42" s="86" t="s">
        <v>8</v>
      </c>
      <c r="AC42" s="93" t="s">
        <v>118</v>
      </c>
      <c r="AD42" s="93" t="s">
        <v>118</v>
      </c>
      <c r="AE42" s="86" t="s">
        <v>248</v>
      </c>
      <c r="AF42" s="86" t="s">
        <v>260</v>
      </c>
      <c r="AG42" s="86" t="s">
        <v>262</v>
      </c>
      <c r="AH42" s="86" t="s">
        <v>275</v>
      </c>
      <c r="AI42" s="86"/>
      <c r="AJ42" s="93" t="s">
        <v>105</v>
      </c>
      <c r="AK42" s="86" t="s">
        <v>106</v>
      </c>
      <c r="AL42" s="86" t="s">
        <v>563</v>
      </c>
      <c r="AM42" s="86" t="s">
        <v>62</v>
      </c>
      <c r="AN42" s="86" t="s">
        <v>547</v>
      </c>
      <c r="AO42" s="94" t="s">
        <v>285</v>
      </c>
      <c r="AP42" s="94" t="s">
        <v>285</v>
      </c>
      <c r="AQ42" s="93" t="s">
        <v>107</v>
      </c>
      <c r="AR42" s="93" t="s">
        <v>105</v>
      </c>
      <c r="AS42" s="93" t="s">
        <v>147</v>
      </c>
      <c r="AT42" s="93">
        <v>0.1</v>
      </c>
      <c r="AU42" s="93" t="s">
        <v>110</v>
      </c>
      <c r="AV42" s="93" t="s">
        <v>291</v>
      </c>
      <c r="AW42" s="95" t="s">
        <v>506</v>
      </c>
      <c r="AX42" s="95" t="s">
        <v>543</v>
      </c>
      <c r="AY42" s="96"/>
    </row>
    <row r="43" spans="1:51" s="30" customFormat="1" ht="54.75" customHeight="1">
      <c r="A43" s="85" t="str">
        <f t="shared" si="0"/>
        <v>37-0</v>
      </c>
      <c r="B43" s="110">
        <v>37</v>
      </c>
      <c r="C43" s="87" t="s">
        <v>96</v>
      </c>
      <c r="D43" s="86" t="s">
        <v>470</v>
      </c>
      <c r="E43" s="116">
        <v>0</v>
      </c>
      <c r="F43" s="89" t="s">
        <v>97</v>
      </c>
      <c r="G43" s="115" t="s">
        <v>390</v>
      </c>
      <c r="H43" s="114" t="str">
        <f t="shared" si="1"/>
        <v xml:space="preserve">Hose, Actuator; Ø 3.5 mm × 8.5mm; DTSM1649G-1 </v>
      </c>
      <c r="I43" s="85" t="s">
        <v>391</v>
      </c>
      <c r="J43" s="114" t="s">
        <v>394</v>
      </c>
      <c r="K43" s="85" t="s">
        <v>392</v>
      </c>
      <c r="L43" s="107" t="s">
        <v>395</v>
      </c>
      <c r="M43" s="113" t="s">
        <v>24</v>
      </c>
      <c r="N43" s="101" t="s">
        <v>101</v>
      </c>
      <c r="O43" s="101" t="s">
        <v>396</v>
      </c>
      <c r="P43" s="112" t="s">
        <v>160</v>
      </c>
      <c r="Q43" s="93" t="s">
        <v>397</v>
      </c>
      <c r="R43" s="93" t="s">
        <v>107</v>
      </c>
      <c r="S43" s="104" t="s">
        <v>137</v>
      </c>
      <c r="T43" s="104" t="s">
        <v>137</v>
      </c>
      <c r="U43" s="93" t="s">
        <v>104</v>
      </c>
      <c r="V43" s="93" t="s">
        <v>104</v>
      </c>
      <c r="W43" s="103" t="s">
        <v>118</v>
      </c>
      <c r="X43" s="103" t="s">
        <v>118</v>
      </c>
      <c r="Y43" s="103" t="s">
        <v>118</v>
      </c>
      <c r="Z43" s="103" t="s">
        <v>118</v>
      </c>
      <c r="AA43" s="104" t="s">
        <v>8</v>
      </c>
      <c r="AB43" s="104" t="s">
        <v>8</v>
      </c>
      <c r="AC43" s="103" t="s">
        <v>118</v>
      </c>
      <c r="AD43" s="103" t="s">
        <v>118</v>
      </c>
      <c r="AE43" s="86" t="s">
        <v>393</v>
      </c>
      <c r="AF43" s="86" t="s">
        <v>398</v>
      </c>
      <c r="AG43" s="104" t="s">
        <v>399</v>
      </c>
      <c r="AH43" s="104" t="s">
        <v>399</v>
      </c>
      <c r="AI43" s="85" t="s">
        <v>400</v>
      </c>
      <c r="AJ43" s="103" t="s">
        <v>401</v>
      </c>
      <c r="AK43" s="110" t="s">
        <v>106</v>
      </c>
      <c r="AL43" s="85" t="s">
        <v>402</v>
      </c>
      <c r="AM43" s="110" t="s">
        <v>131</v>
      </c>
      <c r="AN43" s="104" t="s">
        <v>565</v>
      </c>
      <c r="AO43" s="117" t="s">
        <v>403</v>
      </c>
      <c r="AP43" s="117" t="s">
        <v>403</v>
      </c>
      <c r="AQ43" s="93" t="s">
        <v>109</v>
      </c>
      <c r="AR43" s="93" t="s">
        <v>404</v>
      </c>
      <c r="AS43" s="93" t="s">
        <v>405</v>
      </c>
      <c r="AT43" s="93" t="s">
        <v>291</v>
      </c>
      <c r="AU43" s="93" t="s">
        <v>152</v>
      </c>
      <c r="AV43" s="118" t="s">
        <v>8</v>
      </c>
      <c r="AW43" s="95" t="s">
        <v>507</v>
      </c>
      <c r="AX43" s="95" t="s">
        <v>544</v>
      </c>
      <c r="AY43" s="96"/>
    </row>
    <row r="44" spans="1:51" s="30" customFormat="1">
      <c r="A44" s="85" t="str">
        <f t="shared" si="0"/>
        <v>-</v>
      </c>
      <c r="B44" s="110"/>
      <c r="C44" s="85"/>
      <c r="D44" s="85"/>
      <c r="E44" s="116"/>
      <c r="F44" s="85"/>
      <c r="G44" s="119"/>
      <c r="H44" s="114" t="str">
        <f t="shared" si="1"/>
        <v xml:space="preserve">; ;  </v>
      </c>
      <c r="I44" s="85"/>
      <c r="J44" s="85"/>
      <c r="K44" s="85"/>
      <c r="L44" s="107"/>
      <c r="M44" s="107"/>
      <c r="N44" s="120"/>
      <c r="O44" s="120"/>
      <c r="P44" s="107"/>
      <c r="Q44" s="107"/>
      <c r="R44" s="107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121"/>
      <c r="AX44" s="121"/>
      <c r="AY44" s="96"/>
    </row>
    <row r="45" spans="1:51" s="30" customFormat="1">
      <c r="A45" s="85" t="str">
        <f t="shared" si="0"/>
        <v>-</v>
      </c>
      <c r="B45" s="110"/>
      <c r="C45" s="85"/>
      <c r="D45" s="85"/>
      <c r="E45" s="116"/>
      <c r="F45" s="85"/>
      <c r="G45" s="119"/>
      <c r="H45" s="114" t="str">
        <f t="shared" si="1"/>
        <v xml:space="preserve">; ;  </v>
      </c>
      <c r="I45" s="85"/>
      <c r="J45" s="85"/>
      <c r="K45" s="85"/>
      <c r="L45" s="107"/>
      <c r="M45" s="107"/>
      <c r="N45" s="120"/>
      <c r="O45" s="120"/>
      <c r="P45" s="107"/>
      <c r="Q45" s="107"/>
      <c r="R45" s="107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121"/>
      <c r="AX45" s="121"/>
      <c r="AY45" s="96"/>
    </row>
    <row r="46" spans="1:51" s="30" customFormat="1">
      <c r="A46" s="85" t="str">
        <f t="shared" si="0"/>
        <v>-</v>
      </c>
      <c r="B46" s="110"/>
      <c r="C46" s="85"/>
      <c r="D46" s="85"/>
      <c r="E46" s="116"/>
      <c r="F46" s="85"/>
      <c r="G46" s="119"/>
      <c r="H46" s="114" t="str">
        <f t="shared" si="1"/>
        <v xml:space="preserve">; ;  </v>
      </c>
      <c r="I46" s="85"/>
      <c r="J46" s="85"/>
      <c r="K46" s="85"/>
      <c r="L46" s="107"/>
      <c r="M46" s="107"/>
      <c r="N46" s="120"/>
      <c r="O46" s="120"/>
      <c r="P46" s="107"/>
      <c r="Q46" s="107"/>
      <c r="R46" s="107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121"/>
      <c r="AX46" s="121"/>
      <c r="AY46" s="96"/>
    </row>
    <row r="47" spans="1:51" s="30" customFormat="1">
      <c r="A47" s="85" t="str">
        <f t="shared" si="0"/>
        <v>-</v>
      </c>
      <c r="B47" s="110"/>
      <c r="C47" s="85"/>
      <c r="D47" s="85"/>
      <c r="E47" s="116"/>
      <c r="F47" s="85"/>
      <c r="G47" s="119"/>
      <c r="H47" s="114" t="str">
        <f t="shared" si="1"/>
        <v xml:space="preserve">; ;  </v>
      </c>
      <c r="I47" s="85"/>
      <c r="J47" s="85"/>
      <c r="K47" s="85"/>
      <c r="L47" s="107"/>
      <c r="M47" s="107"/>
      <c r="N47" s="120"/>
      <c r="O47" s="120"/>
      <c r="P47" s="107"/>
      <c r="Q47" s="107"/>
      <c r="R47" s="107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121"/>
      <c r="AX47" s="121"/>
      <c r="AY47" s="96"/>
    </row>
    <row r="48" spans="1:51" s="30" customFormat="1">
      <c r="A48" s="85" t="str">
        <f t="shared" si="0"/>
        <v>-</v>
      </c>
      <c r="B48" s="110"/>
      <c r="C48" s="85"/>
      <c r="D48" s="85"/>
      <c r="E48" s="116"/>
      <c r="F48" s="85"/>
      <c r="G48" s="119"/>
      <c r="H48" s="114" t="str">
        <f t="shared" si="1"/>
        <v xml:space="preserve">; ;  </v>
      </c>
      <c r="I48" s="85"/>
      <c r="J48" s="85"/>
      <c r="K48" s="85"/>
      <c r="L48" s="107"/>
      <c r="M48" s="107"/>
      <c r="N48" s="120"/>
      <c r="O48" s="120"/>
      <c r="P48" s="107"/>
      <c r="Q48" s="107"/>
      <c r="R48" s="107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121"/>
      <c r="AX48" s="121"/>
      <c r="AY48" s="96"/>
    </row>
    <row r="49" spans="1:51" s="30" customFormat="1">
      <c r="A49" s="85" t="str">
        <f t="shared" si="0"/>
        <v>-</v>
      </c>
      <c r="B49" s="110"/>
      <c r="C49" s="85"/>
      <c r="D49" s="85"/>
      <c r="E49" s="116"/>
      <c r="F49" s="85"/>
      <c r="G49" s="119"/>
      <c r="H49" s="114" t="str">
        <f t="shared" si="1"/>
        <v xml:space="preserve">; ;  </v>
      </c>
      <c r="I49" s="85"/>
      <c r="J49" s="85"/>
      <c r="K49" s="85"/>
      <c r="L49" s="107"/>
      <c r="M49" s="107"/>
      <c r="N49" s="120"/>
      <c r="O49" s="120"/>
      <c r="P49" s="107"/>
      <c r="Q49" s="107"/>
      <c r="R49" s="107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121"/>
      <c r="AX49" s="121"/>
      <c r="AY49" s="96"/>
    </row>
    <row r="50" spans="1:51" s="30" customFormat="1">
      <c r="A50" s="85" t="str">
        <f t="shared" si="0"/>
        <v>-</v>
      </c>
      <c r="B50" s="110"/>
      <c r="C50" s="85"/>
      <c r="D50" s="85"/>
      <c r="E50" s="116"/>
      <c r="F50" s="85"/>
      <c r="G50" s="119"/>
      <c r="H50" s="114" t="str">
        <f t="shared" si="1"/>
        <v xml:space="preserve">; ;  </v>
      </c>
      <c r="I50" s="85"/>
      <c r="J50" s="85"/>
      <c r="K50" s="85"/>
      <c r="L50" s="107"/>
      <c r="M50" s="107"/>
      <c r="N50" s="120"/>
      <c r="O50" s="120"/>
      <c r="P50" s="107"/>
      <c r="Q50" s="107"/>
      <c r="R50" s="107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121"/>
      <c r="AX50" s="121"/>
      <c r="AY50" s="96"/>
    </row>
    <row r="51" spans="1:51" s="30" customFormat="1">
      <c r="A51" s="85" t="str">
        <f t="shared" si="0"/>
        <v>-</v>
      </c>
      <c r="B51" s="110"/>
      <c r="C51" s="85"/>
      <c r="D51" s="85"/>
      <c r="E51" s="116"/>
      <c r="F51" s="85"/>
      <c r="G51" s="119"/>
      <c r="H51" s="114" t="str">
        <f t="shared" si="1"/>
        <v xml:space="preserve">; ;  </v>
      </c>
      <c r="I51" s="85"/>
      <c r="J51" s="85"/>
      <c r="K51" s="85"/>
      <c r="L51" s="107"/>
      <c r="M51" s="107"/>
      <c r="N51" s="120"/>
      <c r="O51" s="120"/>
      <c r="P51" s="107"/>
      <c r="Q51" s="107"/>
      <c r="R51" s="107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121"/>
      <c r="AX51" s="121"/>
      <c r="AY51" s="96"/>
    </row>
    <row r="52" spans="1:51" s="30" customFormat="1">
      <c r="A52" s="85" t="str">
        <f t="shared" si="0"/>
        <v>-</v>
      </c>
      <c r="B52" s="110"/>
      <c r="C52" s="85"/>
      <c r="D52" s="85"/>
      <c r="E52" s="116"/>
      <c r="F52" s="85"/>
      <c r="G52" s="119"/>
      <c r="H52" s="114" t="str">
        <f t="shared" si="1"/>
        <v xml:space="preserve">; ;  </v>
      </c>
      <c r="I52" s="85"/>
      <c r="J52" s="85"/>
      <c r="K52" s="85"/>
      <c r="L52" s="107"/>
      <c r="M52" s="107"/>
      <c r="N52" s="120"/>
      <c r="O52" s="120"/>
      <c r="P52" s="107"/>
      <c r="Q52" s="107"/>
      <c r="R52" s="107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121"/>
      <c r="AX52" s="121"/>
      <c r="AY52" s="96"/>
    </row>
    <row r="53" spans="1:51" s="30" customFormat="1">
      <c r="A53" s="85" t="str">
        <f t="shared" si="0"/>
        <v>-</v>
      </c>
      <c r="B53" s="110"/>
      <c r="C53" s="85"/>
      <c r="D53" s="85"/>
      <c r="E53" s="116"/>
      <c r="F53" s="85"/>
      <c r="G53" s="119"/>
      <c r="H53" s="114" t="str">
        <f t="shared" si="1"/>
        <v xml:space="preserve">; ;  </v>
      </c>
      <c r="I53" s="85"/>
      <c r="J53" s="85"/>
      <c r="K53" s="85"/>
      <c r="L53" s="107"/>
      <c r="M53" s="107"/>
      <c r="N53" s="120"/>
      <c r="O53" s="120"/>
      <c r="P53" s="107"/>
      <c r="Q53" s="107"/>
      <c r="R53" s="107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121"/>
      <c r="AX53" s="121"/>
      <c r="AY53" s="96"/>
    </row>
    <row r="54" spans="1:51" s="30" customFormat="1">
      <c r="A54" s="85" t="str">
        <f t="shared" si="0"/>
        <v>-</v>
      </c>
      <c r="B54" s="110"/>
      <c r="C54" s="85"/>
      <c r="D54" s="85"/>
      <c r="E54" s="116"/>
      <c r="F54" s="85"/>
      <c r="G54" s="119"/>
      <c r="H54" s="114" t="str">
        <f t="shared" si="1"/>
        <v xml:space="preserve">; ;  </v>
      </c>
      <c r="I54" s="85"/>
      <c r="J54" s="85"/>
      <c r="K54" s="85"/>
      <c r="L54" s="107"/>
      <c r="M54" s="107"/>
      <c r="N54" s="120"/>
      <c r="O54" s="120"/>
      <c r="P54" s="107"/>
      <c r="Q54" s="107"/>
      <c r="R54" s="107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121"/>
      <c r="AX54" s="121"/>
      <c r="AY54" s="96"/>
    </row>
    <row r="55" spans="1:51" s="30" customFormat="1">
      <c r="A55" s="85" t="str">
        <f t="shared" si="0"/>
        <v>-</v>
      </c>
      <c r="B55" s="110"/>
      <c r="C55" s="85"/>
      <c r="D55" s="85"/>
      <c r="E55" s="116"/>
      <c r="F55" s="85"/>
      <c r="G55" s="119"/>
      <c r="H55" s="114" t="str">
        <f t="shared" si="1"/>
        <v xml:space="preserve">; ;  </v>
      </c>
      <c r="I55" s="85"/>
      <c r="J55" s="85"/>
      <c r="K55" s="85"/>
      <c r="L55" s="107"/>
      <c r="M55" s="107"/>
      <c r="N55" s="120"/>
      <c r="O55" s="120"/>
      <c r="P55" s="107"/>
      <c r="Q55" s="107"/>
      <c r="R55" s="107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121"/>
      <c r="AX55" s="121"/>
      <c r="AY55" s="96"/>
    </row>
    <row r="56" spans="1:51" s="30" customFormat="1">
      <c r="A56" s="85" t="str">
        <f t="shared" si="0"/>
        <v>-</v>
      </c>
      <c r="B56" s="110"/>
      <c r="C56" s="85"/>
      <c r="D56" s="85"/>
      <c r="E56" s="116"/>
      <c r="F56" s="85"/>
      <c r="G56" s="119"/>
      <c r="H56" s="114" t="str">
        <f t="shared" si="1"/>
        <v xml:space="preserve">; ;  </v>
      </c>
      <c r="I56" s="85"/>
      <c r="J56" s="85"/>
      <c r="K56" s="85"/>
      <c r="L56" s="107"/>
      <c r="M56" s="107"/>
      <c r="N56" s="120"/>
      <c r="O56" s="120"/>
      <c r="P56" s="107"/>
      <c r="Q56" s="107"/>
      <c r="R56" s="107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121"/>
      <c r="AX56" s="121"/>
      <c r="AY56" s="96"/>
    </row>
    <row r="57" spans="1:51" s="30" customFormat="1">
      <c r="A57" s="85" t="str">
        <f t="shared" si="0"/>
        <v>-</v>
      </c>
      <c r="B57" s="110"/>
      <c r="C57" s="85"/>
      <c r="D57" s="85"/>
      <c r="E57" s="116"/>
      <c r="F57" s="85"/>
      <c r="G57" s="119"/>
      <c r="H57" s="114" t="str">
        <f t="shared" si="1"/>
        <v xml:space="preserve">; ;  </v>
      </c>
      <c r="I57" s="85"/>
      <c r="J57" s="85"/>
      <c r="K57" s="85"/>
      <c r="L57" s="107"/>
      <c r="M57" s="107"/>
      <c r="N57" s="120"/>
      <c r="O57" s="120"/>
      <c r="P57" s="107"/>
      <c r="Q57" s="107"/>
      <c r="R57" s="107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121"/>
      <c r="AX57" s="121"/>
      <c r="AY57" s="96"/>
    </row>
    <row r="58" spans="1:51" s="30" customFormat="1">
      <c r="A58" s="85" t="str">
        <f t="shared" si="0"/>
        <v>-</v>
      </c>
      <c r="B58" s="110"/>
      <c r="C58" s="85"/>
      <c r="D58" s="85"/>
      <c r="E58" s="116"/>
      <c r="F58" s="85"/>
      <c r="G58" s="119"/>
      <c r="H58" s="114" t="str">
        <f t="shared" si="1"/>
        <v xml:space="preserve">; ;  </v>
      </c>
      <c r="I58" s="85"/>
      <c r="J58" s="85"/>
      <c r="K58" s="85"/>
      <c r="L58" s="107"/>
      <c r="M58" s="107"/>
      <c r="N58" s="120"/>
      <c r="O58" s="120"/>
      <c r="P58" s="107"/>
      <c r="Q58" s="107"/>
      <c r="R58" s="107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121"/>
      <c r="AX58" s="121"/>
      <c r="AY58" s="96"/>
    </row>
    <row r="59" spans="1:51" s="30" customFormat="1">
      <c r="A59" s="85" t="str">
        <f t="shared" si="0"/>
        <v>-</v>
      </c>
      <c r="B59" s="110"/>
      <c r="C59" s="85"/>
      <c r="D59" s="85"/>
      <c r="E59" s="116"/>
      <c r="F59" s="85"/>
      <c r="G59" s="119"/>
      <c r="H59" s="114" t="str">
        <f t="shared" si="1"/>
        <v xml:space="preserve">; ;  </v>
      </c>
      <c r="I59" s="85"/>
      <c r="J59" s="85"/>
      <c r="K59" s="85"/>
      <c r="L59" s="107"/>
      <c r="M59" s="107"/>
      <c r="N59" s="120"/>
      <c r="O59" s="120"/>
      <c r="P59" s="107"/>
      <c r="Q59" s="107"/>
      <c r="R59" s="107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121"/>
      <c r="AX59" s="121"/>
      <c r="AY59" s="96"/>
    </row>
    <row r="60" spans="1:51" s="30" customFormat="1">
      <c r="A60" s="85" t="str">
        <f t="shared" si="0"/>
        <v>-</v>
      </c>
      <c r="B60" s="110"/>
      <c r="C60" s="85"/>
      <c r="D60" s="85"/>
      <c r="E60" s="116"/>
      <c r="F60" s="85"/>
      <c r="G60" s="119"/>
      <c r="H60" s="114" t="str">
        <f t="shared" si="1"/>
        <v xml:space="preserve">; ;  </v>
      </c>
      <c r="I60" s="85"/>
      <c r="J60" s="85"/>
      <c r="K60" s="85"/>
      <c r="L60" s="107"/>
      <c r="M60" s="107"/>
      <c r="N60" s="120"/>
      <c r="O60" s="120"/>
      <c r="P60" s="107"/>
      <c r="Q60" s="107"/>
      <c r="R60" s="107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121"/>
      <c r="AX60" s="121"/>
      <c r="AY60" s="96"/>
    </row>
    <row r="61" spans="1:51" s="30" customFormat="1">
      <c r="B61" s="50"/>
      <c r="E61" s="67"/>
      <c r="G61" s="35"/>
      <c r="L61" s="32"/>
      <c r="M61" s="32"/>
      <c r="N61" s="11"/>
      <c r="O61" s="11"/>
      <c r="P61" s="32"/>
      <c r="Q61" s="32"/>
      <c r="R61" s="32"/>
      <c r="AV61" s="50"/>
      <c r="AX61" s="20"/>
      <c r="AY61" s="78"/>
    </row>
    <row r="62" spans="1:51" s="30" customFormat="1">
      <c r="B62" s="50"/>
      <c r="E62" s="67"/>
      <c r="G62" s="35"/>
      <c r="L62" s="32"/>
      <c r="M62" s="32"/>
      <c r="N62" s="11"/>
      <c r="O62" s="11"/>
      <c r="P62" s="32"/>
      <c r="Q62" s="32"/>
      <c r="R62" s="32"/>
      <c r="AV62" s="50"/>
      <c r="AX62" s="20"/>
      <c r="AY62" s="34"/>
    </row>
    <row r="63" spans="1:51" s="30" customFormat="1">
      <c r="B63" s="50"/>
      <c r="E63" s="67"/>
      <c r="G63" s="35"/>
      <c r="L63" s="32"/>
      <c r="M63" s="32"/>
      <c r="N63" s="11"/>
      <c r="O63" s="11"/>
      <c r="P63" s="32"/>
      <c r="Q63" s="32"/>
      <c r="R63" s="32"/>
      <c r="AV63" s="50"/>
      <c r="AX63" s="20"/>
      <c r="AY63" s="34"/>
    </row>
    <row r="64" spans="1:51" s="30" customFormat="1">
      <c r="B64" s="50"/>
      <c r="E64" s="67"/>
      <c r="G64" s="35"/>
      <c r="L64" s="32"/>
      <c r="M64" s="32"/>
      <c r="N64" s="11"/>
      <c r="O64" s="11"/>
      <c r="P64" s="32"/>
      <c r="Q64" s="32"/>
      <c r="R64" s="32"/>
      <c r="AV64" s="50"/>
      <c r="AX64" s="20"/>
      <c r="AY64" s="34"/>
    </row>
    <row r="65" spans="2:51" s="30" customFormat="1">
      <c r="B65" s="50"/>
      <c r="E65" s="67"/>
      <c r="G65" s="35"/>
      <c r="L65" s="32"/>
      <c r="M65" s="32"/>
      <c r="N65" s="11"/>
      <c r="O65" s="11"/>
      <c r="P65" s="32"/>
      <c r="Q65" s="32"/>
      <c r="R65" s="32"/>
      <c r="AV65" s="50"/>
      <c r="AX65" s="20"/>
      <c r="AY65" s="34"/>
    </row>
    <row r="66" spans="2:51" s="30" customFormat="1">
      <c r="B66" s="50"/>
      <c r="E66" s="67"/>
      <c r="G66" s="35"/>
      <c r="L66" s="32"/>
      <c r="M66" s="32"/>
      <c r="N66" s="11"/>
      <c r="O66" s="11"/>
      <c r="P66" s="32"/>
      <c r="Q66" s="32"/>
      <c r="R66" s="32"/>
      <c r="AV66" s="50"/>
      <c r="AX66" s="20"/>
      <c r="AY66" s="34"/>
    </row>
    <row r="67" spans="2:51" s="30" customFormat="1">
      <c r="B67" s="50"/>
      <c r="E67" s="67"/>
      <c r="G67" s="35"/>
      <c r="L67" s="32"/>
      <c r="M67" s="32"/>
      <c r="N67" s="11"/>
      <c r="O67" s="11"/>
      <c r="P67" s="32"/>
      <c r="Q67" s="32"/>
      <c r="R67" s="32"/>
      <c r="AV67" s="50"/>
      <c r="AX67" s="20"/>
      <c r="AY67" s="34"/>
    </row>
    <row r="68" spans="2:51" s="30" customFormat="1">
      <c r="B68" s="50"/>
      <c r="E68" s="67"/>
      <c r="G68" s="35"/>
      <c r="L68" s="32"/>
      <c r="M68" s="32"/>
      <c r="N68" s="11"/>
      <c r="O68" s="11"/>
      <c r="P68" s="32"/>
      <c r="Q68" s="32"/>
      <c r="R68" s="32"/>
      <c r="AV68" s="50"/>
      <c r="AX68" s="20"/>
      <c r="AY68" s="34"/>
    </row>
    <row r="69" spans="2:51" s="30" customFormat="1">
      <c r="B69" s="50"/>
      <c r="E69" s="67"/>
      <c r="G69" s="35"/>
      <c r="L69" s="32"/>
      <c r="M69" s="32"/>
      <c r="N69" s="11"/>
      <c r="O69" s="11"/>
      <c r="P69" s="32"/>
      <c r="Q69" s="32"/>
      <c r="R69" s="32"/>
      <c r="AV69" s="50"/>
      <c r="AX69" s="20"/>
      <c r="AY69" s="34"/>
    </row>
    <row r="70" spans="2:51" s="30" customFormat="1">
      <c r="B70" s="50"/>
      <c r="E70" s="67"/>
      <c r="G70" s="35"/>
      <c r="L70" s="32"/>
      <c r="M70" s="32"/>
      <c r="N70" s="11"/>
      <c r="O70" s="11"/>
      <c r="P70" s="32"/>
      <c r="Q70" s="32"/>
      <c r="R70" s="32"/>
      <c r="AV70" s="50"/>
      <c r="AX70" s="20"/>
      <c r="AY70" s="34"/>
    </row>
    <row r="71" spans="2:51" s="30" customFormat="1">
      <c r="B71" s="50"/>
      <c r="E71" s="67"/>
      <c r="G71" s="35"/>
      <c r="L71" s="32"/>
      <c r="M71" s="32"/>
      <c r="N71" s="11"/>
      <c r="O71" s="11"/>
      <c r="P71" s="32"/>
      <c r="Q71" s="32"/>
      <c r="R71" s="32"/>
      <c r="AV71" s="50"/>
      <c r="AX71" s="20"/>
      <c r="AY71" s="34"/>
    </row>
    <row r="72" spans="2:51" s="30" customFormat="1">
      <c r="B72" s="50"/>
      <c r="E72" s="67"/>
      <c r="G72" s="35"/>
      <c r="L72" s="32"/>
      <c r="M72" s="32"/>
      <c r="N72" s="11"/>
      <c r="O72" s="11"/>
      <c r="P72" s="32"/>
      <c r="Q72" s="32"/>
      <c r="R72" s="32"/>
      <c r="AV72" s="50"/>
      <c r="AX72" s="20"/>
      <c r="AY72" s="34"/>
    </row>
    <row r="73" spans="2:51" s="30" customFormat="1">
      <c r="B73" s="50"/>
      <c r="E73" s="67"/>
      <c r="G73" s="35"/>
      <c r="L73" s="32"/>
      <c r="M73" s="32"/>
      <c r="N73" s="11"/>
      <c r="O73" s="11"/>
      <c r="P73" s="32"/>
      <c r="Q73" s="32"/>
      <c r="R73" s="32"/>
      <c r="AV73" s="50"/>
      <c r="AX73" s="20"/>
      <c r="AY73" s="34"/>
    </row>
    <row r="74" spans="2:51" s="30" customFormat="1">
      <c r="B74" s="50"/>
      <c r="E74" s="67"/>
      <c r="G74" s="35"/>
      <c r="L74" s="32"/>
      <c r="M74" s="32"/>
      <c r="N74" s="11"/>
      <c r="O74" s="11"/>
      <c r="P74" s="32"/>
      <c r="Q74" s="32"/>
      <c r="R74" s="32"/>
      <c r="AV74" s="50"/>
      <c r="AX74" s="20"/>
      <c r="AY74" s="34"/>
    </row>
    <row r="75" spans="2:51" s="30" customFormat="1">
      <c r="B75" s="50"/>
      <c r="E75" s="67"/>
      <c r="G75" s="35"/>
      <c r="L75" s="32"/>
      <c r="M75" s="32"/>
      <c r="N75" s="11"/>
      <c r="O75" s="11"/>
      <c r="P75" s="32"/>
      <c r="Q75" s="32"/>
      <c r="R75" s="32"/>
      <c r="AV75" s="50"/>
      <c r="AX75" s="20"/>
      <c r="AY75" s="34"/>
    </row>
    <row r="76" spans="2:51" s="30" customFormat="1">
      <c r="B76" s="50"/>
      <c r="E76" s="67"/>
      <c r="G76" s="35"/>
      <c r="L76" s="32"/>
      <c r="M76" s="32"/>
      <c r="N76" s="11"/>
      <c r="O76" s="11"/>
      <c r="P76" s="32"/>
      <c r="Q76" s="32"/>
      <c r="R76" s="32"/>
      <c r="AV76" s="50"/>
      <c r="AX76" s="20"/>
      <c r="AY76" s="34"/>
    </row>
    <row r="77" spans="2:51" s="30" customFormat="1">
      <c r="B77" s="50"/>
      <c r="E77" s="67"/>
      <c r="G77" s="35"/>
      <c r="L77" s="32"/>
      <c r="M77" s="32"/>
      <c r="N77" s="11"/>
      <c r="O77" s="11"/>
      <c r="P77" s="32"/>
      <c r="Q77" s="32"/>
      <c r="R77" s="32"/>
      <c r="AV77" s="50"/>
      <c r="AX77" s="20"/>
      <c r="AY77" s="34"/>
    </row>
    <row r="78" spans="2:51" s="30" customFormat="1">
      <c r="B78" s="50"/>
      <c r="E78" s="67"/>
      <c r="G78" s="35"/>
      <c r="L78" s="32"/>
      <c r="M78" s="32"/>
      <c r="N78" s="11"/>
      <c r="O78" s="11"/>
      <c r="P78" s="32"/>
      <c r="Q78" s="32"/>
      <c r="R78" s="32"/>
      <c r="AV78" s="50"/>
      <c r="AX78" s="20"/>
      <c r="AY78" s="34"/>
    </row>
    <row r="79" spans="2:51" s="30" customFormat="1">
      <c r="B79" s="50"/>
      <c r="E79" s="67"/>
      <c r="G79" s="35"/>
      <c r="L79" s="32"/>
      <c r="M79" s="32"/>
      <c r="N79" s="11"/>
      <c r="O79" s="11"/>
      <c r="P79" s="32"/>
      <c r="Q79" s="32"/>
      <c r="R79" s="32"/>
      <c r="AV79" s="50"/>
      <c r="AX79" s="20"/>
      <c r="AY79" s="34"/>
    </row>
    <row r="80" spans="2:51" s="30" customFormat="1">
      <c r="B80" s="50"/>
      <c r="E80" s="67"/>
      <c r="G80" s="35"/>
      <c r="L80" s="32"/>
      <c r="M80" s="32"/>
      <c r="N80" s="11"/>
      <c r="O80" s="11"/>
      <c r="P80" s="32"/>
      <c r="Q80" s="32"/>
      <c r="R80" s="32"/>
      <c r="AV80" s="50"/>
      <c r="AY80" s="50"/>
    </row>
    <row r="81" spans="2:51" s="30" customFormat="1">
      <c r="B81" s="50"/>
      <c r="E81" s="67"/>
      <c r="G81" s="35"/>
      <c r="L81" s="32"/>
      <c r="M81" s="32"/>
      <c r="N81" s="11"/>
      <c r="O81" s="11"/>
      <c r="P81" s="32"/>
      <c r="Q81" s="32"/>
      <c r="R81" s="32"/>
      <c r="AV81" s="50"/>
      <c r="AY81" s="50"/>
    </row>
    <row r="82" spans="2:51" s="30" customFormat="1">
      <c r="B82" s="50"/>
      <c r="E82" s="67"/>
      <c r="G82" s="35"/>
      <c r="L82" s="32"/>
      <c r="M82" s="32"/>
      <c r="N82" s="11"/>
      <c r="O82" s="11"/>
      <c r="P82" s="32"/>
      <c r="Q82" s="32"/>
      <c r="R82" s="32"/>
      <c r="AV82" s="50"/>
      <c r="AY82" s="50"/>
    </row>
    <row r="83" spans="2:51" s="30" customFormat="1">
      <c r="B83" s="50"/>
      <c r="E83" s="67"/>
      <c r="G83" s="35"/>
      <c r="L83" s="32"/>
      <c r="M83" s="32"/>
      <c r="N83" s="11"/>
      <c r="O83" s="11"/>
      <c r="P83" s="32"/>
      <c r="Q83" s="32"/>
      <c r="R83" s="32"/>
      <c r="AV83" s="50"/>
      <c r="AY83" s="50"/>
    </row>
    <row r="84" spans="2:51" s="30" customFormat="1">
      <c r="B84" s="50"/>
      <c r="E84" s="67"/>
      <c r="G84" s="35"/>
      <c r="L84" s="32"/>
      <c r="M84" s="32"/>
      <c r="N84" s="11"/>
      <c r="O84" s="11"/>
      <c r="P84" s="32"/>
      <c r="Q84" s="32"/>
      <c r="R84" s="32"/>
      <c r="AV84" s="50"/>
      <c r="AY84" s="50"/>
    </row>
    <row r="85" spans="2:51" s="30" customFormat="1">
      <c r="B85" s="50"/>
      <c r="E85" s="67"/>
      <c r="G85" s="35"/>
      <c r="L85" s="32"/>
      <c r="M85" s="32"/>
      <c r="N85" s="11"/>
      <c r="O85" s="11"/>
      <c r="P85" s="32"/>
      <c r="Q85" s="32"/>
      <c r="R85" s="32"/>
      <c r="AV85" s="50"/>
      <c r="AY85" s="50"/>
    </row>
    <row r="86" spans="2:51" s="30" customFormat="1">
      <c r="B86" s="50"/>
      <c r="E86" s="67"/>
      <c r="G86" s="35"/>
      <c r="L86" s="32"/>
      <c r="M86" s="32"/>
      <c r="N86" s="11"/>
      <c r="O86" s="11"/>
      <c r="P86" s="32"/>
      <c r="Q86" s="32"/>
      <c r="R86" s="32"/>
      <c r="AV86" s="50"/>
      <c r="AY86" s="50"/>
    </row>
    <row r="87" spans="2:51" s="30" customFormat="1">
      <c r="B87" s="50"/>
      <c r="E87" s="67"/>
      <c r="G87" s="35"/>
      <c r="L87" s="32"/>
      <c r="M87" s="32"/>
      <c r="N87" s="11"/>
      <c r="O87" s="11"/>
      <c r="P87" s="32"/>
      <c r="Q87" s="32"/>
      <c r="R87" s="32"/>
      <c r="AV87" s="50"/>
      <c r="AY87" s="50"/>
    </row>
    <row r="88" spans="2:51" s="30" customFormat="1">
      <c r="B88" s="50"/>
      <c r="E88" s="67"/>
      <c r="G88" s="35"/>
      <c r="L88" s="32"/>
      <c r="M88" s="32"/>
      <c r="N88" s="11"/>
      <c r="O88" s="11"/>
      <c r="P88" s="32"/>
      <c r="Q88" s="32"/>
      <c r="R88" s="32"/>
      <c r="AV88" s="50"/>
      <c r="AY88" s="50"/>
    </row>
    <row r="89" spans="2:51" s="30" customFormat="1">
      <c r="B89" s="50"/>
      <c r="E89" s="67"/>
      <c r="G89" s="35"/>
      <c r="L89" s="32"/>
      <c r="M89" s="32"/>
      <c r="N89" s="11"/>
      <c r="O89" s="11"/>
      <c r="P89" s="32"/>
      <c r="Q89" s="32"/>
      <c r="R89" s="32"/>
      <c r="AV89" s="50"/>
      <c r="AY89" s="50"/>
    </row>
    <row r="90" spans="2:51" s="30" customFormat="1">
      <c r="B90" s="50"/>
      <c r="E90" s="67"/>
      <c r="G90" s="35"/>
      <c r="L90" s="32"/>
      <c r="M90" s="32"/>
      <c r="N90" s="11"/>
      <c r="O90" s="11"/>
      <c r="P90" s="32"/>
      <c r="Q90" s="32"/>
      <c r="R90" s="32"/>
      <c r="AV90" s="50"/>
      <c r="AY90" s="50"/>
    </row>
    <row r="91" spans="2:51" s="30" customFormat="1">
      <c r="B91" s="50"/>
      <c r="E91" s="67"/>
      <c r="G91" s="35"/>
      <c r="L91" s="32"/>
      <c r="M91" s="32"/>
      <c r="N91" s="11"/>
      <c r="O91" s="11"/>
      <c r="P91" s="32"/>
      <c r="Q91" s="32"/>
      <c r="R91" s="32"/>
      <c r="AV91" s="50"/>
      <c r="AY91" s="50"/>
    </row>
    <row r="92" spans="2:51" s="30" customFormat="1">
      <c r="B92" s="50"/>
      <c r="E92" s="67"/>
      <c r="G92" s="35"/>
      <c r="L92" s="32"/>
      <c r="M92" s="32"/>
      <c r="N92" s="11"/>
      <c r="O92" s="11"/>
      <c r="P92" s="32"/>
      <c r="Q92" s="32"/>
      <c r="R92" s="32"/>
      <c r="AV92" s="50"/>
      <c r="AY92" s="50"/>
    </row>
    <row r="93" spans="2:51" s="30" customFormat="1">
      <c r="B93" s="50"/>
      <c r="E93" s="67"/>
      <c r="G93" s="35"/>
      <c r="L93" s="32"/>
      <c r="M93" s="32"/>
      <c r="N93" s="11"/>
      <c r="O93" s="11"/>
      <c r="P93" s="32"/>
      <c r="Q93" s="32"/>
      <c r="R93" s="32"/>
      <c r="AV93" s="50"/>
      <c r="AY93" s="50"/>
    </row>
    <row r="94" spans="2:51" s="30" customFormat="1">
      <c r="B94" s="50"/>
      <c r="E94" s="67"/>
      <c r="G94" s="35"/>
      <c r="L94" s="32"/>
      <c r="M94" s="32"/>
      <c r="N94" s="11"/>
      <c r="O94" s="11"/>
      <c r="P94" s="32"/>
      <c r="Q94" s="32"/>
      <c r="R94" s="32"/>
      <c r="AV94" s="50"/>
      <c r="AY94" s="50"/>
    </row>
    <row r="95" spans="2:51" s="30" customFormat="1">
      <c r="B95" s="50"/>
      <c r="E95" s="67"/>
      <c r="G95" s="35"/>
      <c r="L95" s="32"/>
      <c r="M95" s="32"/>
      <c r="N95" s="11"/>
      <c r="O95" s="11"/>
      <c r="P95" s="32"/>
      <c r="Q95" s="32"/>
      <c r="R95" s="32"/>
      <c r="AV95" s="50"/>
      <c r="AY95" s="50"/>
    </row>
    <row r="96" spans="2:51" s="30" customFormat="1">
      <c r="B96" s="50"/>
      <c r="E96" s="67"/>
      <c r="G96" s="35"/>
      <c r="L96" s="32"/>
      <c r="M96" s="32"/>
      <c r="N96" s="11"/>
      <c r="O96" s="11"/>
      <c r="P96" s="32"/>
      <c r="Q96" s="32"/>
      <c r="R96" s="32"/>
      <c r="AV96" s="50"/>
      <c r="AY96" s="50"/>
    </row>
    <row r="97" spans="2:51" s="30" customFormat="1">
      <c r="B97" s="50"/>
      <c r="E97" s="67"/>
      <c r="G97" s="35"/>
      <c r="L97" s="32"/>
      <c r="M97" s="32"/>
      <c r="N97" s="11"/>
      <c r="O97" s="11"/>
      <c r="P97" s="32"/>
      <c r="Q97" s="32"/>
      <c r="R97" s="32"/>
      <c r="AV97" s="50"/>
      <c r="AY97" s="50"/>
    </row>
    <row r="98" spans="2:51" s="30" customFormat="1">
      <c r="B98" s="50"/>
      <c r="E98" s="67"/>
      <c r="G98" s="35"/>
      <c r="L98" s="32"/>
      <c r="M98" s="32"/>
      <c r="N98" s="11"/>
      <c r="O98" s="11"/>
      <c r="P98" s="32"/>
      <c r="Q98" s="32"/>
      <c r="R98" s="32"/>
      <c r="AV98" s="50"/>
      <c r="AY98" s="50"/>
    </row>
    <row r="99" spans="2:51" s="30" customFormat="1">
      <c r="B99" s="50"/>
      <c r="E99" s="67"/>
      <c r="G99" s="35"/>
      <c r="L99" s="32"/>
      <c r="M99" s="32"/>
      <c r="N99" s="11"/>
      <c r="O99" s="11"/>
      <c r="P99" s="32"/>
      <c r="Q99" s="32"/>
      <c r="R99" s="32"/>
      <c r="AV99" s="50"/>
      <c r="AY99" s="50"/>
    </row>
    <row r="100" spans="2:51" s="30" customFormat="1">
      <c r="B100" s="50"/>
      <c r="E100" s="67"/>
      <c r="G100" s="35"/>
      <c r="L100" s="32"/>
      <c r="M100" s="32"/>
      <c r="N100" s="11"/>
      <c r="O100" s="11"/>
      <c r="P100" s="32"/>
      <c r="Q100" s="32"/>
      <c r="R100" s="32"/>
      <c r="AV100" s="50"/>
      <c r="AY100" s="50"/>
    </row>
    <row r="101" spans="2:51" s="30" customFormat="1">
      <c r="B101" s="50"/>
      <c r="E101" s="67"/>
      <c r="G101" s="35"/>
      <c r="L101" s="32"/>
      <c r="M101" s="32"/>
      <c r="N101" s="11"/>
      <c r="O101" s="11"/>
      <c r="P101" s="32"/>
      <c r="Q101" s="32"/>
      <c r="R101" s="32"/>
      <c r="AV101" s="50"/>
      <c r="AY101" s="50"/>
    </row>
    <row r="102" spans="2:51" s="30" customFormat="1">
      <c r="B102" s="50"/>
      <c r="E102" s="67"/>
      <c r="G102" s="35"/>
      <c r="L102" s="32"/>
      <c r="M102" s="32"/>
      <c r="N102" s="11"/>
      <c r="O102" s="11"/>
      <c r="P102" s="32"/>
      <c r="Q102" s="32"/>
      <c r="R102" s="32"/>
      <c r="AV102" s="50"/>
      <c r="AY102" s="50"/>
    </row>
    <row r="103" spans="2:51" s="30" customFormat="1">
      <c r="B103" s="50"/>
      <c r="E103" s="67"/>
      <c r="G103" s="35"/>
      <c r="L103" s="32"/>
      <c r="M103" s="32"/>
      <c r="N103" s="11"/>
      <c r="O103" s="11"/>
      <c r="P103" s="32"/>
      <c r="Q103" s="32"/>
      <c r="R103" s="32"/>
      <c r="AV103" s="50"/>
      <c r="AY103" s="50"/>
    </row>
    <row r="104" spans="2:51" s="30" customFormat="1">
      <c r="B104" s="50"/>
      <c r="E104" s="67"/>
      <c r="G104" s="35"/>
      <c r="L104" s="32"/>
      <c r="M104" s="32"/>
      <c r="N104" s="11"/>
      <c r="O104" s="11"/>
      <c r="P104" s="32"/>
      <c r="Q104" s="32"/>
      <c r="R104" s="32"/>
      <c r="AV104" s="50"/>
      <c r="AY104" s="50"/>
    </row>
    <row r="105" spans="2:51" s="30" customFormat="1">
      <c r="B105" s="50"/>
      <c r="E105" s="67"/>
      <c r="G105" s="35"/>
      <c r="L105" s="32"/>
      <c r="M105" s="32"/>
      <c r="N105" s="11"/>
      <c r="O105" s="11"/>
      <c r="P105" s="32"/>
      <c r="Q105" s="32"/>
      <c r="R105" s="32"/>
      <c r="AV105" s="50"/>
      <c r="AY105" s="50"/>
    </row>
    <row r="106" spans="2:51" s="30" customFormat="1">
      <c r="B106" s="50"/>
      <c r="E106" s="67"/>
      <c r="G106" s="35"/>
      <c r="L106" s="32"/>
      <c r="M106" s="32"/>
      <c r="N106" s="11"/>
      <c r="O106" s="11"/>
      <c r="P106" s="32"/>
      <c r="Q106" s="32"/>
      <c r="R106" s="32"/>
      <c r="AV106" s="50"/>
      <c r="AY106" s="50"/>
    </row>
    <row r="107" spans="2:51" s="30" customFormat="1">
      <c r="B107" s="50"/>
      <c r="E107" s="67"/>
      <c r="G107" s="35"/>
      <c r="L107" s="32"/>
      <c r="M107" s="32"/>
      <c r="N107" s="11"/>
      <c r="O107" s="11"/>
      <c r="P107" s="32"/>
      <c r="Q107" s="32"/>
      <c r="R107" s="32"/>
      <c r="AV107" s="50"/>
      <c r="AY107" s="50"/>
    </row>
    <row r="108" spans="2:51" s="30" customFormat="1">
      <c r="B108" s="50"/>
      <c r="E108" s="67"/>
      <c r="G108" s="35"/>
      <c r="L108" s="32"/>
      <c r="M108" s="32"/>
      <c r="N108" s="11"/>
      <c r="O108" s="11"/>
      <c r="P108" s="32"/>
      <c r="Q108" s="32"/>
      <c r="R108" s="32"/>
      <c r="AV108" s="50"/>
      <c r="AY108" s="50"/>
    </row>
    <row r="109" spans="2:51" s="30" customFormat="1">
      <c r="B109" s="50"/>
      <c r="E109" s="67"/>
      <c r="G109" s="35"/>
      <c r="L109" s="32"/>
      <c r="M109" s="32"/>
      <c r="N109" s="11"/>
      <c r="O109" s="11"/>
      <c r="P109" s="32"/>
      <c r="Q109" s="32"/>
      <c r="R109" s="32"/>
      <c r="AV109" s="50"/>
      <c r="AY109" s="50"/>
    </row>
    <row r="110" spans="2:51" s="30" customFormat="1">
      <c r="B110" s="50"/>
      <c r="E110" s="67"/>
      <c r="G110" s="35"/>
      <c r="L110" s="32"/>
      <c r="M110" s="32"/>
      <c r="N110" s="11"/>
      <c r="O110" s="11"/>
      <c r="P110" s="32"/>
      <c r="Q110" s="32"/>
      <c r="R110" s="32"/>
      <c r="AV110" s="50"/>
      <c r="AY110" s="50"/>
    </row>
    <row r="111" spans="2:51" s="30" customFormat="1">
      <c r="B111" s="50"/>
      <c r="E111" s="67"/>
      <c r="G111" s="35"/>
      <c r="L111" s="32"/>
      <c r="M111" s="32"/>
      <c r="N111" s="11"/>
      <c r="O111" s="11"/>
      <c r="P111" s="32"/>
      <c r="Q111" s="32"/>
      <c r="R111" s="32"/>
      <c r="AV111" s="50"/>
      <c r="AY111" s="50"/>
    </row>
    <row r="112" spans="2:51" s="30" customFormat="1">
      <c r="B112" s="50"/>
      <c r="E112" s="67"/>
      <c r="G112" s="35"/>
      <c r="L112" s="32"/>
      <c r="M112" s="32"/>
      <c r="N112" s="11"/>
      <c r="O112" s="11"/>
      <c r="P112" s="32"/>
      <c r="Q112" s="32"/>
      <c r="R112" s="32"/>
      <c r="AV112" s="50"/>
      <c r="AY112" s="50"/>
    </row>
    <row r="113" spans="2:51" s="30" customFormat="1">
      <c r="B113" s="50"/>
      <c r="E113" s="67"/>
      <c r="G113" s="35"/>
      <c r="L113" s="32"/>
      <c r="M113" s="32"/>
      <c r="N113" s="11"/>
      <c r="O113" s="11"/>
      <c r="P113" s="32"/>
      <c r="Q113" s="32"/>
      <c r="R113" s="32"/>
      <c r="AV113" s="50"/>
      <c r="AY113" s="50"/>
    </row>
    <row r="114" spans="2:51" s="30" customFormat="1">
      <c r="B114" s="50"/>
      <c r="E114" s="67"/>
      <c r="G114" s="35"/>
      <c r="L114" s="32"/>
      <c r="M114" s="32"/>
      <c r="N114" s="11"/>
      <c r="O114" s="11"/>
      <c r="P114" s="32"/>
      <c r="Q114" s="32"/>
      <c r="R114" s="32"/>
      <c r="AV114" s="50"/>
      <c r="AY114" s="50"/>
    </row>
    <row r="115" spans="2:51" s="30" customFormat="1">
      <c r="B115" s="50"/>
      <c r="E115" s="67"/>
      <c r="G115" s="35"/>
      <c r="L115" s="32"/>
      <c r="M115" s="32"/>
      <c r="N115" s="11"/>
      <c r="O115" s="11"/>
      <c r="P115" s="32"/>
      <c r="Q115" s="32"/>
      <c r="R115" s="32"/>
      <c r="AV115" s="50"/>
      <c r="AY115" s="50"/>
    </row>
    <row r="116" spans="2:51" s="30" customFormat="1">
      <c r="B116" s="50"/>
      <c r="E116" s="67"/>
      <c r="G116" s="35"/>
      <c r="L116" s="32"/>
      <c r="M116" s="32"/>
      <c r="N116" s="11"/>
      <c r="O116" s="11"/>
      <c r="P116" s="32"/>
      <c r="Q116" s="32"/>
      <c r="R116" s="32"/>
      <c r="AV116" s="50"/>
      <c r="AY116" s="50"/>
    </row>
    <row r="117" spans="2:51" s="30" customFormat="1">
      <c r="B117" s="50"/>
      <c r="E117" s="67"/>
      <c r="G117" s="35"/>
      <c r="L117" s="32"/>
      <c r="M117" s="32"/>
      <c r="N117" s="11"/>
      <c r="O117" s="11"/>
      <c r="P117" s="32"/>
      <c r="Q117" s="32"/>
      <c r="R117" s="32"/>
      <c r="AV117" s="50"/>
      <c r="AY117" s="50"/>
    </row>
    <row r="118" spans="2:51" s="30" customFormat="1">
      <c r="B118" s="50"/>
      <c r="E118" s="67"/>
      <c r="G118" s="35"/>
      <c r="L118" s="32"/>
      <c r="M118" s="32"/>
      <c r="N118" s="11"/>
      <c r="O118" s="11"/>
      <c r="P118" s="32"/>
      <c r="Q118" s="32"/>
      <c r="R118" s="32"/>
      <c r="AV118" s="50"/>
      <c r="AY118" s="50"/>
    </row>
    <row r="119" spans="2:51" s="30" customFormat="1">
      <c r="B119" s="50"/>
      <c r="E119" s="67"/>
      <c r="G119" s="35"/>
      <c r="L119" s="32"/>
      <c r="M119" s="32"/>
      <c r="N119" s="11"/>
      <c r="O119" s="11"/>
      <c r="P119" s="32"/>
      <c r="Q119" s="32"/>
      <c r="R119" s="32"/>
      <c r="AV119" s="50"/>
      <c r="AY119" s="50"/>
    </row>
    <row r="120" spans="2:51" s="30" customFormat="1">
      <c r="B120" s="50"/>
      <c r="E120" s="67"/>
      <c r="G120" s="35"/>
      <c r="L120" s="32"/>
      <c r="M120" s="32"/>
      <c r="N120" s="11"/>
      <c r="O120" s="11"/>
      <c r="P120" s="32"/>
      <c r="Q120" s="32"/>
      <c r="R120" s="32"/>
      <c r="AV120" s="50"/>
      <c r="AY120" s="50"/>
    </row>
    <row r="121" spans="2:51" s="30" customFormat="1">
      <c r="B121" s="50"/>
      <c r="E121" s="67"/>
      <c r="G121" s="35"/>
      <c r="L121" s="32"/>
      <c r="M121" s="32"/>
      <c r="N121" s="11"/>
      <c r="O121" s="11"/>
      <c r="P121" s="32"/>
      <c r="Q121" s="32"/>
      <c r="R121" s="32"/>
      <c r="AV121" s="50"/>
      <c r="AY121" s="50"/>
    </row>
    <row r="122" spans="2:51" s="30" customFormat="1">
      <c r="B122" s="50"/>
      <c r="E122" s="67"/>
      <c r="G122" s="35"/>
      <c r="L122" s="32"/>
      <c r="M122" s="32"/>
      <c r="N122" s="11"/>
      <c r="O122" s="11"/>
      <c r="P122" s="32"/>
      <c r="Q122" s="32"/>
      <c r="R122" s="32"/>
      <c r="AV122" s="50"/>
      <c r="AY122" s="50"/>
    </row>
    <row r="123" spans="2:51" s="30" customFormat="1">
      <c r="B123" s="50"/>
      <c r="E123" s="67"/>
      <c r="G123" s="35"/>
      <c r="L123" s="32"/>
      <c r="M123" s="32"/>
      <c r="N123" s="11"/>
      <c r="O123" s="11"/>
      <c r="P123" s="32"/>
      <c r="Q123" s="32"/>
      <c r="R123" s="32"/>
      <c r="AV123" s="50"/>
      <c r="AY123" s="50"/>
    </row>
    <row r="124" spans="2:51" s="30" customFormat="1">
      <c r="B124" s="50"/>
      <c r="E124" s="67"/>
      <c r="G124" s="35"/>
      <c r="L124" s="32"/>
      <c r="M124" s="32"/>
      <c r="N124" s="11"/>
      <c r="O124" s="11"/>
      <c r="P124" s="32"/>
      <c r="Q124" s="32"/>
      <c r="R124" s="32"/>
      <c r="AV124" s="50"/>
      <c r="AY124" s="50"/>
    </row>
    <row r="125" spans="2:51" s="30" customFormat="1">
      <c r="B125" s="50"/>
      <c r="E125" s="67"/>
      <c r="G125" s="35"/>
      <c r="L125" s="32"/>
      <c r="M125" s="32"/>
      <c r="N125" s="11"/>
      <c r="O125" s="11"/>
      <c r="P125" s="32"/>
      <c r="Q125" s="32"/>
      <c r="R125" s="32"/>
      <c r="AV125" s="50"/>
      <c r="AY125" s="50"/>
    </row>
    <row r="126" spans="2:51" s="30" customFormat="1">
      <c r="B126" s="50"/>
      <c r="E126" s="67"/>
      <c r="G126" s="35"/>
      <c r="L126" s="32"/>
      <c r="M126" s="32"/>
      <c r="N126" s="11"/>
      <c r="O126" s="11"/>
      <c r="P126" s="32"/>
      <c r="Q126" s="32"/>
      <c r="R126" s="32"/>
      <c r="AV126" s="50"/>
      <c r="AY126" s="50"/>
    </row>
    <row r="127" spans="2:51" s="30" customFormat="1">
      <c r="B127" s="50"/>
      <c r="E127" s="67"/>
      <c r="G127" s="35"/>
      <c r="L127" s="32"/>
      <c r="M127" s="32"/>
      <c r="N127" s="11"/>
      <c r="O127" s="11"/>
      <c r="P127" s="32"/>
      <c r="Q127" s="32"/>
      <c r="R127" s="32"/>
      <c r="AV127" s="50"/>
      <c r="AY127" s="50"/>
    </row>
    <row r="128" spans="2:51" s="30" customFormat="1">
      <c r="B128" s="50"/>
      <c r="E128" s="67"/>
      <c r="G128" s="35"/>
      <c r="L128" s="32"/>
      <c r="M128" s="32"/>
      <c r="N128" s="11"/>
      <c r="O128" s="11"/>
      <c r="P128" s="32"/>
      <c r="Q128" s="32"/>
      <c r="R128" s="32"/>
      <c r="AV128" s="50"/>
      <c r="AY128" s="50"/>
    </row>
    <row r="129" spans="2:51" s="30" customFormat="1">
      <c r="B129" s="50"/>
      <c r="E129" s="67"/>
      <c r="G129" s="35"/>
      <c r="L129" s="32"/>
      <c r="M129" s="32"/>
      <c r="N129" s="11"/>
      <c r="O129" s="11"/>
      <c r="P129" s="32"/>
      <c r="Q129" s="32"/>
      <c r="R129" s="32"/>
      <c r="AV129" s="50"/>
      <c r="AY129" s="50"/>
    </row>
    <row r="130" spans="2:51" s="30" customFormat="1">
      <c r="B130" s="50"/>
      <c r="E130" s="67"/>
      <c r="G130" s="35"/>
      <c r="L130" s="32"/>
      <c r="M130" s="32"/>
      <c r="N130" s="11"/>
      <c r="O130" s="11"/>
      <c r="P130" s="32"/>
      <c r="Q130" s="32"/>
      <c r="R130" s="32"/>
      <c r="AV130" s="50"/>
      <c r="AY130" s="50"/>
    </row>
    <row r="131" spans="2:51" s="30" customFormat="1">
      <c r="B131" s="50"/>
      <c r="E131" s="67"/>
      <c r="G131" s="35"/>
      <c r="L131" s="32"/>
      <c r="M131" s="32"/>
      <c r="N131" s="11"/>
      <c r="O131" s="11"/>
      <c r="P131" s="32"/>
      <c r="Q131" s="32"/>
      <c r="R131" s="32"/>
      <c r="AV131" s="50"/>
      <c r="AY131" s="50"/>
    </row>
    <row r="132" spans="2:51" s="30" customFormat="1">
      <c r="B132" s="50"/>
      <c r="E132" s="67"/>
      <c r="G132" s="35"/>
      <c r="L132" s="32"/>
      <c r="M132" s="32"/>
      <c r="N132" s="11"/>
      <c r="O132" s="11"/>
      <c r="P132" s="32"/>
      <c r="Q132" s="32"/>
      <c r="R132" s="32"/>
      <c r="AV132" s="50"/>
      <c r="AY132" s="50"/>
    </row>
    <row r="133" spans="2:51" s="30" customFormat="1">
      <c r="B133" s="50"/>
      <c r="E133" s="67"/>
      <c r="G133" s="35"/>
      <c r="L133" s="32"/>
      <c r="M133" s="32"/>
      <c r="N133" s="11"/>
      <c r="O133" s="11"/>
      <c r="P133" s="32"/>
      <c r="Q133" s="32"/>
      <c r="R133" s="32"/>
      <c r="AV133" s="50"/>
      <c r="AY133" s="50"/>
    </row>
    <row r="134" spans="2:51" s="30" customFormat="1">
      <c r="B134" s="50"/>
      <c r="E134" s="67"/>
      <c r="G134" s="35"/>
      <c r="L134" s="32"/>
      <c r="M134" s="32"/>
      <c r="N134" s="11"/>
      <c r="O134" s="11"/>
      <c r="P134" s="32"/>
      <c r="Q134" s="32"/>
      <c r="R134" s="32"/>
      <c r="AV134" s="50"/>
      <c r="AY134" s="50"/>
    </row>
    <row r="135" spans="2:51" s="30" customFormat="1">
      <c r="B135" s="50"/>
      <c r="E135" s="67"/>
      <c r="G135" s="35"/>
      <c r="L135" s="32"/>
      <c r="M135" s="32"/>
      <c r="N135" s="11"/>
      <c r="O135" s="11"/>
      <c r="P135" s="32"/>
      <c r="Q135" s="32"/>
      <c r="R135" s="32"/>
      <c r="AV135" s="50"/>
      <c r="AY135" s="50"/>
    </row>
    <row r="136" spans="2:51" s="30" customFormat="1">
      <c r="B136" s="50"/>
      <c r="E136" s="67"/>
      <c r="G136" s="35"/>
      <c r="L136" s="32"/>
      <c r="M136" s="32"/>
      <c r="N136" s="11"/>
      <c r="O136" s="11"/>
      <c r="P136" s="32"/>
      <c r="Q136" s="32"/>
      <c r="R136" s="32"/>
      <c r="AV136" s="50"/>
      <c r="AY136" s="50"/>
    </row>
    <row r="137" spans="2:51" s="30" customFormat="1">
      <c r="B137" s="50"/>
      <c r="E137" s="67"/>
      <c r="G137" s="35"/>
      <c r="L137" s="32"/>
      <c r="M137" s="32"/>
      <c r="N137" s="11"/>
      <c r="O137" s="11"/>
      <c r="P137" s="32"/>
      <c r="Q137" s="32"/>
      <c r="R137" s="32"/>
      <c r="AV137" s="50"/>
      <c r="AY137" s="50"/>
    </row>
    <row r="138" spans="2:51" s="30" customFormat="1">
      <c r="B138" s="50"/>
      <c r="E138" s="67"/>
      <c r="G138" s="35"/>
      <c r="L138" s="32"/>
      <c r="M138" s="32"/>
      <c r="N138" s="11"/>
      <c r="O138" s="11"/>
      <c r="P138" s="32"/>
      <c r="Q138" s="32"/>
      <c r="R138" s="32"/>
      <c r="AV138" s="50"/>
      <c r="AY138" s="50"/>
    </row>
    <row r="139" spans="2:51" s="30" customFormat="1">
      <c r="B139" s="50"/>
      <c r="E139" s="67"/>
      <c r="G139" s="35"/>
      <c r="L139" s="32"/>
      <c r="M139" s="32"/>
      <c r="N139" s="11"/>
      <c r="O139" s="11"/>
      <c r="P139" s="32"/>
      <c r="Q139" s="32"/>
      <c r="R139" s="32"/>
      <c r="AV139" s="50"/>
      <c r="AY139" s="50"/>
    </row>
    <row r="140" spans="2:51" s="30" customFormat="1">
      <c r="B140" s="50"/>
      <c r="E140" s="67"/>
      <c r="G140" s="35"/>
      <c r="L140" s="32"/>
      <c r="M140" s="32"/>
      <c r="N140" s="11"/>
      <c r="O140" s="11"/>
      <c r="P140" s="32"/>
      <c r="Q140" s="32"/>
      <c r="R140" s="32"/>
      <c r="AV140" s="50"/>
      <c r="AY140" s="50"/>
    </row>
    <row r="141" spans="2:51" s="30" customFormat="1">
      <c r="B141" s="50"/>
      <c r="E141" s="67"/>
      <c r="G141" s="35"/>
      <c r="L141" s="32"/>
      <c r="M141" s="32"/>
      <c r="N141" s="11"/>
      <c r="O141" s="11"/>
      <c r="P141" s="32"/>
      <c r="Q141" s="32"/>
      <c r="R141" s="32"/>
      <c r="AV141" s="50"/>
      <c r="AY141" s="50"/>
    </row>
    <row r="142" spans="2:51" s="30" customFormat="1">
      <c r="B142" s="50"/>
      <c r="E142" s="67"/>
      <c r="G142" s="35"/>
      <c r="L142" s="32"/>
      <c r="M142" s="32"/>
      <c r="N142" s="11"/>
      <c r="O142" s="11"/>
      <c r="P142" s="32"/>
      <c r="Q142" s="32"/>
      <c r="R142" s="32"/>
      <c r="AV142" s="50"/>
      <c r="AY142" s="50"/>
    </row>
    <row r="143" spans="2:51" s="30" customFormat="1">
      <c r="B143" s="50"/>
      <c r="E143" s="67"/>
      <c r="G143" s="35"/>
      <c r="L143" s="32"/>
      <c r="M143" s="32"/>
      <c r="N143" s="11"/>
      <c r="O143" s="11"/>
      <c r="P143" s="32"/>
      <c r="Q143" s="32"/>
      <c r="R143" s="32"/>
      <c r="AV143" s="50"/>
      <c r="AY143" s="50"/>
    </row>
    <row r="144" spans="2:51" s="30" customFormat="1">
      <c r="B144" s="50"/>
      <c r="E144" s="67"/>
      <c r="G144" s="35"/>
      <c r="L144" s="32"/>
      <c r="M144" s="32"/>
      <c r="N144" s="11"/>
      <c r="O144" s="11"/>
      <c r="P144" s="32"/>
      <c r="Q144" s="32"/>
      <c r="R144" s="32"/>
      <c r="AV144" s="50"/>
      <c r="AY144" s="50"/>
    </row>
    <row r="145" spans="2:51" s="30" customFormat="1">
      <c r="B145" s="50"/>
      <c r="E145" s="67"/>
      <c r="G145" s="35"/>
      <c r="L145" s="32"/>
      <c r="M145" s="32"/>
      <c r="N145" s="11"/>
      <c r="O145" s="11"/>
      <c r="P145" s="32"/>
      <c r="Q145" s="32"/>
      <c r="R145" s="32"/>
      <c r="AV145" s="50"/>
      <c r="AY145" s="50"/>
    </row>
    <row r="146" spans="2:51" s="30" customFormat="1">
      <c r="B146" s="50"/>
      <c r="E146" s="67"/>
      <c r="G146" s="35"/>
      <c r="L146" s="32"/>
      <c r="M146" s="32"/>
      <c r="N146" s="11"/>
      <c r="O146" s="11"/>
      <c r="P146" s="32"/>
      <c r="Q146" s="32"/>
      <c r="R146" s="32"/>
      <c r="AV146" s="50"/>
      <c r="AY146" s="50"/>
    </row>
    <row r="147" spans="2:51" s="30" customFormat="1">
      <c r="B147" s="50"/>
      <c r="E147" s="67"/>
      <c r="G147" s="35"/>
      <c r="L147" s="32"/>
      <c r="M147" s="32"/>
      <c r="N147" s="11"/>
      <c r="O147" s="11"/>
      <c r="P147" s="32"/>
      <c r="Q147" s="32"/>
      <c r="R147" s="32"/>
      <c r="AV147" s="50"/>
      <c r="AY147" s="50"/>
    </row>
    <row r="148" spans="2:51" s="30" customFormat="1">
      <c r="B148" s="50"/>
      <c r="E148" s="67"/>
      <c r="G148" s="35"/>
      <c r="L148" s="32"/>
      <c r="M148" s="32"/>
      <c r="N148" s="11"/>
      <c r="O148" s="11"/>
      <c r="P148" s="32"/>
      <c r="Q148" s="32"/>
      <c r="R148" s="32"/>
      <c r="AV148" s="50"/>
      <c r="AY148" s="50"/>
    </row>
    <row r="149" spans="2:51" s="30" customFormat="1">
      <c r="B149" s="50"/>
      <c r="E149" s="67"/>
      <c r="G149" s="35"/>
      <c r="L149" s="32"/>
      <c r="M149" s="32"/>
      <c r="N149" s="11"/>
      <c r="O149" s="11"/>
      <c r="P149" s="32"/>
      <c r="Q149" s="32"/>
      <c r="R149" s="32"/>
      <c r="AV149" s="50"/>
      <c r="AY149" s="50"/>
    </row>
    <row r="150" spans="2:51" s="30" customFormat="1">
      <c r="B150" s="50"/>
      <c r="E150" s="67"/>
      <c r="G150" s="35"/>
      <c r="L150" s="32"/>
      <c r="M150" s="32"/>
      <c r="N150" s="11"/>
      <c r="O150" s="11"/>
      <c r="P150" s="32"/>
      <c r="Q150" s="32"/>
      <c r="R150" s="32"/>
      <c r="AV150" s="50"/>
      <c r="AY150" s="50"/>
    </row>
    <row r="151" spans="2:51" s="30" customFormat="1">
      <c r="B151" s="50"/>
      <c r="E151" s="67"/>
      <c r="G151" s="35"/>
      <c r="L151" s="32"/>
      <c r="M151" s="32"/>
      <c r="N151" s="11"/>
      <c r="O151" s="11"/>
      <c r="P151" s="32"/>
      <c r="Q151" s="32"/>
      <c r="R151" s="32"/>
      <c r="AV151" s="50"/>
      <c r="AY151" s="50"/>
    </row>
    <row r="152" spans="2:51" s="30" customFormat="1">
      <c r="B152" s="50"/>
      <c r="E152" s="67"/>
      <c r="G152" s="35"/>
      <c r="L152" s="32"/>
      <c r="M152" s="32"/>
      <c r="N152" s="11"/>
      <c r="O152" s="11"/>
      <c r="P152" s="32"/>
      <c r="Q152" s="32"/>
      <c r="R152" s="32"/>
      <c r="AV152" s="50"/>
      <c r="AY152" s="50"/>
    </row>
    <row r="153" spans="2:51" s="30" customFormat="1">
      <c r="B153" s="50"/>
      <c r="E153" s="67"/>
      <c r="G153" s="35"/>
      <c r="L153" s="32"/>
      <c r="M153" s="32"/>
      <c r="N153" s="11"/>
      <c r="O153" s="11"/>
      <c r="P153" s="32"/>
      <c r="Q153" s="32"/>
      <c r="R153" s="32"/>
      <c r="AV153" s="50"/>
      <c r="AY153" s="50"/>
    </row>
    <row r="154" spans="2:51" s="30" customFormat="1">
      <c r="B154" s="50"/>
      <c r="E154" s="67"/>
      <c r="G154" s="35"/>
      <c r="L154" s="32"/>
      <c r="M154" s="32"/>
      <c r="N154" s="11"/>
      <c r="O154" s="11"/>
      <c r="P154" s="32"/>
      <c r="Q154" s="32"/>
      <c r="R154" s="32"/>
      <c r="AV154" s="50"/>
      <c r="AY154" s="50"/>
    </row>
    <row r="155" spans="2:51" s="30" customFormat="1">
      <c r="B155" s="50"/>
      <c r="E155" s="67"/>
      <c r="G155" s="35"/>
      <c r="L155" s="32"/>
      <c r="M155" s="32"/>
      <c r="N155" s="11"/>
      <c r="O155" s="11"/>
      <c r="P155" s="32"/>
      <c r="Q155" s="32"/>
      <c r="R155" s="32"/>
      <c r="AV155" s="50"/>
      <c r="AY155" s="50"/>
    </row>
    <row r="156" spans="2:51" s="30" customFormat="1">
      <c r="B156" s="50"/>
      <c r="E156" s="67"/>
      <c r="G156" s="35"/>
      <c r="L156" s="32"/>
      <c r="M156" s="32"/>
      <c r="N156" s="11"/>
      <c r="O156" s="11"/>
      <c r="P156" s="32"/>
      <c r="Q156" s="32"/>
      <c r="R156" s="32"/>
      <c r="AV156" s="50"/>
      <c r="AY156" s="50"/>
    </row>
    <row r="157" spans="2:51" s="30" customFormat="1">
      <c r="B157" s="50"/>
      <c r="E157" s="67"/>
      <c r="G157" s="35"/>
      <c r="L157" s="32"/>
      <c r="M157" s="32"/>
      <c r="N157" s="11"/>
      <c r="O157" s="11"/>
      <c r="P157" s="32"/>
      <c r="Q157" s="32"/>
      <c r="R157" s="32"/>
      <c r="AV157" s="50"/>
      <c r="AY157" s="50"/>
    </row>
    <row r="158" spans="2:51" s="30" customFormat="1">
      <c r="B158" s="50"/>
      <c r="E158" s="67"/>
      <c r="G158" s="35"/>
      <c r="L158" s="32"/>
      <c r="M158" s="32"/>
      <c r="N158" s="11"/>
      <c r="O158" s="11"/>
      <c r="P158" s="32"/>
      <c r="Q158" s="32"/>
      <c r="R158" s="32"/>
      <c r="AV158" s="50"/>
      <c r="AY158" s="50"/>
    </row>
    <row r="159" spans="2:51" s="30" customFormat="1">
      <c r="B159" s="50"/>
      <c r="E159" s="67"/>
      <c r="G159" s="35"/>
      <c r="L159" s="32"/>
      <c r="M159" s="32"/>
      <c r="N159" s="11"/>
      <c r="O159" s="11"/>
      <c r="P159" s="32"/>
      <c r="Q159" s="32"/>
      <c r="R159" s="32"/>
      <c r="AV159" s="50"/>
      <c r="AY159" s="50"/>
    </row>
    <row r="160" spans="2:51" s="30" customFormat="1">
      <c r="B160" s="50"/>
      <c r="E160" s="67"/>
      <c r="G160" s="35"/>
      <c r="L160" s="32"/>
      <c r="M160" s="32"/>
      <c r="N160" s="11"/>
      <c r="O160" s="11"/>
      <c r="P160" s="32"/>
      <c r="Q160" s="32"/>
      <c r="R160" s="32"/>
      <c r="AV160" s="50"/>
      <c r="AY160" s="50"/>
    </row>
    <row r="161" spans="2:51" s="30" customFormat="1">
      <c r="B161" s="50"/>
      <c r="E161" s="67"/>
      <c r="G161" s="35"/>
      <c r="L161" s="32"/>
      <c r="M161" s="32"/>
      <c r="N161" s="11"/>
      <c r="O161" s="11"/>
      <c r="P161" s="32"/>
      <c r="Q161" s="32"/>
      <c r="R161" s="32"/>
      <c r="AV161" s="50"/>
      <c r="AY161" s="50"/>
    </row>
    <row r="162" spans="2:51" s="30" customFormat="1">
      <c r="B162" s="50"/>
      <c r="E162" s="67"/>
      <c r="G162" s="35"/>
      <c r="L162" s="32"/>
      <c r="M162" s="32"/>
      <c r="N162" s="11"/>
      <c r="O162" s="11"/>
      <c r="P162" s="32"/>
      <c r="Q162" s="32"/>
      <c r="R162" s="32"/>
      <c r="AV162" s="50"/>
      <c r="AY162" s="50"/>
    </row>
    <row r="163" spans="2:51" s="30" customFormat="1">
      <c r="B163" s="50"/>
      <c r="E163" s="67"/>
      <c r="G163" s="35"/>
      <c r="L163" s="32"/>
      <c r="M163" s="32"/>
      <c r="N163" s="11"/>
      <c r="O163" s="11"/>
      <c r="P163" s="32"/>
      <c r="Q163" s="32"/>
      <c r="R163" s="32"/>
      <c r="AV163" s="50"/>
      <c r="AY163" s="50"/>
    </row>
    <row r="164" spans="2:51" s="30" customFormat="1">
      <c r="B164" s="50"/>
      <c r="E164" s="67"/>
      <c r="G164" s="35"/>
      <c r="L164" s="32"/>
      <c r="M164" s="32"/>
      <c r="N164" s="11"/>
      <c r="O164" s="11"/>
      <c r="P164" s="32"/>
      <c r="Q164" s="32"/>
      <c r="R164" s="32"/>
      <c r="AV164" s="50"/>
      <c r="AY164" s="50"/>
    </row>
    <row r="165" spans="2:51" s="30" customFormat="1">
      <c r="B165" s="50"/>
      <c r="E165" s="67"/>
      <c r="G165" s="35"/>
      <c r="L165" s="32"/>
      <c r="M165" s="32"/>
      <c r="N165" s="11"/>
      <c r="O165" s="11"/>
      <c r="P165" s="32"/>
      <c r="Q165" s="32"/>
      <c r="R165" s="32"/>
      <c r="AV165" s="50"/>
      <c r="AY165" s="50"/>
    </row>
    <row r="166" spans="2:51" s="30" customFormat="1">
      <c r="B166" s="50"/>
      <c r="E166" s="67"/>
      <c r="G166" s="35"/>
      <c r="L166" s="32"/>
      <c r="M166" s="32"/>
      <c r="N166" s="11"/>
      <c r="O166" s="11"/>
      <c r="P166" s="32"/>
      <c r="Q166" s="32"/>
      <c r="R166" s="32"/>
      <c r="AV166" s="50"/>
      <c r="AY166" s="50"/>
    </row>
    <row r="167" spans="2:51" s="30" customFormat="1">
      <c r="B167" s="50"/>
      <c r="E167" s="67"/>
      <c r="G167" s="35"/>
      <c r="L167" s="32"/>
      <c r="M167" s="32"/>
      <c r="N167" s="11"/>
      <c r="O167" s="11"/>
      <c r="P167" s="32"/>
      <c r="Q167" s="32"/>
      <c r="R167" s="32"/>
      <c r="AV167" s="50"/>
      <c r="AY167" s="50"/>
    </row>
    <row r="168" spans="2:51" s="30" customFormat="1">
      <c r="B168" s="50"/>
      <c r="E168" s="67"/>
      <c r="G168" s="35"/>
      <c r="L168" s="32"/>
      <c r="M168" s="32"/>
      <c r="N168" s="11"/>
      <c r="O168" s="11"/>
      <c r="P168" s="32"/>
      <c r="Q168" s="32"/>
      <c r="R168" s="32"/>
      <c r="AV168" s="50"/>
      <c r="AY168" s="50"/>
    </row>
    <row r="169" spans="2:51" s="30" customFormat="1">
      <c r="B169" s="50"/>
      <c r="E169" s="67"/>
      <c r="G169" s="35"/>
      <c r="L169" s="32"/>
      <c r="M169" s="32"/>
      <c r="N169" s="11"/>
      <c r="O169" s="11"/>
      <c r="P169" s="32"/>
      <c r="Q169" s="32"/>
      <c r="R169" s="32"/>
      <c r="AV169" s="50"/>
      <c r="AY169" s="50"/>
    </row>
    <row r="170" spans="2:51" s="30" customFormat="1">
      <c r="B170" s="50"/>
      <c r="E170" s="67"/>
      <c r="G170" s="35"/>
      <c r="L170" s="32"/>
      <c r="M170" s="32"/>
      <c r="N170" s="11"/>
      <c r="O170" s="11"/>
      <c r="P170" s="32"/>
      <c r="Q170" s="32"/>
      <c r="R170" s="32"/>
      <c r="AV170" s="50"/>
      <c r="AY170" s="50"/>
    </row>
    <row r="171" spans="2:51" s="30" customFormat="1">
      <c r="B171" s="50"/>
      <c r="E171" s="67"/>
      <c r="G171" s="35"/>
      <c r="L171" s="32"/>
      <c r="M171" s="32"/>
      <c r="N171" s="11"/>
      <c r="O171" s="11"/>
      <c r="P171" s="32"/>
      <c r="Q171" s="32"/>
      <c r="R171" s="32"/>
      <c r="AV171" s="50"/>
      <c r="AY171" s="50"/>
    </row>
    <row r="172" spans="2:51" s="30" customFormat="1">
      <c r="B172" s="50"/>
      <c r="E172" s="67"/>
      <c r="G172" s="35"/>
      <c r="L172" s="32"/>
      <c r="M172" s="32"/>
      <c r="N172" s="11"/>
      <c r="O172" s="11"/>
      <c r="P172" s="32"/>
      <c r="Q172" s="32"/>
      <c r="R172" s="32"/>
      <c r="AV172" s="50"/>
      <c r="AY172" s="50"/>
    </row>
    <row r="173" spans="2:51" s="30" customFormat="1">
      <c r="B173" s="50"/>
      <c r="E173" s="67"/>
      <c r="G173" s="35"/>
      <c r="L173" s="32"/>
      <c r="M173" s="32"/>
      <c r="N173" s="11"/>
      <c r="O173" s="11"/>
      <c r="P173" s="32"/>
      <c r="Q173" s="32"/>
      <c r="R173" s="32"/>
      <c r="AV173" s="50"/>
      <c r="AY173" s="50"/>
    </row>
    <row r="174" spans="2:51" s="30" customFormat="1">
      <c r="B174" s="50"/>
      <c r="E174" s="67"/>
      <c r="G174" s="35"/>
      <c r="L174" s="32"/>
      <c r="M174" s="32"/>
      <c r="N174" s="11"/>
      <c r="O174" s="11"/>
      <c r="P174" s="32"/>
      <c r="Q174" s="32"/>
      <c r="R174" s="32"/>
      <c r="AV174" s="50"/>
      <c r="AY174" s="50"/>
    </row>
    <row r="175" spans="2:51" s="30" customFormat="1">
      <c r="B175" s="50"/>
      <c r="E175" s="67"/>
      <c r="G175" s="35"/>
      <c r="L175" s="32"/>
      <c r="M175" s="32"/>
      <c r="N175" s="11"/>
      <c r="O175" s="11"/>
      <c r="P175" s="32"/>
      <c r="Q175" s="32"/>
      <c r="R175" s="32"/>
      <c r="AV175" s="50"/>
      <c r="AY175" s="50"/>
    </row>
    <row r="176" spans="2:51" s="30" customFormat="1">
      <c r="B176" s="50"/>
      <c r="E176" s="67"/>
      <c r="G176" s="35"/>
      <c r="L176" s="32"/>
      <c r="M176" s="32"/>
      <c r="N176" s="11"/>
      <c r="O176" s="11"/>
      <c r="P176" s="32"/>
      <c r="Q176" s="32"/>
      <c r="R176" s="32"/>
      <c r="AV176" s="50"/>
      <c r="AY176" s="50"/>
    </row>
    <row r="177" spans="2:51" s="30" customFormat="1">
      <c r="B177" s="50"/>
      <c r="E177" s="67"/>
      <c r="G177" s="35"/>
      <c r="L177" s="32"/>
      <c r="M177" s="32"/>
      <c r="N177" s="11"/>
      <c r="O177" s="11"/>
      <c r="P177" s="32"/>
      <c r="Q177" s="32"/>
      <c r="R177" s="32"/>
      <c r="AV177" s="50"/>
      <c r="AY177" s="50"/>
    </row>
    <row r="178" spans="2:51" s="30" customFormat="1">
      <c r="B178" s="50"/>
      <c r="E178" s="67"/>
      <c r="G178" s="35"/>
      <c r="L178" s="32"/>
      <c r="M178" s="32"/>
      <c r="N178" s="11"/>
      <c r="O178" s="11"/>
      <c r="P178" s="32"/>
      <c r="Q178" s="32"/>
      <c r="R178" s="32"/>
      <c r="AV178" s="50"/>
      <c r="AY178" s="50"/>
    </row>
    <row r="179" spans="2:51" s="30" customFormat="1">
      <c r="B179" s="50"/>
      <c r="E179" s="67"/>
      <c r="G179" s="35"/>
      <c r="L179" s="32"/>
      <c r="M179" s="32"/>
      <c r="N179" s="11"/>
      <c r="O179" s="11"/>
      <c r="P179" s="32"/>
      <c r="Q179" s="32"/>
      <c r="R179" s="32"/>
      <c r="AV179" s="50"/>
      <c r="AY179" s="50"/>
    </row>
    <row r="180" spans="2:51" s="30" customFormat="1">
      <c r="B180" s="50"/>
      <c r="E180" s="67"/>
      <c r="G180" s="35"/>
      <c r="L180" s="32"/>
      <c r="M180" s="32"/>
      <c r="N180" s="11"/>
      <c r="O180" s="11"/>
      <c r="P180" s="32"/>
      <c r="Q180" s="32"/>
      <c r="R180" s="32"/>
      <c r="AV180" s="50"/>
      <c r="AY180" s="50"/>
    </row>
    <row r="181" spans="2:51" s="30" customFormat="1">
      <c r="B181" s="50"/>
      <c r="E181" s="67"/>
      <c r="G181" s="35"/>
      <c r="L181" s="32"/>
      <c r="M181" s="32"/>
      <c r="N181" s="11"/>
      <c r="O181" s="11"/>
      <c r="P181" s="32"/>
      <c r="Q181" s="32"/>
      <c r="R181" s="32"/>
      <c r="AV181" s="50"/>
      <c r="AY181" s="50"/>
    </row>
    <row r="182" spans="2:51" s="30" customFormat="1">
      <c r="B182" s="50"/>
      <c r="E182" s="67"/>
      <c r="G182" s="35"/>
      <c r="L182" s="32"/>
      <c r="M182" s="32"/>
      <c r="N182" s="11"/>
      <c r="O182" s="11"/>
      <c r="P182" s="32"/>
      <c r="Q182" s="32"/>
      <c r="R182" s="32"/>
      <c r="AV182" s="50"/>
      <c r="AY182" s="50"/>
    </row>
    <row r="183" spans="2:51" s="30" customFormat="1">
      <c r="B183" s="50"/>
      <c r="E183" s="67"/>
      <c r="G183" s="35"/>
      <c r="L183" s="32"/>
      <c r="M183" s="32"/>
      <c r="N183" s="11"/>
      <c r="O183" s="11"/>
      <c r="P183" s="32"/>
      <c r="Q183" s="32"/>
      <c r="R183" s="32"/>
      <c r="AV183" s="50"/>
      <c r="AY183" s="50"/>
    </row>
    <row r="184" spans="2:51" s="30" customFormat="1">
      <c r="B184" s="50"/>
      <c r="E184" s="67"/>
      <c r="G184" s="35"/>
      <c r="L184" s="32"/>
      <c r="M184" s="32"/>
      <c r="N184" s="11"/>
      <c r="O184" s="11"/>
      <c r="P184" s="32"/>
      <c r="Q184" s="32"/>
      <c r="R184" s="32"/>
      <c r="AV184" s="50"/>
      <c r="AY184" s="50"/>
    </row>
    <row r="185" spans="2:51" s="30" customFormat="1">
      <c r="B185" s="50"/>
      <c r="E185" s="67"/>
      <c r="G185" s="35"/>
      <c r="L185" s="32"/>
      <c r="M185" s="32"/>
      <c r="N185" s="11"/>
      <c r="O185" s="11"/>
      <c r="P185" s="32"/>
      <c r="Q185" s="32"/>
      <c r="R185" s="32"/>
      <c r="AV185" s="50"/>
      <c r="AY185" s="50"/>
    </row>
    <row r="186" spans="2:51" s="30" customFormat="1">
      <c r="B186" s="50"/>
      <c r="E186" s="67"/>
      <c r="G186" s="35"/>
      <c r="L186" s="32"/>
      <c r="M186" s="32"/>
      <c r="N186" s="11"/>
      <c r="O186" s="11"/>
      <c r="P186" s="32"/>
      <c r="Q186" s="32"/>
      <c r="R186" s="32"/>
      <c r="AV186" s="50"/>
      <c r="AY186" s="50"/>
    </row>
    <row r="187" spans="2:51" s="30" customFormat="1">
      <c r="B187" s="50"/>
      <c r="E187" s="67"/>
      <c r="G187" s="35"/>
      <c r="L187" s="32"/>
      <c r="M187" s="32"/>
      <c r="N187" s="11"/>
      <c r="O187" s="11"/>
      <c r="P187" s="32"/>
      <c r="Q187" s="32"/>
      <c r="R187" s="32"/>
      <c r="AV187" s="50"/>
      <c r="AY187" s="50"/>
    </row>
    <row r="188" spans="2:51" s="30" customFormat="1">
      <c r="B188" s="50"/>
      <c r="E188" s="67"/>
      <c r="G188" s="35"/>
      <c r="L188" s="32"/>
      <c r="M188" s="32"/>
      <c r="N188" s="11"/>
      <c r="O188" s="11"/>
      <c r="P188" s="32"/>
      <c r="Q188" s="32"/>
      <c r="R188" s="32"/>
      <c r="AV188" s="50"/>
      <c r="AY188" s="50"/>
    </row>
    <row r="189" spans="2:51" s="30" customFormat="1">
      <c r="B189" s="50"/>
      <c r="E189" s="67"/>
      <c r="G189" s="35"/>
      <c r="L189" s="32"/>
      <c r="M189" s="32"/>
      <c r="N189" s="11"/>
      <c r="O189" s="11"/>
      <c r="P189" s="32"/>
      <c r="Q189" s="32"/>
      <c r="R189" s="32"/>
      <c r="AV189" s="50"/>
      <c r="AY189" s="50"/>
    </row>
    <row r="190" spans="2:51" s="30" customFormat="1">
      <c r="B190" s="50"/>
      <c r="E190" s="67"/>
      <c r="G190" s="35"/>
      <c r="L190" s="32"/>
      <c r="M190" s="32"/>
      <c r="N190" s="11"/>
      <c r="O190" s="11"/>
      <c r="P190" s="32"/>
      <c r="Q190" s="32"/>
      <c r="R190" s="32"/>
      <c r="AV190" s="50"/>
      <c r="AY190" s="50"/>
    </row>
    <row r="191" spans="2:51" s="30" customFormat="1">
      <c r="B191" s="50"/>
      <c r="E191" s="67"/>
      <c r="G191" s="35"/>
      <c r="L191" s="32"/>
      <c r="M191" s="32"/>
      <c r="N191" s="11"/>
      <c r="O191" s="11"/>
      <c r="P191" s="32"/>
      <c r="Q191" s="32"/>
      <c r="R191" s="32"/>
      <c r="AV191" s="50"/>
      <c r="AY191" s="50"/>
    </row>
    <row r="192" spans="2:51" s="30" customFormat="1">
      <c r="B192" s="50"/>
      <c r="E192" s="67"/>
      <c r="G192" s="35"/>
      <c r="L192" s="32"/>
      <c r="M192" s="32"/>
      <c r="N192" s="11"/>
      <c r="O192" s="11"/>
      <c r="P192" s="32"/>
      <c r="Q192" s="32"/>
      <c r="R192" s="32"/>
      <c r="AV192" s="50"/>
      <c r="AY192" s="50"/>
    </row>
    <row r="193" spans="2:51" s="30" customFormat="1">
      <c r="B193" s="50"/>
      <c r="E193" s="67"/>
      <c r="G193" s="35"/>
      <c r="L193" s="32"/>
      <c r="M193" s="32"/>
      <c r="N193" s="11"/>
      <c r="O193" s="11"/>
      <c r="P193" s="32"/>
      <c r="Q193" s="32"/>
      <c r="R193" s="32"/>
      <c r="AV193" s="50"/>
      <c r="AY193" s="50"/>
    </row>
    <row r="194" spans="2:51" s="30" customFormat="1">
      <c r="B194" s="50"/>
      <c r="E194" s="67"/>
      <c r="G194" s="35"/>
      <c r="L194" s="32"/>
      <c r="M194" s="32"/>
      <c r="N194" s="11"/>
      <c r="O194" s="11"/>
      <c r="P194" s="32"/>
      <c r="Q194" s="32"/>
      <c r="R194" s="32"/>
      <c r="AV194" s="50"/>
      <c r="AY194" s="50"/>
    </row>
    <row r="195" spans="2:51" s="30" customFormat="1">
      <c r="B195" s="50"/>
      <c r="E195" s="67"/>
      <c r="G195" s="35"/>
      <c r="L195" s="32"/>
      <c r="M195" s="32"/>
      <c r="N195" s="11"/>
      <c r="O195" s="11"/>
      <c r="P195" s="32"/>
      <c r="Q195" s="32"/>
      <c r="R195" s="32"/>
      <c r="AV195" s="50"/>
      <c r="AY195" s="50"/>
    </row>
    <row r="196" spans="2:51" s="30" customFormat="1">
      <c r="B196" s="50"/>
      <c r="E196" s="67"/>
      <c r="G196" s="35"/>
      <c r="L196" s="32"/>
      <c r="M196" s="32"/>
      <c r="N196" s="11"/>
      <c r="O196" s="11"/>
      <c r="P196" s="32"/>
      <c r="Q196" s="32"/>
      <c r="R196" s="32"/>
      <c r="AV196" s="50"/>
      <c r="AY196" s="50"/>
    </row>
    <row r="197" spans="2:51" s="30" customFormat="1">
      <c r="B197" s="50"/>
      <c r="E197" s="67"/>
      <c r="G197" s="35"/>
      <c r="L197" s="32"/>
      <c r="M197" s="32"/>
      <c r="N197" s="11"/>
      <c r="O197" s="11"/>
      <c r="P197" s="32"/>
      <c r="Q197" s="32"/>
      <c r="R197" s="32"/>
      <c r="AV197" s="50"/>
      <c r="AY197" s="50"/>
    </row>
    <row r="198" spans="2:51" s="30" customFormat="1">
      <c r="B198" s="50"/>
      <c r="E198" s="67"/>
      <c r="G198" s="35"/>
      <c r="L198" s="32"/>
      <c r="M198" s="32"/>
      <c r="N198" s="11"/>
      <c r="O198" s="11"/>
      <c r="P198" s="32"/>
      <c r="Q198" s="32"/>
      <c r="R198" s="32"/>
      <c r="AV198" s="50"/>
      <c r="AY198" s="50"/>
    </row>
    <row r="199" spans="2:51" s="30" customFormat="1">
      <c r="B199" s="50"/>
      <c r="E199" s="67"/>
      <c r="G199" s="35"/>
      <c r="L199" s="32"/>
      <c r="M199" s="32"/>
      <c r="N199" s="11"/>
      <c r="O199" s="11"/>
      <c r="P199" s="32"/>
      <c r="Q199" s="32"/>
      <c r="R199" s="32"/>
      <c r="AV199" s="50"/>
      <c r="AY199" s="50"/>
    </row>
    <row r="200" spans="2:51" s="30" customFormat="1">
      <c r="B200" s="50"/>
      <c r="E200" s="67"/>
      <c r="G200" s="35"/>
      <c r="L200" s="32"/>
      <c r="M200" s="32"/>
      <c r="N200" s="11"/>
      <c r="O200" s="11"/>
      <c r="P200" s="32"/>
      <c r="Q200" s="32"/>
      <c r="R200" s="32"/>
      <c r="AV200" s="50"/>
      <c r="AY200" s="50"/>
    </row>
    <row r="201" spans="2:51" s="30" customFormat="1">
      <c r="B201" s="50"/>
      <c r="E201" s="67"/>
      <c r="G201" s="35"/>
      <c r="L201" s="32"/>
      <c r="M201" s="32"/>
      <c r="N201" s="11"/>
      <c r="O201" s="11"/>
      <c r="P201" s="32"/>
      <c r="Q201" s="32"/>
      <c r="R201" s="32"/>
      <c r="AV201" s="50"/>
      <c r="AY201" s="50"/>
    </row>
    <row r="202" spans="2:51" s="30" customFormat="1">
      <c r="B202" s="50"/>
      <c r="E202" s="67"/>
      <c r="G202" s="35"/>
      <c r="L202" s="32"/>
      <c r="M202" s="32"/>
      <c r="N202" s="11"/>
      <c r="O202" s="11"/>
      <c r="P202" s="32"/>
      <c r="Q202" s="32"/>
      <c r="R202" s="32"/>
      <c r="AV202" s="50"/>
      <c r="AY202" s="50"/>
    </row>
    <row r="203" spans="2:51" s="30" customFormat="1">
      <c r="B203" s="50"/>
      <c r="E203" s="67"/>
      <c r="G203" s="35"/>
      <c r="L203" s="32"/>
      <c r="M203" s="32"/>
      <c r="N203" s="11"/>
      <c r="O203" s="11"/>
      <c r="P203" s="32"/>
      <c r="Q203" s="32"/>
      <c r="R203" s="32"/>
      <c r="AV203" s="50"/>
      <c r="AY203" s="50"/>
    </row>
    <row r="204" spans="2:51" s="30" customFormat="1">
      <c r="B204" s="50"/>
      <c r="E204" s="67"/>
      <c r="G204" s="35"/>
      <c r="L204" s="32"/>
      <c r="M204" s="32"/>
      <c r="N204" s="11"/>
      <c r="O204" s="11"/>
      <c r="P204" s="32"/>
      <c r="Q204" s="32"/>
      <c r="R204" s="32"/>
      <c r="AV204" s="50"/>
      <c r="AY204" s="50"/>
    </row>
    <row r="205" spans="2:51" s="30" customFormat="1">
      <c r="B205" s="50"/>
      <c r="E205" s="67"/>
      <c r="G205" s="35"/>
      <c r="L205" s="32"/>
      <c r="M205" s="32"/>
      <c r="N205" s="11"/>
      <c r="O205" s="11"/>
      <c r="P205" s="32"/>
      <c r="Q205" s="32"/>
      <c r="R205" s="32"/>
      <c r="AV205" s="50"/>
      <c r="AY205" s="50"/>
    </row>
    <row r="206" spans="2:51" s="30" customFormat="1">
      <c r="B206" s="50"/>
      <c r="E206" s="67"/>
      <c r="G206" s="35"/>
      <c r="L206" s="32"/>
      <c r="M206" s="32"/>
      <c r="N206" s="11"/>
      <c r="O206" s="11"/>
      <c r="P206" s="32"/>
      <c r="Q206" s="32"/>
      <c r="R206" s="32"/>
      <c r="AV206" s="50"/>
      <c r="AY206" s="50"/>
    </row>
    <row r="207" spans="2:51" s="30" customFormat="1">
      <c r="B207" s="50"/>
      <c r="E207" s="67"/>
      <c r="G207" s="35"/>
      <c r="L207" s="32"/>
      <c r="M207" s="32"/>
      <c r="N207" s="11"/>
      <c r="O207" s="11"/>
      <c r="P207" s="32"/>
      <c r="Q207" s="32"/>
      <c r="R207" s="32"/>
      <c r="AV207" s="50"/>
      <c r="AY207" s="50"/>
    </row>
    <row r="208" spans="2:51" s="30" customFormat="1">
      <c r="B208" s="50"/>
      <c r="E208" s="67"/>
      <c r="G208" s="35"/>
      <c r="L208" s="32"/>
      <c r="M208" s="32"/>
      <c r="N208" s="11"/>
      <c r="O208" s="11"/>
      <c r="P208" s="32"/>
      <c r="Q208" s="32"/>
      <c r="R208" s="32"/>
      <c r="AV208" s="50"/>
      <c r="AY208" s="50"/>
    </row>
    <row r="209" spans="2:51" s="30" customFormat="1">
      <c r="B209" s="50"/>
      <c r="E209" s="67"/>
      <c r="G209" s="35"/>
      <c r="L209" s="32"/>
      <c r="M209" s="32"/>
      <c r="N209" s="11"/>
      <c r="O209" s="11"/>
      <c r="P209" s="32"/>
      <c r="Q209" s="32"/>
      <c r="R209" s="32"/>
      <c r="AV209" s="50"/>
      <c r="AY209" s="50"/>
    </row>
    <row r="210" spans="2:51" s="30" customFormat="1">
      <c r="B210" s="50"/>
      <c r="E210" s="67"/>
      <c r="G210" s="35"/>
      <c r="L210" s="32"/>
      <c r="M210" s="32"/>
      <c r="N210" s="11"/>
      <c r="O210" s="11"/>
      <c r="P210" s="32"/>
      <c r="Q210" s="32"/>
      <c r="R210" s="32"/>
      <c r="AV210" s="50"/>
      <c r="AY210" s="50"/>
    </row>
    <row r="211" spans="2:51" s="30" customFormat="1">
      <c r="B211" s="50"/>
      <c r="E211" s="67"/>
      <c r="G211" s="35"/>
      <c r="L211" s="32"/>
      <c r="M211" s="32"/>
      <c r="N211" s="11"/>
      <c r="O211" s="11"/>
      <c r="P211" s="32"/>
      <c r="Q211" s="32"/>
      <c r="R211" s="32"/>
      <c r="AV211" s="50"/>
      <c r="AY211" s="50"/>
    </row>
    <row r="212" spans="2:51" s="30" customFormat="1">
      <c r="B212" s="50"/>
      <c r="E212" s="67"/>
      <c r="G212" s="35"/>
      <c r="L212" s="32"/>
      <c r="M212" s="32"/>
      <c r="N212" s="11"/>
      <c r="O212" s="11"/>
      <c r="P212" s="32"/>
      <c r="Q212" s="32"/>
      <c r="R212" s="32"/>
      <c r="AV212" s="50"/>
      <c r="AY212" s="50"/>
    </row>
    <row r="213" spans="2:51" s="30" customFormat="1">
      <c r="B213" s="50"/>
      <c r="E213" s="67"/>
      <c r="G213" s="35"/>
      <c r="L213" s="32"/>
      <c r="M213" s="32"/>
      <c r="N213" s="11"/>
      <c r="O213" s="11"/>
      <c r="P213" s="32"/>
      <c r="Q213" s="32"/>
      <c r="R213" s="32"/>
      <c r="AV213" s="50"/>
      <c r="AY213" s="50"/>
    </row>
    <row r="214" spans="2:51" s="30" customFormat="1">
      <c r="B214" s="50"/>
      <c r="E214" s="67"/>
      <c r="G214" s="35"/>
      <c r="L214" s="32"/>
      <c r="M214" s="32"/>
      <c r="N214" s="11"/>
      <c r="O214" s="11"/>
      <c r="P214" s="32"/>
      <c r="Q214" s="32"/>
      <c r="R214" s="32"/>
      <c r="AV214" s="50"/>
      <c r="AY214" s="50"/>
    </row>
    <row r="215" spans="2:51" s="30" customFormat="1">
      <c r="B215" s="50"/>
      <c r="E215" s="67"/>
      <c r="G215" s="35"/>
      <c r="L215" s="32"/>
      <c r="M215" s="32"/>
      <c r="N215" s="11"/>
      <c r="O215" s="11"/>
      <c r="P215" s="32"/>
      <c r="Q215" s="32"/>
      <c r="R215" s="32"/>
      <c r="AV215" s="50"/>
      <c r="AY215" s="50"/>
    </row>
    <row r="216" spans="2:51" s="30" customFormat="1">
      <c r="B216" s="50"/>
      <c r="E216" s="67"/>
      <c r="G216" s="35"/>
      <c r="L216" s="32"/>
      <c r="M216" s="32"/>
      <c r="N216" s="11"/>
      <c r="O216" s="11"/>
      <c r="P216" s="32"/>
      <c r="Q216" s="32"/>
      <c r="R216" s="32"/>
      <c r="AV216" s="50"/>
      <c r="AY216" s="50"/>
    </row>
    <row r="217" spans="2:51" s="30" customFormat="1">
      <c r="B217" s="50"/>
      <c r="E217" s="67"/>
      <c r="G217" s="35"/>
      <c r="L217" s="32"/>
      <c r="M217" s="32"/>
      <c r="N217" s="11"/>
      <c r="O217" s="11"/>
      <c r="P217" s="32"/>
      <c r="Q217" s="32"/>
      <c r="R217" s="32"/>
      <c r="AV217" s="50"/>
      <c r="AY217" s="50"/>
    </row>
    <row r="218" spans="2:51" s="30" customFormat="1">
      <c r="B218" s="50"/>
      <c r="E218" s="67"/>
      <c r="G218" s="35"/>
      <c r="L218" s="32"/>
      <c r="M218" s="32"/>
      <c r="N218" s="11"/>
      <c r="O218" s="11"/>
      <c r="P218" s="32"/>
      <c r="Q218" s="32"/>
      <c r="R218" s="32"/>
      <c r="AV218" s="50"/>
      <c r="AY218" s="50"/>
    </row>
    <row r="219" spans="2:51" s="30" customFormat="1">
      <c r="B219" s="50"/>
      <c r="E219" s="67"/>
      <c r="G219" s="35"/>
      <c r="L219" s="32"/>
      <c r="M219" s="32"/>
      <c r="N219" s="11"/>
      <c r="O219" s="11"/>
      <c r="P219" s="32"/>
      <c r="Q219" s="32"/>
      <c r="R219" s="32"/>
      <c r="AV219" s="50"/>
      <c r="AY219" s="50"/>
    </row>
    <row r="220" spans="2:51" s="30" customFormat="1">
      <c r="B220" s="50"/>
      <c r="E220" s="67"/>
      <c r="G220" s="35"/>
      <c r="L220" s="32"/>
      <c r="M220" s="32"/>
      <c r="N220" s="11"/>
      <c r="O220" s="11"/>
      <c r="P220" s="32"/>
      <c r="Q220" s="32"/>
      <c r="R220" s="32"/>
      <c r="AV220" s="50"/>
      <c r="AY220" s="50"/>
    </row>
    <row r="221" spans="2:51" s="30" customFormat="1">
      <c r="B221" s="50"/>
      <c r="E221" s="67"/>
      <c r="G221" s="35"/>
      <c r="L221" s="32"/>
      <c r="M221" s="32"/>
      <c r="N221" s="11"/>
      <c r="O221" s="11"/>
      <c r="P221" s="32"/>
      <c r="Q221" s="32"/>
      <c r="R221" s="32"/>
      <c r="AV221" s="50"/>
      <c r="AY221" s="50"/>
    </row>
    <row r="222" spans="2:51" s="30" customFormat="1">
      <c r="B222" s="50"/>
      <c r="E222" s="67"/>
      <c r="G222" s="35"/>
      <c r="L222" s="32"/>
      <c r="M222" s="32"/>
      <c r="N222" s="11"/>
      <c r="O222" s="11"/>
      <c r="P222" s="32"/>
      <c r="Q222" s="32"/>
      <c r="R222" s="32"/>
      <c r="AV222" s="50"/>
      <c r="AY222" s="50"/>
    </row>
    <row r="223" spans="2:51" s="30" customFormat="1">
      <c r="B223" s="50"/>
      <c r="E223" s="67"/>
      <c r="G223" s="35"/>
      <c r="L223" s="32"/>
      <c r="M223" s="32"/>
      <c r="N223" s="11"/>
      <c r="O223" s="11"/>
      <c r="P223" s="32"/>
      <c r="Q223" s="32"/>
      <c r="R223" s="32"/>
      <c r="AV223" s="50"/>
      <c r="AY223" s="50"/>
    </row>
    <row r="224" spans="2:51" s="30" customFormat="1">
      <c r="B224" s="50"/>
      <c r="E224" s="67"/>
      <c r="G224" s="35"/>
      <c r="L224" s="32"/>
      <c r="M224" s="32"/>
      <c r="N224" s="11"/>
      <c r="O224" s="11"/>
      <c r="P224" s="32"/>
      <c r="Q224" s="32"/>
      <c r="R224" s="32"/>
      <c r="AV224" s="50"/>
      <c r="AY224" s="50"/>
    </row>
    <row r="225" spans="2:51" s="30" customFormat="1">
      <c r="B225" s="50"/>
      <c r="E225" s="67"/>
      <c r="G225" s="35"/>
      <c r="L225" s="32"/>
      <c r="M225" s="32"/>
      <c r="N225" s="11"/>
      <c r="O225" s="11"/>
      <c r="P225" s="32"/>
      <c r="Q225" s="32"/>
      <c r="R225" s="32"/>
      <c r="AV225" s="50"/>
      <c r="AY225" s="50"/>
    </row>
    <row r="226" spans="2:51" s="30" customFormat="1">
      <c r="B226" s="50"/>
      <c r="E226" s="67"/>
      <c r="G226" s="35"/>
      <c r="L226" s="32"/>
      <c r="M226" s="32"/>
      <c r="N226" s="11"/>
      <c r="O226" s="11"/>
      <c r="P226" s="32"/>
      <c r="Q226" s="32"/>
      <c r="R226" s="32"/>
      <c r="AV226" s="50"/>
      <c r="AY226" s="50"/>
    </row>
    <row r="227" spans="2:51" s="30" customFormat="1">
      <c r="B227" s="50"/>
      <c r="E227" s="67"/>
      <c r="G227" s="35"/>
      <c r="L227" s="32"/>
      <c r="M227" s="32"/>
      <c r="N227" s="11"/>
      <c r="O227" s="11"/>
      <c r="P227" s="32"/>
      <c r="Q227" s="32"/>
      <c r="R227" s="32"/>
      <c r="AV227" s="50"/>
      <c r="AY227" s="50"/>
    </row>
    <row r="228" spans="2:51" s="30" customFormat="1">
      <c r="B228" s="50"/>
      <c r="E228" s="67"/>
      <c r="G228" s="35"/>
      <c r="L228" s="32"/>
      <c r="M228" s="32"/>
      <c r="N228" s="11"/>
      <c r="O228" s="11"/>
      <c r="P228" s="32"/>
      <c r="Q228" s="32"/>
      <c r="R228" s="32"/>
      <c r="AV228" s="50"/>
      <c r="AY228" s="50"/>
    </row>
    <row r="229" spans="2:51" s="30" customFormat="1">
      <c r="B229" s="50"/>
      <c r="E229" s="67"/>
      <c r="G229" s="35"/>
      <c r="L229" s="32"/>
      <c r="M229" s="32"/>
      <c r="N229" s="11"/>
      <c r="O229" s="11"/>
      <c r="P229" s="32"/>
      <c r="Q229" s="32"/>
      <c r="R229" s="32"/>
      <c r="AV229" s="50"/>
      <c r="AY229" s="50"/>
    </row>
    <row r="230" spans="2:51" s="30" customFormat="1">
      <c r="B230" s="50"/>
      <c r="E230" s="67"/>
      <c r="G230" s="35"/>
      <c r="L230" s="32"/>
      <c r="M230" s="32"/>
      <c r="N230" s="11"/>
      <c r="O230" s="11"/>
      <c r="P230" s="32"/>
      <c r="Q230" s="32"/>
      <c r="R230" s="32"/>
      <c r="AV230" s="50"/>
      <c r="AY230" s="50"/>
    </row>
    <row r="231" spans="2:51" s="30" customFormat="1">
      <c r="B231" s="50"/>
      <c r="E231" s="67"/>
      <c r="G231" s="35"/>
      <c r="L231" s="32"/>
      <c r="M231" s="32"/>
      <c r="N231" s="11"/>
      <c r="O231" s="11"/>
      <c r="P231" s="32"/>
      <c r="Q231" s="32"/>
      <c r="R231" s="32"/>
      <c r="AV231" s="50"/>
      <c r="AY231" s="50"/>
    </row>
    <row r="232" spans="2:51" s="30" customFormat="1">
      <c r="B232" s="50"/>
      <c r="E232" s="67"/>
      <c r="G232" s="35"/>
      <c r="L232" s="32"/>
      <c r="M232" s="32"/>
      <c r="N232" s="11"/>
      <c r="O232" s="11"/>
      <c r="P232" s="32"/>
      <c r="Q232" s="32"/>
      <c r="R232" s="32"/>
      <c r="AV232" s="50"/>
      <c r="AY232" s="50"/>
    </row>
    <row r="233" spans="2:51" s="30" customFormat="1">
      <c r="B233" s="50"/>
      <c r="E233" s="67"/>
      <c r="G233" s="35"/>
      <c r="L233" s="32"/>
      <c r="M233" s="32"/>
      <c r="N233" s="11"/>
      <c r="O233" s="11"/>
      <c r="P233" s="32"/>
      <c r="Q233" s="32"/>
      <c r="R233" s="32"/>
      <c r="AV233" s="50"/>
      <c r="AY233" s="50"/>
    </row>
    <row r="234" spans="2:51" s="30" customFormat="1">
      <c r="B234" s="50"/>
      <c r="E234" s="67"/>
      <c r="G234" s="35"/>
      <c r="L234" s="32"/>
      <c r="M234" s="32"/>
      <c r="N234" s="11"/>
      <c r="O234" s="11"/>
      <c r="P234" s="32"/>
      <c r="Q234" s="32"/>
      <c r="R234" s="32"/>
      <c r="AV234" s="50"/>
      <c r="AY234" s="50"/>
    </row>
    <row r="235" spans="2:51" s="30" customFormat="1">
      <c r="B235" s="50"/>
      <c r="E235" s="67"/>
      <c r="G235" s="35"/>
      <c r="L235" s="32"/>
      <c r="M235" s="32"/>
      <c r="N235" s="11"/>
      <c r="O235" s="11"/>
      <c r="P235" s="32"/>
      <c r="Q235" s="32"/>
      <c r="R235" s="32"/>
      <c r="AV235" s="50"/>
      <c r="AY235" s="50"/>
    </row>
    <row r="236" spans="2:51" s="30" customFormat="1">
      <c r="B236" s="50"/>
      <c r="E236" s="67"/>
      <c r="G236" s="35"/>
      <c r="L236" s="32"/>
      <c r="M236" s="32"/>
      <c r="N236" s="11"/>
      <c r="O236" s="11"/>
      <c r="P236" s="32"/>
      <c r="Q236" s="32"/>
      <c r="R236" s="32"/>
      <c r="AV236" s="50"/>
      <c r="AY236" s="50"/>
    </row>
    <row r="237" spans="2:51" s="30" customFormat="1">
      <c r="B237" s="50"/>
      <c r="E237" s="67"/>
      <c r="G237" s="35"/>
      <c r="L237" s="32"/>
      <c r="M237" s="32"/>
      <c r="N237" s="11"/>
      <c r="O237" s="11"/>
      <c r="P237" s="32"/>
      <c r="Q237" s="32"/>
      <c r="R237" s="32"/>
      <c r="AV237" s="50"/>
      <c r="AY237" s="50"/>
    </row>
    <row r="238" spans="2:51" s="30" customFormat="1">
      <c r="B238" s="50"/>
      <c r="E238" s="67"/>
      <c r="G238" s="35"/>
      <c r="L238" s="32"/>
      <c r="M238" s="32"/>
      <c r="N238" s="11"/>
      <c r="O238" s="11"/>
      <c r="P238" s="32"/>
      <c r="Q238" s="32"/>
      <c r="R238" s="32"/>
      <c r="AV238" s="50"/>
      <c r="AY238" s="50"/>
    </row>
    <row r="239" spans="2:51" s="30" customFormat="1">
      <c r="B239" s="50"/>
      <c r="E239" s="67"/>
      <c r="G239" s="35"/>
      <c r="L239" s="32"/>
      <c r="M239" s="32"/>
      <c r="N239" s="11"/>
      <c r="O239" s="11"/>
      <c r="P239" s="32"/>
      <c r="Q239" s="32"/>
      <c r="R239" s="32"/>
      <c r="AV239" s="50"/>
      <c r="AY239" s="50"/>
    </row>
    <row r="240" spans="2:51" s="30" customFormat="1">
      <c r="B240" s="50"/>
      <c r="E240" s="67"/>
      <c r="G240" s="35"/>
      <c r="L240" s="32"/>
      <c r="M240" s="32"/>
      <c r="N240" s="11"/>
      <c r="O240" s="11"/>
      <c r="P240" s="32"/>
      <c r="Q240" s="32"/>
      <c r="R240" s="32"/>
      <c r="AV240" s="50"/>
      <c r="AY240" s="50"/>
    </row>
    <row r="241" spans="2:51" s="30" customFormat="1">
      <c r="B241" s="50"/>
      <c r="E241" s="67"/>
      <c r="G241" s="35"/>
      <c r="L241" s="32"/>
      <c r="M241" s="32"/>
      <c r="N241" s="11"/>
      <c r="O241" s="11"/>
      <c r="P241" s="32"/>
      <c r="Q241" s="32"/>
      <c r="R241" s="32"/>
      <c r="AV241" s="50"/>
      <c r="AY241" s="50"/>
    </row>
    <row r="242" spans="2:51" s="30" customFormat="1">
      <c r="B242" s="50"/>
      <c r="E242" s="67"/>
      <c r="G242" s="35"/>
      <c r="L242" s="32"/>
      <c r="M242" s="32"/>
      <c r="N242" s="11"/>
      <c r="O242" s="11"/>
      <c r="P242" s="32"/>
      <c r="Q242" s="32"/>
      <c r="R242" s="32"/>
      <c r="AV242" s="50"/>
      <c r="AY242" s="50"/>
    </row>
    <row r="243" spans="2:51" s="30" customFormat="1">
      <c r="B243" s="50"/>
      <c r="E243" s="67"/>
      <c r="G243" s="35"/>
      <c r="L243" s="32"/>
      <c r="M243" s="32"/>
      <c r="N243" s="11"/>
      <c r="O243" s="11"/>
      <c r="P243" s="32"/>
      <c r="Q243" s="32"/>
      <c r="R243" s="32"/>
      <c r="AV243" s="50"/>
      <c r="AY243" s="50"/>
    </row>
    <row r="244" spans="2:51" s="30" customFormat="1">
      <c r="B244" s="50"/>
      <c r="E244" s="67"/>
      <c r="G244" s="35"/>
      <c r="L244" s="32"/>
      <c r="M244" s="32"/>
      <c r="N244" s="11"/>
      <c r="O244" s="11"/>
      <c r="P244" s="32"/>
      <c r="Q244" s="32"/>
      <c r="R244" s="32"/>
      <c r="AV244" s="50"/>
      <c r="AY244" s="50"/>
    </row>
    <row r="245" spans="2:51" s="30" customFormat="1">
      <c r="B245" s="50"/>
      <c r="E245" s="67"/>
      <c r="G245" s="35"/>
      <c r="L245" s="32"/>
      <c r="M245" s="32"/>
      <c r="N245" s="11"/>
      <c r="O245" s="11"/>
      <c r="P245" s="32"/>
      <c r="Q245" s="32"/>
      <c r="R245" s="32"/>
      <c r="AV245" s="50"/>
      <c r="AY245" s="50"/>
    </row>
    <row r="246" spans="2:51" s="30" customFormat="1">
      <c r="B246" s="50"/>
      <c r="E246" s="67"/>
      <c r="G246" s="35"/>
      <c r="L246" s="32"/>
      <c r="M246" s="32"/>
      <c r="N246" s="11"/>
      <c r="O246" s="11"/>
      <c r="P246" s="32"/>
      <c r="Q246" s="32"/>
      <c r="R246" s="32"/>
      <c r="AV246" s="50"/>
      <c r="AY246" s="50"/>
    </row>
    <row r="247" spans="2:51" s="30" customFormat="1">
      <c r="B247" s="50"/>
      <c r="E247" s="67"/>
      <c r="G247" s="35"/>
      <c r="L247" s="32"/>
      <c r="M247" s="32"/>
      <c r="N247" s="11"/>
      <c r="O247" s="11"/>
      <c r="P247" s="32"/>
      <c r="Q247" s="32"/>
      <c r="R247" s="32"/>
      <c r="AV247" s="50"/>
      <c r="AY247" s="50"/>
    </row>
    <row r="248" spans="2:51" s="30" customFormat="1">
      <c r="B248" s="50"/>
      <c r="E248" s="67"/>
      <c r="G248" s="35"/>
      <c r="L248" s="32"/>
      <c r="M248" s="32"/>
      <c r="N248" s="11"/>
      <c r="O248" s="11"/>
      <c r="P248" s="32"/>
      <c r="Q248" s="32"/>
      <c r="R248" s="32"/>
      <c r="AV248" s="50"/>
      <c r="AY248" s="50"/>
    </row>
    <row r="249" spans="2:51" s="30" customFormat="1">
      <c r="B249" s="50"/>
      <c r="E249" s="67"/>
      <c r="G249" s="35"/>
      <c r="L249" s="32"/>
      <c r="M249" s="32"/>
      <c r="N249" s="11"/>
      <c r="O249" s="11"/>
      <c r="P249" s="32"/>
      <c r="Q249" s="32"/>
      <c r="R249" s="32"/>
      <c r="AV249" s="50"/>
      <c r="AY249" s="50"/>
    </row>
    <row r="250" spans="2:51" s="30" customFormat="1">
      <c r="B250" s="50"/>
      <c r="E250" s="67"/>
      <c r="G250" s="35"/>
      <c r="L250" s="32"/>
      <c r="M250" s="32"/>
      <c r="N250" s="11"/>
      <c r="O250" s="11"/>
      <c r="P250" s="32"/>
      <c r="Q250" s="32"/>
      <c r="R250" s="32"/>
      <c r="AV250" s="50"/>
      <c r="AY250" s="50"/>
    </row>
    <row r="251" spans="2:51" s="30" customFormat="1">
      <c r="B251" s="50"/>
      <c r="E251" s="67"/>
      <c r="G251" s="35"/>
      <c r="L251" s="32"/>
      <c r="M251" s="32"/>
      <c r="N251" s="11"/>
      <c r="O251" s="11"/>
      <c r="P251" s="32"/>
      <c r="Q251" s="32"/>
      <c r="R251" s="32"/>
      <c r="AV251" s="50"/>
      <c r="AY251" s="50"/>
    </row>
    <row r="252" spans="2:51" s="30" customFormat="1">
      <c r="B252" s="50"/>
      <c r="E252" s="67"/>
      <c r="G252" s="35"/>
      <c r="L252" s="32"/>
      <c r="M252" s="32"/>
      <c r="N252" s="11"/>
      <c r="O252" s="11"/>
      <c r="P252" s="32"/>
      <c r="Q252" s="32"/>
      <c r="R252" s="32"/>
      <c r="AV252" s="50"/>
      <c r="AY252" s="50"/>
    </row>
    <row r="253" spans="2:51" s="30" customFormat="1">
      <c r="B253" s="50"/>
      <c r="E253" s="67"/>
      <c r="G253" s="35"/>
      <c r="L253" s="32"/>
      <c r="M253" s="32"/>
      <c r="N253" s="11"/>
      <c r="O253" s="11"/>
      <c r="P253" s="32"/>
      <c r="Q253" s="32"/>
      <c r="R253" s="32"/>
      <c r="AV253" s="50"/>
      <c r="AY253" s="50"/>
    </row>
    <row r="254" spans="2:51" s="30" customFormat="1">
      <c r="B254" s="50"/>
      <c r="E254" s="67"/>
      <c r="G254" s="35"/>
      <c r="L254" s="32"/>
      <c r="M254" s="32"/>
      <c r="N254" s="11"/>
      <c r="O254" s="11"/>
      <c r="P254" s="32"/>
      <c r="Q254" s="32"/>
      <c r="R254" s="32"/>
      <c r="AV254" s="50"/>
      <c r="AY254" s="50"/>
    </row>
    <row r="255" spans="2:51" s="30" customFormat="1">
      <c r="B255" s="50"/>
      <c r="E255" s="67"/>
      <c r="G255" s="35"/>
      <c r="L255" s="32"/>
      <c r="M255" s="32"/>
      <c r="N255" s="11"/>
      <c r="O255" s="11"/>
      <c r="P255" s="32"/>
      <c r="Q255" s="32"/>
      <c r="R255" s="32"/>
      <c r="AV255" s="50"/>
      <c r="AY255" s="50"/>
    </row>
    <row r="256" spans="2:51" s="30" customFormat="1">
      <c r="B256" s="50"/>
      <c r="E256" s="67"/>
      <c r="G256" s="35"/>
      <c r="L256" s="32"/>
      <c r="M256" s="32"/>
      <c r="N256" s="11"/>
      <c r="O256" s="11"/>
      <c r="P256" s="32"/>
      <c r="Q256" s="32"/>
      <c r="R256" s="32"/>
      <c r="AV256" s="50"/>
      <c r="AY256" s="50"/>
    </row>
    <row r="257" spans="2:51" s="30" customFormat="1">
      <c r="B257" s="50"/>
      <c r="E257" s="67"/>
      <c r="G257" s="35"/>
      <c r="L257" s="32"/>
      <c r="M257" s="32"/>
      <c r="N257" s="11"/>
      <c r="O257" s="11"/>
      <c r="P257" s="32"/>
      <c r="Q257" s="32"/>
      <c r="R257" s="32"/>
      <c r="AV257" s="50"/>
      <c r="AY257" s="50"/>
    </row>
    <row r="258" spans="2:51" s="30" customFormat="1">
      <c r="B258" s="50"/>
      <c r="E258" s="67"/>
      <c r="G258" s="35"/>
      <c r="L258" s="32"/>
      <c r="M258" s="32"/>
      <c r="N258" s="11"/>
      <c r="O258" s="11"/>
      <c r="P258" s="32"/>
      <c r="Q258" s="32"/>
      <c r="R258" s="32"/>
      <c r="AV258" s="50"/>
      <c r="AY258" s="50"/>
    </row>
    <row r="259" spans="2:51" s="30" customFormat="1">
      <c r="B259" s="50"/>
      <c r="E259" s="67"/>
      <c r="G259" s="35"/>
      <c r="L259" s="32"/>
      <c r="M259" s="32"/>
      <c r="N259" s="11"/>
      <c r="O259" s="11"/>
      <c r="P259" s="32"/>
      <c r="Q259" s="32"/>
      <c r="R259" s="32"/>
      <c r="AV259" s="50"/>
      <c r="AY259" s="50"/>
    </row>
    <row r="260" spans="2:51" s="30" customFormat="1">
      <c r="B260" s="50"/>
      <c r="E260" s="67"/>
      <c r="G260" s="35"/>
      <c r="L260" s="32"/>
      <c r="M260" s="32"/>
      <c r="N260" s="11"/>
      <c r="O260" s="11"/>
      <c r="P260" s="32"/>
      <c r="Q260" s="32"/>
      <c r="R260" s="32"/>
      <c r="AV260" s="50"/>
      <c r="AY260" s="50"/>
    </row>
    <row r="261" spans="2:51" s="30" customFormat="1">
      <c r="B261" s="50"/>
      <c r="E261" s="67"/>
      <c r="G261" s="35"/>
      <c r="L261" s="32"/>
      <c r="M261" s="32"/>
      <c r="N261" s="11"/>
      <c r="O261" s="11"/>
      <c r="P261" s="32"/>
      <c r="Q261" s="32"/>
      <c r="R261" s="32"/>
      <c r="AV261" s="50"/>
      <c r="AY261" s="50"/>
    </row>
    <row r="262" spans="2:51" s="30" customFormat="1">
      <c r="B262" s="50"/>
      <c r="E262" s="67"/>
      <c r="G262" s="35"/>
      <c r="L262" s="32"/>
      <c r="M262" s="32"/>
      <c r="N262" s="11"/>
      <c r="O262" s="11"/>
      <c r="P262" s="32"/>
      <c r="Q262" s="32"/>
      <c r="R262" s="32"/>
      <c r="AV262" s="50"/>
      <c r="AY262" s="50"/>
    </row>
    <row r="263" spans="2:51" s="30" customFormat="1">
      <c r="B263" s="50"/>
      <c r="E263" s="67"/>
      <c r="G263" s="35"/>
      <c r="L263" s="32"/>
      <c r="M263" s="32"/>
      <c r="N263" s="11"/>
      <c r="O263" s="11"/>
      <c r="P263" s="32"/>
      <c r="Q263" s="32"/>
      <c r="R263" s="32"/>
      <c r="AV263" s="50"/>
      <c r="AY263" s="50"/>
    </row>
    <row r="264" spans="2:51" s="30" customFormat="1">
      <c r="B264" s="50"/>
      <c r="E264" s="67"/>
      <c r="G264" s="35"/>
      <c r="L264" s="32"/>
      <c r="M264" s="32"/>
      <c r="N264" s="11"/>
      <c r="O264" s="11"/>
      <c r="P264" s="32"/>
      <c r="Q264" s="32"/>
      <c r="R264" s="32"/>
      <c r="AV264" s="50"/>
      <c r="AY264" s="50"/>
    </row>
    <row r="265" spans="2:51" s="30" customFormat="1">
      <c r="B265" s="50"/>
      <c r="E265" s="67"/>
      <c r="G265" s="35"/>
      <c r="L265" s="32"/>
      <c r="M265" s="32"/>
      <c r="N265" s="11"/>
      <c r="O265" s="11"/>
      <c r="P265" s="32"/>
      <c r="Q265" s="32"/>
      <c r="R265" s="32"/>
      <c r="AV265" s="50"/>
      <c r="AY265" s="50"/>
    </row>
    <row r="266" spans="2:51" s="30" customFormat="1">
      <c r="B266" s="50"/>
      <c r="E266" s="67"/>
      <c r="G266" s="35"/>
      <c r="L266" s="32"/>
      <c r="M266" s="32"/>
      <c r="N266" s="11"/>
      <c r="O266" s="11"/>
      <c r="P266" s="32"/>
      <c r="Q266" s="32"/>
      <c r="R266" s="32"/>
      <c r="AV266" s="50"/>
      <c r="AY266" s="50"/>
    </row>
    <row r="267" spans="2:51" s="30" customFormat="1">
      <c r="B267" s="50"/>
      <c r="E267" s="67"/>
      <c r="G267" s="35"/>
      <c r="L267" s="32"/>
      <c r="M267" s="32"/>
      <c r="N267" s="11"/>
      <c r="O267" s="11"/>
      <c r="P267" s="32"/>
      <c r="Q267" s="32"/>
      <c r="R267" s="32"/>
      <c r="AV267" s="50"/>
      <c r="AY267" s="50"/>
    </row>
    <row r="268" spans="2:51" s="30" customFormat="1">
      <c r="B268" s="50"/>
      <c r="E268" s="67"/>
      <c r="G268" s="35"/>
      <c r="L268" s="32"/>
      <c r="M268" s="32"/>
      <c r="N268" s="11"/>
      <c r="O268" s="11"/>
      <c r="P268" s="32"/>
      <c r="Q268" s="32"/>
      <c r="R268" s="32"/>
      <c r="AV268" s="50"/>
      <c r="AY268" s="50"/>
    </row>
    <row r="269" spans="2:51" s="30" customFormat="1">
      <c r="B269" s="50"/>
      <c r="E269" s="67"/>
      <c r="G269" s="35"/>
      <c r="L269" s="32"/>
      <c r="M269" s="32"/>
      <c r="N269" s="11"/>
      <c r="O269" s="11"/>
      <c r="P269" s="32"/>
      <c r="Q269" s="32"/>
      <c r="R269" s="32"/>
      <c r="AV269" s="50"/>
      <c r="AY269" s="50"/>
    </row>
    <row r="270" spans="2:51" s="30" customFormat="1">
      <c r="B270" s="50"/>
      <c r="E270" s="67"/>
      <c r="G270" s="35"/>
      <c r="L270" s="32"/>
      <c r="M270" s="32"/>
      <c r="N270" s="11"/>
      <c r="O270" s="11"/>
      <c r="P270" s="32"/>
      <c r="Q270" s="32"/>
      <c r="R270" s="32"/>
      <c r="AV270" s="50"/>
      <c r="AY270" s="50"/>
    </row>
    <row r="271" spans="2:51" s="30" customFormat="1">
      <c r="B271" s="50"/>
      <c r="E271" s="67"/>
      <c r="G271" s="35"/>
      <c r="L271" s="32"/>
      <c r="M271" s="32"/>
      <c r="N271" s="11"/>
      <c r="O271" s="11"/>
      <c r="P271" s="32"/>
      <c r="Q271" s="32"/>
      <c r="R271" s="32"/>
      <c r="AV271" s="50"/>
      <c r="AY271" s="50"/>
    </row>
    <row r="272" spans="2:51" s="30" customFormat="1">
      <c r="B272" s="50"/>
      <c r="E272" s="67"/>
      <c r="G272" s="35"/>
      <c r="L272" s="32"/>
      <c r="M272" s="32"/>
      <c r="N272" s="11"/>
      <c r="O272" s="11"/>
      <c r="P272" s="32"/>
      <c r="Q272" s="32"/>
      <c r="R272" s="32"/>
      <c r="AV272" s="50"/>
      <c r="AY272" s="50"/>
    </row>
    <row r="273" spans="2:51" s="30" customFormat="1">
      <c r="B273" s="50"/>
      <c r="E273" s="67"/>
      <c r="G273" s="35"/>
      <c r="L273" s="32"/>
      <c r="M273" s="32"/>
      <c r="N273" s="11"/>
      <c r="O273" s="11"/>
      <c r="P273" s="32"/>
      <c r="Q273" s="32"/>
      <c r="R273" s="32"/>
      <c r="AV273" s="50"/>
      <c r="AY273" s="50"/>
    </row>
    <row r="274" spans="2:51" s="30" customFormat="1">
      <c r="B274" s="50"/>
      <c r="E274" s="67"/>
      <c r="G274" s="35"/>
      <c r="L274" s="32"/>
      <c r="M274" s="32"/>
      <c r="N274" s="11"/>
      <c r="O274" s="11"/>
      <c r="P274" s="32"/>
      <c r="Q274" s="32"/>
      <c r="R274" s="32"/>
      <c r="AV274" s="50"/>
      <c r="AY274" s="50"/>
    </row>
    <row r="275" spans="2:51" s="30" customFormat="1">
      <c r="B275" s="50"/>
      <c r="E275" s="67"/>
      <c r="G275" s="35"/>
      <c r="L275" s="32"/>
      <c r="M275" s="32"/>
      <c r="N275" s="11"/>
      <c r="O275" s="11"/>
      <c r="P275" s="32"/>
      <c r="Q275" s="32"/>
      <c r="R275" s="32"/>
      <c r="AV275" s="50"/>
      <c r="AY275" s="50"/>
    </row>
    <row r="276" spans="2:51" s="30" customFormat="1">
      <c r="B276" s="50"/>
      <c r="E276" s="67"/>
      <c r="G276" s="35"/>
      <c r="L276" s="32"/>
      <c r="M276" s="32"/>
      <c r="N276" s="11"/>
      <c r="O276" s="11"/>
      <c r="P276" s="32"/>
      <c r="Q276" s="32"/>
      <c r="R276" s="32"/>
      <c r="AV276" s="50"/>
      <c r="AY276" s="50"/>
    </row>
    <row r="277" spans="2:51" s="30" customFormat="1">
      <c r="B277" s="50"/>
      <c r="E277" s="67"/>
      <c r="G277" s="35"/>
      <c r="L277" s="32"/>
      <c r="M277" s="32"/>
      <c r="N277" s="11"/>
      <c r="O277" s="11"/>
      <c r="P277" s="32"/>
      <c r="Q277" s="32"/>
      <c r="R277" s="32"/>
      <c r="AV277" s="50"/>
      <c r="AY277" s="50"/>
    </row>
    <row r="278" spans="2:51" s="30" customFormat="1">
      <c r="B278" s="50"/>
      <c r="E278" s="67"/>
      <c r="G278" s="35"/>
      <c r="L278" s="32"/>
      <c r="M278" s="32"/>
      <c r="N278" s="11"/>
      <c r="O278" s="11"/>
      <c r="P278" s="32"/>
      <c r="Q278" s="32"/>
      <c r="R278" s="32"/>
      <c r="AV278" s="50"/>
      <c r="AY278" s="50"/>
    </row>
    <row r="279" spans="2:51" s="30" customFormat="1">
      <c r="B279" s="50"/>
      <c r="E279" s="67"/>
      <c r="G279" s="35"/>
      <c r="L279" s="32"/>
      <c r="M279" s="32"/>
      <c r="N279" s="11"/>
      <c r="O279" s="11"/>
      <c r="P279" s="32"/>
      <c r="Q279" s="32"/>
      <c r="R279" s="32"/>
      <c r="AV279" s="50"/>
      <c r="AY279" s="50"/>
    </row>
    <row r="280" spans="2:51" s="30" customFormat="1">
      <c r="B280" s="50"/>
      <c r="E280" s="67"/>
      <c r="G280" s="35"/>
      <c r="L280" s="32"/>
      <c r="M280" s="32"/>
      <c r="N280" s="11"/>
      <c r="O280" s="11"/>
      <c r="P280" s="32"/>
      <c r="Q280" s="32"/>
      <c r="R280" s="32"/>
      <c r="AV280" s="50"/>
      <c r="AY280" s="50"/>
    </row>
    <row r="281" spans="2:51" s="30" customFormat="1">
      <c r="B281" s="50"/>
      <c r="E281" s="67"/>
      <c r="G281" s="35"/>
      <c r="L281" s="32"/>
      <c r="M281" s="32"/>
      <c r="N281" s="11"/>
      <c r="O281" s="11"/>
      <c r="P281" s="32"/>
      <c r="Q281" s="32"/>
      <c r="R281" s="32"/>
      <c r="AV281" s="50"/>
      <c r="AY281" s="50"/>
    </row>
    <row r="282" spans="2:51" s="30" customFormat="1">
      <c r="B282" s="50"/>
      <c r="E282" s="67"/>
      <c r="G282" s="35"/>
      <c r="L282" s="32"/>
      <c r="M282" s="32"/>
      <c r="N282" s="11"/>
      <c r="O282" s="11"/>
      <c r="P282" s="32"/>
      <c r="Q282" s="32"/>
      <c r="R282" s="32"/>
      <c r="AV282" s="50"/>
      <c r="AY282" s="50"/>
    </row>
    <row r="283" spans="2:51" s="30" customFormat="1">
      <c r="B283" s="50"/>
      <c r="E283" s="67"/>
      <c r="G283" s="35"/>
      <c r="L283" s="32"/>
      <c r="M283" s="32"/>
      <c r="N283" s="11"/>
      <c r="O283" s="11"/>
      <c r="P283" s="32"/>
      <c r="Q283" s="32"/>
      <c r="R283" s="32"/>
      <c r="AV283" s="50"/>
      <c r="AY283" s="50"/>
    </row>
    <row r="284" spans="2:51" s="30" customFormat="1">
      <c r="B284" s="50"/>
      <c r="E284" s="67"/>
      <c r="G284" s="35"/>
      <c r="L284" s="32"/>
      <c r="M284" s="32"/>
      <c r="N284" s="11"/>
      <c r="O284" s="11"/>
      <c r="P284" s="32"/>
      <c r="Q284" s="32"/>
      <c r="R284" s="32"/>
      <c r="AV284" s="50"/>
      <c r="AY284" s="50"/>
    </row>
    <row r="285" spans="2:51" s="30" customFormat="1">
      <c r="B285" s="50"/>
      <c r="E285" s="67"/>
      <c r="G285" s="35"/>
      <c r="L285" s="32"/>
      <c r="M285" s="32"/>
      <c r="N285" s="11"/>
      <c r="O285" s="11"/>
      <c r="P285" s="32"/>
      <c r="Q285" s="32"/>
      <c r="R285" s="32"/>
      <c r="AV285" s="50"/>
      <c r="AY285" s="50"/>
    </row>
    <row r="286" spans="2:51" s="30" customFormat="1">
      <c r="B286" s="50"/>
      <c r="E286" s="67"/>
      <c r="G286" s="35"/>
      <c r="L286" s="32"/>
      <c r="M286" s="32"/>
      <c r="N286" s="11"/>
      <c r="O286" s="11"/>
      <c r="P286" s="32"/>
      <c r="Q286" s="32"/>
      <c r="R286" s="32"/>
      <c r="AV286" s="50"/>
      <c r="AY286" s="50"/>
    </row>
    <row r="287" spans="2:51" s="30" customFormat="1">
      <c r="B287" s="50"/>
      <c r="E287" s="67"/>
      <c r="G287" s="35"/>
      <c r="L287" s="32"/>
      <c r="M287" s="32"/>
      <c r="N287" s="11"/>
      <c r="O287" s="11"/>
      <c r="P287" s="32"/>
      <c r="Q287" s="32"/>
      <c r="R287" s="32"/>
      <c r="AV287" s="50"/>
      <c r="AY287" s="50"/>
    </row>
    <row r="288" spans="2:51" s="30" customFormat="1">
      <c r="B288" s="50"/>
      <c r="E288" s="67"/>
      <c r="G288" s="35"/>
      <c r="L288" s="32"/>
      <c r="M288" s="32"/>
      <c r="N288" s="11"/>
      <c r="O288" s="11"/>
      <c r="P288" s="32"/>
      <c r="Q288" s="32"/>
      <c r="R288" s="32"/>
      <c r="AV288" s="50"/>
      <c r="AY288" s="50"/>
    </row>
    <row r="289" spans="2:51" s="30" customFormat="1">
      <c r="B289" s="50"/>
      <c r="E289" s="67"/>
      <c r="G289" s="35"/>
      <c r="L289" s="32"/>
      <c r="M289" s="32"/>
      <c r="N289" s="11"/>
      <c r="O289" s="11"/>
      <c r="P289" s="32"/>
      <c r="Q289" s="32"/>
      <c r="R289" s="32"/>
      <c r="AV289" s="50"/>
      <c r="AY289" s="50"/>
    </row>
    <row r="290" spans="2:51" s="30" customFormat="1">
      <c r="B290" s="50"/>
      <c r="E290" s="67"/>
      <c r="G290" s="35"/>
      <c r="L290" s="32"/>
      <c r="M290" s="32"/>
      <c r="N290" s="11"/>
      <c r="O290" s="11"/>
      <c r="P290" s="32"/>
      <c r="Q290" s="32"/>
      <c r="R290" s="32"/>
      <c r="AV290" s="50"/>
      <c r="AY290" s="50"/>
    </row>
    <row r="291" spans="2:51" s="30" customFormat="1">
      <c r="B291" s="50"/>
      <c r="E291" s="67"/>
      <c r="G291" s="35"/>
      <c r="L291" s="32"/>
      <c r="M291" s="32"/>
      <c r="N291" s="11"/>
      <c r="O291" s="11"/>
      <c r="P291" s="32"/>
      <c r="Q291" s="32"/>
      <c r="R291" s="32"/>
      <c r="AV291" s="50"/>
      <c r="AY291" s="50"/>
    </row>
    <row r="292" spans="2:51" s="30" customFormat="1">
      <c r="B292" s="50"/>
      <c r="E292" s="67"/>
      <c r="G292" s="35"/>
      <c r="L292" s="32"/>
      <c r="M292" s="32"/>
      <c r="N292" s="11"/>
      <c r="O292" s="11"/>
      <c r="P292" s="32"/>
      <c r="Q292" s="32"/>
      <c r="R292" s="32"/>
      <c r="AV292" s="50"/>
      <c r="AY292" s="50"/>
    </row>
    <row r="293" spans="2:51" s="30" customFormat="1">
      <c r="B293" s="50"/>
      <c r="E293" s="67"/>
      <c r="G293" s="35"/>
      <c r="L293" s="32"/>
      <c r="M293" s="32"/>
      <c r="N293" s="11"/>
      <c r="O293" s="11"/>
      <c r="P293" s="32"/>
      <c r="Q293" s="32"/>
      <c r="R293" s="32"/>
      <c r="AV293" s="50"/>
      <c r="AY293" s="50"/>
    </row>
    <row r="294" spans="2:51" s="30" customFormat="1">
      <c r="B294" s="50"/>
      <c r="E294" s="67"/>
      <c r="G294" s="35"/>
      <c r="L294" s="32"/>
      <c r="M294" s="32"/>
      <c r="N294" s="11"/>
      <c r="O294" s="11"/>
      <c r="P294" s="32"/>
      <c r="Q294" s="32"/>
      <c r="R294" s="32"/>
      <c r="AV294" s="50"/>
      <c r="AY294" s="50"/>
    </row>
    <row r="295" spans="2:51" s="30" customFormat="1">
      <c r="B295" s="50"/>
      <c r="E295" s="67"/>
      <c r="G295" s="35"/>
      <c r="L295" s="32"/>
      <c r="M295" s="32"/>
      <c r="N295" s="11"/>
      <c r="O295" s="11"/>
      <c r="P295" s="32"/>
      <c r="Q295" s="32"/>
      <c r="R295" s="32"/>
      <c r="AV295" s="50"/>
      <c r="AY295" s="50"/>
    </row>
    <row r="296" spans="2:51" s="30" customFormat="1">
      <c r="B296" s="50"/>
      <c r="E296" s="67"/>
      <c r="G296" s="35"/>
      <c r="L296" s="32"/>
      <c r="M296" s="32"/>
      <c r="N296" s="11"/>
      <c r="O296" s="11"/>
      <c r="P296" s="32"/>
      <c r="Q296" s="32"/>
      <c r="R296" s="32"/>
      <c r="AV296" s="50"/>
      <c r="AY296" s="50"/>
    </row>
    <row r="297" spans="2:51" s="30" customFormat="1">
      <c r="B297" s="50"/>
      <c r="E297" s="67"/>
      <c r="G297" s="35"/>
      <c r="L297" s="32"/>
      <c r="M297" s="32"/>
      <c r="N297" s="11"/>
      <c r="O297" s="11"/>
      <c r="P297" s="32"/>
      <c r="Q297" s="32"/>
      <c r="R297" s="32"/>
      <c r="AV297" s="50"/>
      <c r="AY297" s="50"/>
    </row>
    <row r="298" spans="2:51" s="30" customFormat="1">
      <c r="B298" s="50"/>
      <c r="E298" s="67"/>
      <c r="G298" s="35"/>
      <c r="L298" s="32"/>
      <c r="M298" s="32"/>
      <c r="N298" s="11"/>
      <c r="O298" s="11"/>
      <c r="P298" s="32"/>
      <c r="Q298" s="32"/>
      <c r="R298" s="32"/>
      <c r="AV298" s="50"/>
      <c r="AY298" s="50"/>
    </row>
    <row r="299" spans="2:51" s="30" customFormat="1">
      <c r="B299" s="50"/>
      <c r="E299" s="67"/>
      <c r="G299" s="35"/>
      <c r="L299" s="32"/>
      <c r="M299" s="32"/>
      <c r="N299" s="11"/>
      <c r="O299" s="11"/>
      <c r="P299" s="32"/>
      <c r="Q299" s="32"/>
      <c r="R299" s="32"/>
      <c r="AV299" s="50"/>
      <c r="AY299" s="50"/>
    </row>
    <row r="300" spans="2:51" s="30" customFormat="1">
      <c r="B300" s="50"/>
      <c r="E300" s="67"/>
      <c r="G300" s="35"/>
      <c r="L300" s="32"/>
      <c r="M300" s="32"/>
      <c r="N300" s="11"/>
      <c r="O300" s="11"/>
      <c r="P300" s="32"/>
      <c r="Q300" s="32"/>
      <c r="R300" s="32"/>
      <c r="AV300" s="50"/>
      <c r="AY300" s="50"/>
    </row>
    <row r="301" spans="2:51" s="30" customFormat="1">
      <c r="B301" s="50"/>
      <c r="E301" s="67"/>
      <c r="G301" s="35"/>
      <c r="L301" s="32"/>
      <c r="M301" s="32"/>
      <c r="N301" s="11"/>
      <c r="O301" s="11"/>
      <c r="P301" s="32"/>
      <c r="Q301" s="32"/>
      <c r="R301" s="32"/>
      <c r="AV301" s="50"/>
      <c r="AY301" s="50"/>
    </row>
    <row r="302" spans="2:51" s="30" customFormat="1">
      <c r="B302" s="50"/>
      <c r="E302" s="67"/>
      <c r="G302" s="35"/>
      <c r="L302" s="32"/>
      <c r="M302" s="32"/>
      <c r="N302" s="11"/>
      <c r="O302" s="11"/>
      <c r="P302" s="32"/>
      <c r="Q302" s="32"/>
      <c r="R302" s="32"/>
      <c r="AV302" s="50"/>
      <c r="AY302" s="50"/>
    </row>
    <row r="303" spans="2:51" s="30" customFormat="1">
      <c r="B303" s="50"/>
      <c r="E303" s="67"/>
      <c r="G303" s="35"/>
      <c r="L303" s="32"/>
      <c r="M303" s="32"/>
      <c r="N303" s="11"/>
      <c r="O303" s="11"/>
      <c r="P303" s="32"/>
      <c r="Q303" s="32"/>
      <c r="R303" s="32"/>
      <c r="AV303" s="50"/>
      <c r="AY303" s="50"/>
    </row>
    <row r="304" spans="2:51" s="30" customFormat="1">
      <c r="B304" s="50"/>
      <c r="E304" s="67"/>
      <c r="G304" s="35"/>
      <c r="L304" s="32"/>
      <c r="M304" s="32"/>
      <c r="N304" s="11"/>
      <c r="O304" s="11"/>
      <c r="P304" s="32"/>
      <c r="Q304" s="32"/>
      <c r="R304" s="32"/>
      <c r="AV304" s="50"/>
      <c r="AY304" s="50"/>
    </row>
    <row r="305" spans="2:51" s="30" customFormat="1">
      <c r="B305" s="50"/>
      <c r="E305" s="67"/>
      <c r="G305" s="35"/>
      <c r="L305" s="32"/>
      <c r="M305" s="32"/>
      <c r="N305" s="11"/>
      <c r="O305" s="11"/>
      <c r="P305" s="32"/>
      <c r="Q305" s="32"/>
      <c r="R305" s="32"/>
      <c r="AV305" s="50"/>
      <c r="AY305" s="50"/>
    </row>
    <row r="306" spans="2:51" s="30" customFormat="1">
      <c r="B306" s="50"/>
      <c r="E306" s="67"/>
      <c r="G306" s="35"/>
      <c r="L306" s="32"/>
      <c r="M306" s="32"/>
      <c r="N306" s="11"/>
      <c r="O306" s="11"/>
      <c r="P306" s="32"/>
      <c r="Q306" s="32"/>
      <c r="R306" s="32"/>
      <c r="AV306" s="50"/>
      <c r="AY306" s="50"/>
    </row>
    <row r="307" spans="2:51" s="30" customFormat="1">
      <c r="B307" s="50"/>
      <c r="E307" s="67"/>
      <c r="G307" s="35"/>
      <c r="L307" s="32"/>
      <c r="M307" s="32"/>
      <c r="N307" s="11"/>
      <c r="O307" s="11"/>
      <c r="P307" s="32"/>
      <c r="Q307" s="32"/>
      <c r="R307" s="32"/>
      <c r="AV307" s="50"/>
      <c r="AY307" s="50"/>
    </row>
    <row r="308" spans="2:51" s="30" customFormat="1">
      <c r="B308" s="50"/>
      <c r="E308" s="67"/>
      <c r="G308" s="35"/>
      <c r="L308" s="32"/>
      <c r="M308" s="32"/>
      <c r="N308" s="11"/>
      <c r="O308" s="11"/>
      <c r="P308" s="32"/>
      <c r="Q308" s="32"/>
      <c r="R308" s="32"/>
      <c r="AV308" s="50"/>
      <c r="AY308" s="50"/>
    </row>
    <row r="309" spans="2:51" s="30" customFormat="1">
      <c r="B309" s="50"/>
      <c r="E309" s="67"/>
      <c r="G309" s="35"/>
      <c r="L309" s="32"/>
      <c r="M309" s="32"/>
      <c r="N309" s="11"/>
      <c r="O309" s="11"/>
      <c r="P309" s="32"/>
      <c r="Q309" s="32"/>
      <c r="R309" s="32"/>
      <c r="AV309" s="50"/>
      <c r="AY309" s="50"/>
    </row>
    <row r="310" spans="2:51" s="30" customFormat="1">
      <c r="B310" s="50"/>
      <c r="E310" s="67"/>
      <c r="G310" s="35"/>
      <c r="L310" s="32"/>
      <c r="M310" s="32"/>
      <c r="N310" s="11"/>
      <c r="O310" s="11"/>
      <c r="P310" s="32"/>
      <c r="Q310" s="32"/>
      <c r="R310" s="32"/>
      <c r="AV310" s="50"/>
      <c r="AY310" s="50"/>
    </row>
    <row r="311" spans="2:51" s="30" customFormat="1">
      <c r="B311" s="50"/>
      <c r="E311" s="67"/>
      <c r="G311" s="35"/>
      <c r="L311" s="32"/>
      <c r="M311" s="32"/>
      <c r="N311" s="11"/>
      <c r="O311" s="11"/>
      <c r="P311" s="32"/>
      <c r="Q311" s="32"/>
      <c r="R311" s="32"/>
      <c r="AV311" s="50"/>
      <c r="AY311" s="50"/>
    </row>
    <row r="312" spans="2:51" s="30" customFormat="1">
      <c r="B312" s="50"/>
      <c r="E312" s="67"/>
      <c r="G312" s="35"/>
      <c r="L312" s="32"/>
      <c r="M312" s="32"/>
      <c r="N312" s="11"/>
      <c r="O312" s="11"/>
      <c r="P312" s="32"/>
      <c r="Q312" s="32"/>
      <c r="R312" s="32"/>
      <c r="AV312" s="50"/>
      <c r="AY312" s="50"/>
    </row>
    <row r="313" spans="2:51" s="30" customFormat="1">
      <c r="B313" s="50"/>
      <c r="E313" s="67"/>
      <c r="G313" s="35"/>
      <c r="L313" s="32"/>
      <c r="M313" s="32"/>
      <c r="N313" s="11"/>
      <c r="O313" s="11"/>
      <c r="P313" s="32"/>
      <c r="Q313" s="32"/>
      <c r="R313" s="32"/>
      <c r="AV313" s="50"/>
      <c r="AY313" s="50"/>
    </row>
    <row r="314" spans="2:51" s="30" customFormat="1">
      <c r="B314" s="50"/>
      <c r="E314" s="67"/>
      <c r="G314" s="35"/>
      <c r="L314" s="32"/>
      <c r="M314" s="32"/>
      <c r="N314" s="11"/>
      <c r="O314" s="11"/>
      <c r="P314" s="32"/>
      <c r="Q314" s="32"/>
      <c r="R314" s="32"/>
      <c r="AV314" s="50"/>
      <c r="AY314" s="50"/>
    </row>
    <row r="315" spans="2:51" s="30" customFormat="1">
      <c r="B315" s="50"/>
      <c r="E315" s="67"/>
      <c r="G315" s="35"/>
      <c r="L315" s="32"/>
      <c r="M315" s="32"/>
      <c r="N315" s="11"/>
      <c r="O315" s="11"/>
      <c r="P315" s="32"/>
      <c r="Q315" s="32"/>
      <c r="R315" s="32"/>
      <c r="AV315" s="50"/>
      <c r="AY315" s="50"/>
    </row>
    <row r="316" spans="2:51" s="30" customFormat="1">
      <c r="B316" s="50"/>
      <c r="E316" s="67"/>
      <c r="G316" s="35"/>
      <c r="L316" s="32"/>
      <c r="M316" s="32"/>
      <c r="N316" s="11"/>
      <c r="O316" s="11"/>
      <c r="P316" s="32"/>
      <c r="Q316" s="32"/>
      <c r="R316" s="32"/>
      <c r="AV316" s="50"/>
      <c r="AY316" s="50"/>
    </row>
    <row r="317" spans="2:51" s="30" customFormat="1">
      <c r="B317" s="50"/>
      <c r="E317" s="67"/>
      <c r="G317" s="35"/>
      <c r="L317" s="32"/>
      <c r="M317" s="32"/>
      <c r="N317" s="11"/>
      <c r="O317" s="11"/>
      <c r="P317" s="32"/>
      <c r="Q317" s="32"/>
      <c r="R317" s="32"/>
      <c r="AV317" s="50"/>
      <c r="AY317" s="50"/>
    </row>
    <row r="318" spans="2:51" s="30" customFormat="1">
      <c r="B318" s="50"/>
      <c r="E318" s="67"/>
      <c r="G318" s="35"/>
      <c r="L318" s="32"/>
      <c r="M318" s="32"/>
      <c r="N318" s="11"/>
      <c r="O318" s="11"/>
      <c r="P318" s="32"/>
      <c r="Q318" s="32"/>
      <c r="R318" s="32"/>
      <c r="AV318" s="50"/>
      <c r="AY318" s="50"/>
    </row>
    <row r="319" spans="2:51" s="30" customFormat="1">
      <c r="B319" s="50"/>
      <c r="E319" s="67"/>
      <c r="G319" s="35"/>
      <c r="L319" s="32"/>
      <c r="M319" s="32"/>
      <c r="N319" s="11"/>
      <c r="O319" s="11"/>
      <c r="P319" s="32"/>
      <c r="Q319" s="32"/>
      <c r="R319" s="32"/>
      <c r="AV319" s="50"/>
      <c r="AY319" s="50"/>
    </row>
    <row r="320" spans="2:51" s="30" customFormat="1">
      <c r="B320" s="50"/>
      <c r="E320" s="67"/>
      <c r="G320" s="35"/>
      <c r="L320" s="32"/>
      <c r="M320" s="32"/>
      <c r="N320" s="11"/>
      <c r="O320" s="11"/>
      <c r="P320" s="32"/>
      <c r="Q320" s="32"/>
      <c r="R320" s="32"/>
      <c r="AV320" s="50"/>
      <c r="AY320" s="50"/>
    </row>
    <row r="321" spans="2:51" s="30" customFormat="1">
      <c r="B321" s="50"/>
      <c r="E321" s="67"/>
      <c r="G321" s="35"/>
      <c r="L321" s="32"/>
      <c r="M321" s="32"/>
      <c r="N321" s="11"/>
      <c r="O321" s="11"/>
      <c r="P321" s="32"/>
      <c r="Q321" s="32"/>
      <c r="R321" s="32"/>
      <c r="AV321" s="50"/>
      <c r="AY321" s="50"/>
    </row>
    <row r="322" spans="2:51" s="30" customFormat="1">
      <c r="B322" s="50"/>
      <c r="E322" s="67"/>
      <c r="G322" s="35"/>
      <c r="L322" s="32"/>
      <c r="M322" s="32"/>
      <c r="N322" s="11"/>
      <c r="O322" s="11"/>
      <c r="P322" s="32"/>
      <c r="Q322" s="32"/>
      <c r="R322" s="32"/>
      <c r="AV322" s="50"/>
      <c r="AY322" s="50"/>
    </row>
    <row r="323" spans="2:51" s="30" customFormat="1">
      <c r="B323" s="50"/>
      <c r="E323" s="67"/>
      <c r="G323" s="35"/>
      <c r="L323" s="32"/>
      <c r="M323" s="32"/>
      <c r="N323" s="11"/>
      <c r="O323" s="11"/>
      <c r="P323" s="32"/>
      <c r="Q323" s="32"/>
      <c r="R323" s="32"/>
      <c r="AV323" s="50"/>
      <c r="AY323" s="50"/>
    </row>
    <row r="324" spans="2:51" s="30" customFormat="1">
      <c r="B324" s="50"/>
      <c r="E324" s="67"/>
      <c r="G324" s="35"/>
      <c r="L324" s="32"/>
      <c r="M324" s="32"/>
      <c r="N324" s="11"/>
      <c r="O324" s="11"/>
      <c r="P324" s="32"/>
      <c r="Q324" s="32"/>
      <c r="R324" s="32"/>
      <c r="AV324" s="50"/>
      <c r="AY324" s="50"/>
    </row>
    <row r="325" spans="2:51" s="30" customFormat="1">
      <c r="B325" s="50"/>
      <c r="E325" s="67"/>
      <c r="G325" s="35"/>
      <c r="L325" s="32"/>
      <c r="M325" s="32"/>
      <c r="N325" s="11"/>
      <c r="O325" s="11"/>
      <c r="P325" s="32"/>
      <c r="Q325" s="32"/>
      <c r="R325" s="32"/>
      <c r="AV325" s="50"/>
      <c r="AY325" s="50"/>
    </row>
    <row r="326" spans="2:51" s="30" customFormat="1">
      <c r="B326" s="50"/>
      <c r="E326" s="67"/>
      <c r="G326" s="35"/>
      <c r="L326" s="32"/>
      <c r="M326" s="32"/>
      <c r="N326" s="11"/>
      <c r="O326" s="11"/>
      <c r="P326" s="32"/>
      <c r="Q326" s="32"/>
      <c r="R326" s="32"/>
      <c r="AV326" s="50"/>
      <c r="AY326" s="50"/>
    </row>
    <row r="327" spans="2:51" s="30" customFormat="1">
      <c r="B327" s="50"/>
      <c r="E327" s="67"/>
      <c r="G327" s="35"/>
      <c r="L327" s="32"/>
      <c r="M327" s="32"/>
      <c r="N327" s="11"/>
      <c r="O327" s="11"/>
      <c r="P327" s="32"/>
      <c r="Q327" s="32"/>
      <c r="R327" s="32"/>
      <c r="AV327" s="50"/>
      <c r="AY327" s="50"/>
    </row>
    <row r="328" spans="2:51" s="30" customFormat="1">
      <c r="B328" s="50"/>
      <c r="E328" s="67"/>
      <c r="G328" s="35"/>
      <c r="L328" s="32"/>
      <c r="M328" s="32"/>
      <c r="N328" s="11"/>
      <c r="O328" s="11"/>
      <c r="P328" s="32"/>
      <c r="Q328" s="32"/>
      <c r="R328" s="32"/>
      <c r="AV328" s="50"/>
      <c r="AY328" s="50"/>
    </row>
    <row r="329" spans="2:51" s="30" customFormat="1">
      <c r="B329" s="50"/>
      <c r="E329" s="67"/>
      <c r="G329" s="35"/>
      <c r="L329" s="32"/>
      <c r="M329" s="32"/>
      <c r="N329" s="11"/>
      <c r="O329" s="11"/>
      <c r="P329" s="32"/>
      <c r="Q329" s="32"/>
      <c r="R329" s="32"/>
      <c r="AV329" s="50"/>
      <c r="AY329" s="50"/>
    </row>
    <row r="330" spans="2:51" s="30" customFormat="1">
      <c r="B330" s="50"/>
      <c r="E330" s="67"/>
      <c r="G330" s="35"/>
      <c r="L330" s="32"/>
      <c r="M330" s="32"/>
      <c r="N330" s="11"/>
      <c r="O330" s="11"/>
      <c r="P330" s="32"/>
      <c r="Q330" s="32"/>
      <c r="R330" s="32"/>
      <c r="AV330" s="50"/>
      <c r="AY330" s="50"/>
    </row>
    <row r="331" spans="2:51" s="30" customFormat="1">
      <c r="B331" s="50"/>
      <c r="E331" s="67"/>
      <c r="G331" s="35"/>
      <c r="L331" s="32"/>
      <c r="M331" s="32"/>
      <c r="N331" s="11"/>
      <c r="O331" s="11"/>
      <c r="P331" s="32"/>
      <c r="Q331" s="32"/>
      <c r="R331" s="32"/>
      <c r="AV331" s="50"/>
      <c r="AY331" s="50"/>
    </row>
    <row r="332" spans="2:51" s="30" customFormat="1">
      <c r="B332" s="50"/>
      <c r="E332" s="67"/>
      <c r="G332" s="35"/>
      <c r="L332" s="32"/>
      <c r="M332" s="32"/>
      <c r="N332" s="11"/>
      <c r="O332" s="11"/>
      <c r="P332" s="32"/>
      <c r="Q332" s="32"/>
      <c r="R332" s="32"/>
      <c r="AV332" s="50"/>
      <c r="AY332" s="50"/>
    </row>
    <row r="333" spans="2:51" s="30" customFormat="1">
      <c r="B333" s="50"/>
      <c r="E333" s="67"/>
      <c r="G333" s="35"/>
      <c r="L333" s="32"/>
      <c r="M333" s="32"/>
      <c r="N333" s="11"/>
      <c r="O333" s="11"/>
      <c r="P333" s="32"/>
      <c r="Q333" s="32"/>
      <c r="R333" s="32"/>
      <c r="AV333" s="50"/>
      <c r="AY333" s="50"/>
    </row>
    <row r="334" spans="2:51" s="30" customFormat="1">
      <c r="B334" s="50"/>
      <c r="E334" s="67"/>
      <c r="G334" s="35"/>
      <c r="L334" s="32"/>
      <c r="M334" s="32"/>
      <c r="N334" s="11"/>
      <c r="O334" s="11"/>
      <c r="P334" s="32"/>
      <c r="Q334" s="32"/>
      <c r="R334" s="32"/>
      <c r="AV334" s="50"/>
      <c r="AY334" s="50"/>
    </row>
    <row r="335" spans="2:51" s="30" customFormat="1">
      <c r="B335" s="50"/>
      <c r="E335" s="67"/>
      <c r="G335" s="35"/>
      <c r="L335" s="32"/>
      <c r="M335" s="32"/>
      <c r="N335" s="11"/>
      <c r="O335" s="11"/>
      <c r="P335" s="32"/>
      <c r="Q335" s="32"/>
      <c r="R335" s="32"/>
      <c r="AV335" s="50"/>
      <c r="AY335" s="50"/>
    </row>
    <row r="336" spans="2:51" s="30" customFormat="1">
      <c r="B336" s="50"/>
      <c r="E336" s="67"/>
      <c r="G336" s="35"/>
      <c r="L336" s="32"/>
      <c r="M336" s="32"/>
      <c r="N336" s="11"/>
      <c r="O336" s="11"/>
      <c r="P336" s="32"/>
      <c r="Q336" s="32"/>
      <c r="R336" s="32"/>
      <c r="AV336" s="50"/>
      <c r="AY336" s="50"/>
    </row>
    <row r="337" spans="2:51" s="30" customFormat="1">
      <c r="B337" s="50"/>
      <c r="E337" s="67"/>
      <c r="G337" s="35"/>
      <c r="L337" s="32"/>
      <c r="M337" s="32"/>
      <c r="N337" s="11"/>
      <c r="O337" s="11"/>
      <c r="P337" s="32"/>
      <c r="Q337" s="32"/>
      <c r="R337" s="32"/>
      <c r="AV337" s="50"/>
      <c r="AY337" s="50"/>
    </row>
    <row r="338" spans="2:51" s="30" customFormat="1">
      <c r="B338" s="50"/>
      <c r="E338" s="67"/>
      <c r="G338" s="35"/>
      <c r="L338" s="32"/>
      <c r="M338" s="32"/>
      <c r="N338" s="11"/>
      <c r="O338" s="11"/>
      <c r="P338" s="32"/>
      <c r="Q338" s="32"/>
      <c r="R338" s="32"/>
      <c r="AV338" s="50"/>
      <c r="AY338" s="50"/>
    </row>
    <row r="339" spans="2:51" s="30" customFormat="1">
      <c r="B339" s="50"/>
      <c r="E339" s="67"/>
      <c r="G339" s="35"/>
      <c r="L339" s="32"/>
      <c r="M339" s="32"/>
      <c r="N339" s="11"/>
      <c r="O339" s="11"/>
      <c r="P339" s="32"/>
      <c r="Q339" s="32"/>
      <c r="R339" s="32"/>
      <c r="AV339" s="50"/>
      <c r="AY339" s="50"/>
    </row>
    <row r="340" spans="2:51" s="30" customFormat="1">
      <c r="B340" s="50"/>
      <c r="E340" s="67"/>
      <c r="G340" s="35"/>
      <c r="L340" s="32"/>
      <c r="M340" s="32"/>
      <c r="N340" s="11"/>
      <c r="O340" s="11"/>
      <c r="P340" s="32"/>
      <c r="Q340" s="32"/>
      <c r="R340" s="32"/>
      <c r="AV340" s="50"/>
      <c r="AY340" s="50"/>
    </row>
    <row r="341" spans="2:51" s="30" customFormat="1">
      <c r="B341" s="50"/>
      <c r="E341" s="67"/>
      <c r="G341" s="35"/>
      <c r="L341" s="32"/>
      <c r="M341" s="32"/>
      <c r="N341" s="11"/>
      <c r="O341" s="11"/>
      <c r="P341" s="32"/>
      <c r="Q341" s="32"/>
      <c r="R341" s="32"/>
      <c r="AV341" s="50"/>
      <c r="AY341" s="50"/>
    </row>
    <row r="342" spans="2:51" s="30" customFormat="1">
      <c r="B342" s="50"/>
      <c r="E342" s="67"/>
      <c r="G342" s="35"/>
      <c r="L342" s="32"/>
      <c r="M342" s="32"/>
      <c r="N342" s="11"/>
      <c r="O342" s="11"/>
      <c r="P342" s="32"/>
      <c r="Q342" s="32"/>
      <c r="R342" s="32"/>
      <c r="AV342" s="50"/>
      <c r="AY342" s="50"/>
    </row>
    <row r="343" spans="2:51" s="30" customFormat="1">
      <c r="B343" s="50"/>
      <c r="E343" s="67"/>
      <c r="G343" s="35"/>
      <c r="L343" s="32"/>
      <c r="M343" s="32"/>
      <c r="N343" s="11"/>
      <c r="O343" s="11"/>
      <c r="P343" s="32"/>
      <c r="Q343" s="32"/>
      <c r="R343" s="32"/>
      <c r="AV343" s="50"/>
      <c r="AY343" s="50"/>
    </row>
    <row r="344" spans="2:51" s="30" customFormat="1">
      <c r="B344" s="50"/>
      <c r="E344" s="67"/>
      <c r="G344" s="35"/>
      <c r="L344" s="32"/>
      <c r="M344" s="32"/>
      <c r="N344" s="11"/>
      <c r="O344" s="11"/>
      <c r="P344" s="32"/>
      <c r="Q344" s="32"/>
      <c r="R344" s="32"/>
      <c r="AV344" s="50"/>
      <c r="AY344" s="50"/>
    </row>
    <row r="345" spans="2:51" s="30" customFormat="1">
      <c r="B345" s="50"/>
      <c r="E345" s="67"/>
      <c r="G345" s="35"/>
      <c r="L345" s="32"/>
      <c r="M345" s="32"/>
      <c r="N345" s="11"/>
      <c r="O345" s="11"/>
      <c r="P345" s="32"/>
      <c r="Q345" s="32"/>
      <c r="R345" s="32"/>
      <c r="AV345" s="50"/>
      <c r="AY345" s="50"/>
    </row>
    <row r="346" spans="2:51" s="30" customFormat="1">
      <c r="B346" s="50"/>
      <c r="E346" s="67"/>
      <c r="G346" s="35"/>
      <c r="L346" s="32"/>
      <c r="M346" s="32"/>
      <c r="N346" s="11"/>
      <c r="O346" s="11"/>
      <c r="P346" s="32"/>
      <c r="Q346" s="32"/>
      <c r="R346" s="32"/>
      <c r="AV346" s="50"/>
      <c r="AY346" s="50"/>
    </row>
    <row r="347" spans="2:51" s="30" customFormat="1">
      <c r="B347" s="50"/>
      <c r="E347" s="67"/>
      <c r="G347" s="35"/>
      <c r="L347" s="32"/>
      <c r="M347" s="32"/>
      <c r="N347" s="11"/>
      <c r="O347" s="11"/>
      <c r="P347" s="32"/>
      <c r="Q347" s="32"/>
      <c r="R347" s="32"/>
      <c r="AV347" s="50"/>
      <c r="AY347" s="50"/>
    </row>
    <row r="348" spans="2:51" s="30" customFormat="1">
      <c r="B348" s="50"/>
      <c r="E348" s="67"/>
      <c r="G348" s="35"/>
      <c r="L348" s="32"/>
      <c r="M348" s="32"/>
      <c r="N348" s="11"/>
      <c r="O348" s="11"/>
      <c r="P348" s="32"/>
      <c r="Q348" s="32"/>
      <c r="R348" s="32"/>
      <c r="AV348" s="50"/>
      <c r="AY348" s="50"/>
    </row>
    <row r="349" spans="2:51" s="30" customFormat="1">
      <c r="B349" s="50"/>
      <c r="E349" s="67"/>
      <c r="G349" s="35"/>
      <c r="L349" s="32"/>
      <c r="M349" s="32"/>
      <c r="N349" s="11"/>
      <c r="O349" s="11"/>
      <c r="P349" s="32"/>
      <c r="Q349" s="32"/>
      <c r="R349" s="32"/>
      <c r="AV349" s="50"/>
      <c r="AY349" s="50"/>
    </row>
    <row r="350" spans="2:51" s="30" customFormat="1">
      <c r="B350" s="50"/>
      <c r="E350" s="67"/>
      <c r="G350" s="35"/>
      <c r="L350" s="32"/>
      <c r="M350" s="32"/>
      <c r="N350" s="11"/>
      <c r="O350" s="11"/>
      <c r="P350" s="32"/>
      <c r="Q350" s="32"/>
      <c r="R350" s="32"/>
      <c r="AV350" s="50"/>
      <c r="AY350" s="50"/>
    </row>
    <row r="351" spans="2:51" s="30" customFormat="1">
      <c r="B351" s="50"/>
      <c r="E351" s="67"/>
      <c r="G351" s="35"/>
      <c r="L351" s="32"/>
      <c r="M351" s="32"/>
      <c r="N351" s="11"/>
      <c r="O351" s="11"/>
      <c r="P351" s="32"/>
      <c r="Q351" s="32"/>
      <c r="R351" s="32"/>
      <c r="AV351" s="50"/>
      <c r="AY351" s="50"/>
    </row>
    <row r="352" spans="2:51" s="30" customFormat="1">
      <c r="B352" s="50"/>
      <c r="E352" s="67"/>
      <c r="G352" s="35"/>
      <c r="L352" s="32"/>
      <c r="M352" s="32"/>
      <c r="N352" s="11"/>
      <c r="O352" s="11"/>
      <c r="P352" s="32"/>
      <c r="Q352" s="32"/>
      <c r="R352" s="32"/>
      <c r="AV352" s="50"/>
      <c r="AY352" s="50"/>
    </row>
    <row r="353" spans="2:51" s="30" customFormat="1">
      <c r="B353" s="50"/>
      <c r="E353" s="67"/>
      <c r="G353" s="35"/>
      <c r="L353" s="32"/>
      <c r="M353" s="32"/>
      <c r="N353" s="11"/>
      <c r="O353" s="11"/>
      <c r="P353" s="32"/>
      <c r="Q353" s="32"/>
      <c r="R353" s="32"/>
      <c r="AV353" s="50"/>
      <c r="AY353" s="50"/>
    </row>
    <row r="354" spans="2:51" s="30" customFormat="1">
      <c r="B354" s="50"/>
      <c r="E354" s="67"/>
      <c r="G354" s="35"/>
      <c r="L354" s="32"/>
      <c r="M354" s="32"/>
      <c r="N354" s="11"/>
      <c r="O354" s="11"/>
      <c r="P354" s="32"/>
      <c r="Q354" s="32"/>
      <c r="R354" s="32"/>
      <c r="AV354" s="50"/>
      <c r="AY354" s="50"/>
    </row>
    <row r="355" spans="2:51" s="30" customFormat="1">
      <c r="B355" s="50"/>
      <c r="E355" s="67"/>
      <c r="G355" s="35"/>
      <c r="L355" s="32"/>
      <c r="M355" s="32"/>
      <c r="N355" s="11"/>
      <c r="O355" s="11"/>
      <c r="P355" s="32"/>
      <c r="Q355" s="32"/>
      <c r="R355" s="32"/>
      <c r="AV355" s="50"/>
      <c r="AY355" s="50"/>
    </row>
    <row r="356" spans="2:51" s="30" customFormat="1">
      <c r="B356" s="50"/>
      <c r="E356" s="67"/>
      <c r="G356" s="35"/>
      <c r="L356" s="32"/>
      <c r="M356" s="32"/>
      <c r="N356" s="11"/>
      <c r="O356" s="11"/>
      <c r="P356" s="32"/>
      <c r="Q356" s="32"/>
      <c r="R356" s="32"/>
      <c r="AV356" s="50"/>
      <c r="AY356" s="50"/>
    </row>
    <row r="357" spans="2:51" s="30" customFormat="1">
      <c r="B357" s="50"/>
      <c r="E357" s="67"/>
      <c r="G357" s="35"/>
      <c r="L357" s="32"/>
      <c r="M357" s="32"/>
      <c r="N357" s="11"/>
      <c r="O357" s="11"/>
      <c r="P357" s="32"/>
      <c r="Q357" s="32"/>
      <c r="R357" s="32"/>
      <c r="AV357" s="50"/>
      <c r="AY357" s="50"/>
    </row>
    <row r="358" spans="2:51" s="30" customFormat="1">
      <c r="B358" s="50"/>
      <c r="E358" s="67"/>
      <c r="G358" s="35"/>
      <c r="L358" s="32"/>
      <c r="M358" s="32"/>
      <c r="N358" s="11"/>
      <c r="O358" s="11"/>
      <c r="P358" s="32"/>
      <c r="Q358" s="32"/>
      <c r="R358" s="32"/>
      <c r="AV358" s="50"/>
      <c r="AY358" s="50"/>
    </row>
    <row r="359" spans="2:51" s="30" customFormat="1">
      <c r="B359" s="50"/>
      <c r="E359" s="67"/>
      <c r="G359" s="35"/>
      <c r="L359" s="32"/>
      <c r="M359" s="32"/>
      <c r="N359" s="11"/>
      <c r="O359" s="11"/>
      <c r="P359" s="32"/>
      <c r="Q359" s="32"/>
      <c r="R359" s="32"/>
      <c r="AV359" s="50"/>
      <c r="AY359" s="50"/>
    </row>
    <row r="360" spans="2:51" s="30" customFormat="1">
      <c r="B360" s="50"/>
      <c r="E360" s="67"/>
      <c r="G360" s="35"/>
      <c r="L360" s="32"/>
      <c r="M360" s="32"/>
      <c r="N360" s="11"/>
      <c r="O360" s="11"/>
      <c r="P360" s="32"/>
      <c r="Q360" s="32"/>
      <c r="R360" s="32"/>
      <c r="AV360" s="50"/>
      <c r="AY360" s="50"/>
    </row>
    <row r="361" spans="2:51" s="30" customFormat="1">
      <c r="B361" s="50"/>
      <c r="E361" s="67"/>
      <c r="G361" s="35"/>
      <c r="L361" s="32"/>
      <c r="M361" s="32"/>
      <c r="N361" s="11"/>
      <c r="O361" s="11"/>
      <c r="P361" s="32"/>
      <c r="Q361" s="32"/>
      <c r="R361" s="32"/>
      <c r="AV361" s="50"/>
      <c r="AY361" s="50"/>
    </row>
    <row r="362" spans="2:51" s="30" customFormat="1">
      <c r="B362" s="50"/>
      <c r="E362" s="67"/>
      <c r="G362" s="35"/>
      <c r="L362" s="32"/>
      <c r="M362" s="32"/>
      <c r="N362" s="11"/>
      <c r="O362" s="11"/>
      <c r="P362" s="32"/>
      <c r="Q362" s="32"/>
      <c r="R362" s="32"/>
      <c r="AV362" s="50"/>
      <c r="AY362" s="50"/>
    </row>
    <row r="363" spans="2:51" s="30" customFormat="1">
      <c r="B363" s="50"/>
      <c r="E363" s="67"/>
      <c r="G363" s="35"/>
      <c r="L363" s="32"/>
      <c r="M363" s="32"/>
      <c r="N363" s="11"/>
      <c r="O363" s="11"/>
      <c r="P363" s="32"/>
      <c r="Q363" s="32"/>
      <c r="R363" s="32"/>
      <c r="AV363" s="50"/>
      <c r="AY363" s="50"/>
    </row>
    <row r="364" spans="2:51" s="30" customFormat="1">
      <c r="B364" s="50"/>
      <c r="E364" s="67"/>
      <c r="G364" s="35"/>
      <c r="L364" s="32"/>
      <c r="M364" s="32"/>
      <c r="N364" s="11"/>
      <c r="O364" s="11"/>
      <c r="P364" s="32"/>
      <c r="Q364" s="32"/>
      <c r="R364" s="32"/>
      <c r="AV364" s="50"/>
      <c r="AY364" s="50"/>
    </row>
    <row r="365" spans="2:51" s="30" customFormat="1">
      <c r="B365" s="50"/>
      <c r="E365" s="67"/>
      <c r="G365" s="35"/>
      <c r="L365" s="32"/>
      <c r="M365" s="32"/>
      <c r="N365" s="11"/>
      <c r="O365" s="11"/>
      <c r="P365" s="32"/>
      <c r="Q365" s="32"/>
      <c r="R365" s="32"/>
      <c r="AV365" s="50"/>
      <c r="AY365" s="50"/>
    </row>
    <row r="366" spans="2:51" s="30" customFormat="1">
      <c r="B366" s="50"/>
      <c r="E366" s="67"/>
      <c r="G366" s="35"/>
      <c r="L366" s="32"/>
      <c r="M366" s="32"/>
      <c r="N366" s="11"/>
      <c r="O366" s="11"/>
      <c r="P366" s="32"/>
      <c r="Q366" s="32"/>
      <c r="R366" s="32"/>
      <c r="AV366" s="50"/>
      <c r="AY366" s="50"/>
    </row>
    <row r="367" spans="2:51" s="30" customFormat="1">
      <c r="B367" s="50"/>
      <c r="E367" s="67"/>
      <c r="G367" s="35"/>
      <c r="L367" s="32"/>
      <c r="M367" s="32"/>
      <c r="N367" s="11"/>
      <c r="O367" s="11"/>
      <c r="P367" s="32"/>
      <c r="Q367" s="32"/>
      <c r="R367" s="32"/>
      <c r="AV367" s="50"/>
      <c r="AY367" s="50"/>
    </row>
    <row r="368" spans="2:51" s="30" customFormat="1">
      <c r="B368" s="50"/>
      <c r="E368" s="67"/>
      <c r="G368" s="35"/>
      <c r="L368" s="32"/>
      <c r="M368" s="32"/>
      <c r="N368" s="11"/>
      <c r="O368" s="11"/>
      <c r="P368" s="32"/>
      <c r="Q368" s="32"/>
      <c r="R368" s="32"/>
      <c r="AV368" s="50"/>
      <c r="AY368" s="50"/>
    </row>
    <row r="369" spans="2:51" s="30" customFormat="1">
      <c r="B369" s="50"/>
      <c r="E369" s="67"/>
      <c r="G369" s="35"/>
      <c r="L369" s="32"/>
      <c r="M369" s="32"/>
      <c r="N369" s="11"/>
      <c r="O369" s="11"/>
      <c r="P369" s="32"/>
      <c r="Q369" s="32"/>
      <c r="R369" s="32"/>
      <c r="AV369" s="50"/>
      <c r="AY369" s="50"/>
    </row>
    <row r="370" spans="2:51" s="30" customFormat="1">
      <c r="B370" s="50"/>
      <c r="E370" s="67"/>
      <c r="G370" s="35"/>
      <c r="L370" s="32"/>
      <c r="M370" s="32"/>
      <c r="N370" s="11"/>
      <c r="O370" s="11"/>
      <c r="P370" s="32"/>
      <c r="Q370" s="32"/>
      <c r="R370" s="32"/>
      <c r="AV370" s="50"/>
      <c r="AY370" s="50"/>
    </row>
    <row r="371" spans="2:51" s="30" customFormat="1">
      <c r="B371" s="50"/>
      <c r="E371" s="67"/>
      <c r="G371" s="35"/>
      <c r="L371" s="32"/>
      <c r="M371" s="32"/>
      <c r="N371" s="11"/>
      <c r="O371" s="11"/>
      <c r="P371" s="32"/>
      <c r="Q371" s="32"/>
      <c r="R371" s="32"/>
      <c r="AV371" s="50"/>
      <c r="AY371" s="50"/>
    </row>
    <row r="372" spans="2:51" s="30" customFormat="1">
      <c r="B372" s="50"/>
      <c r="E372" s="67"/>
      <c r="G372" s="35"/>
      <c r="L372" s="32"/>
      <c r="M372" s="32"/>
      <c r="N372" s="11"/>
      <c r="O372" s="11"/>
      <c r="P372" s="32"/>
      <c r="Q372" s="32"/>
      <c r="R372" s="32"/>
      <c r="AV372" s="50"/>
      <c r="AY372" s="50"/>
    </row>
    <row r="373" spans="2:51" s="30" customFormat="1">
      <c r="B373" s="50"/>
      <c r="E373" s="67"/>
      <c r="G373" s="35"/>
      <c r="L373" s="32"/>
      <c r="M373" s="32"/>
      <c r="N373" s="11"/>
      <c r="O373" s="11"/>
      <c r="P373" s="32"/>
      <c r="Q373" s="32"/>
      <c r="R373" s="32"/>
      <c r="AV373" s="50"/>
      <c r="AY373" s="50"/>
    </row>
    <row r="374" spans="2:51" s="30" customFormat="1">
      <c r="B374" s="50"/>
      <c r="E374" s="67"/>
      <c r="G374" s="35"/>
      <c r="L374" s="32"/>
      <c r="M374" s="32"/>
      <c r="N374" s="11"/>
      <c r="O374" s="11"/>
      <c r="P374" s="32"/>
      <c r="Q374" s="32"/>
      <c r="R374" s="32"/>
      <c r="AV374" s="50"/>
      <c r="AY374" s="50"/>
    </row>
    <row r="375" spans="2:51" s="30" customFormat="1">
      <c r="B375" s="50"/>
      <c r="E375" s="67"/>
      <c r="G375" s="35"/>
      <c r="L375" s="32"/>
      <c r="M375" s="32"/>
      <c r="N375" s="11"/>
      <c r="O375" s="11"/>
      <c r="P375" s="32"/>
      <c r="Q375" s="32"/>
      <c r="R375" s="32"/>
      <c r="AV375" s="50"/>
      <c r="AY375" s="50"/>
    </row>
    <row r="376" spans="2:51" s="30" customFormat="1">
      <c r="B376" s="50"/>
      <c r="E376" s="67"/>
      <c r="G376" s="35"/>
      <c r="L376" s="32"/>
      <c r="M376" s="32"/>
      <c r="N376" s="11"/>
      <c r="O376" s="11"/>
      <c r="P376" s="32"/>
      <c r="Q376" s="32"/>
      <c r="R376" s="32"/>
      <c r="AV376" s="50"/>
      <c r="AY376" s="50"/>
    </row>
    <row r="377" spans="2:51" s="30" customFormat="1">
      <c r="B377" s="50"/>
      <c r="E377" s="67"/>
      <c r="G377" s="35"/>
      <c r="L377" s="32"/>
      <c r="M377" s="32"/>
      <c r="N377" s="11"/>
      <c r="O377" s="11"/>
      <c r="P377" s="32"/>
      <c r="Q377" s="32"/>
      <c r="R377" s="32"/>
      <c r="AV377" s="50"/>
      <c r="AY377" s="50"/>
    </row>
    <row r="378" spans="2:51" s="30" customFormat="1">
      <c r="B378" s="50"/>
      <c r="E378" s="67"/>
      <c r="G378" s="35"/>
      <c r="L378" s="32"/>
      <c r="M378" s="32"/>
      <c r="N378" s="11"/>
      <c r="O378" s="11"/>
      <c r="P378" s="32"/>
      <c r="Q378" s="32"/>
      <c r="R378" s="32"/>
      <c r="AV378" s="50"/>
      <c r="AY378" s="50"/>
    </row>
    <row r="379" spans="2:51" s="30" customFormat="1">
      <c r="B379" s="50"/>
      <c r="E379" s="67"/>
      <c r="G379" s="35"/>
      <c r="L379" s="32"/>
      <c r="M379" s="32"/>
      <c r="N379" s="11"/>
      <c r="O379" s="11"/>
      <c r="P379" s="32"/>
      <c r="Q379" s="32"/>
      <c r="R379" s="32"/>
      <c r="AV379" s="50"/>
      <c r="AY379" s="50"/>
    </row>
    <row r="380" spans="2:51" s="30" customFormat="1">
      <c r="B380" s="50"/>
      <c r="E380" s="67"/>
      <c r="G380" s="35"/>
      <c r="L380" s="32"/>
      <c r="M380" s="32"/>
      <c r="N380" s="11"/>
      <c r="O380" s="11"/>
      <c r="P380" s="32"/>
      <c r="Q380" s="32"/>
      <c r="R380" s="32"/>
      <c r="AV380" s="50"/>
      <c r="AY380" s="50"/>
    </row>
    <row r="381" spans="2:51" s="30" customFormat="1">
      <c r="B381" s="50"/>
      <c r="E381" s="67"/>
      <c r="G381" s="35"/>
      <c r="L381" s="32"/>
      <c r="M381" s="32"/>
      <c r="N381" s="11"/>
      <c r="O381" s="11"/>
      <c r="P381" s="32"/>
      <c r="Q381" s="32"/>
      <c r="R381" s="32"/>
      <c r="AV381" s="50"/>
      <c r="AY381" s="50"/>
    </row>
    <row r="382" spans="2:51" s="30" customFormat="1">
      <c r="B382" s="50"/>
      <c r="E382" s="67"/>
      <c r="G382" s="35"/>
      <c r="L382" s="32"/>
      <c r="M382" s="32"/>
      <c r="N382" s="11"/>
      <c r="O382" s="11"/>
      <c r="P382" s="32"/>
      <c r="Q382" s="32"/>
      <c r="R382" s="32"/>
      <c r="AV382" s="50"/>
      <c r="AY382" s="50"/>
    </row>
    <row r="383" spans="2:51" s="30" customFormat="1">
      <c r="B383" s="50"/>
      <c r="E383" s="67"/>
      <c r="G383" s="35"/>
      <c r="L383" s="32"/>
      <c r="M383" s="32"/>
      <c r="N383" s="11"/>
      <c r="O383" s="11"/>
      <c r="P383" s="32"/>
      <c r="Q383" s="32"/>
      <c r="R383" s="32"/>
      <c r="AV383" s="50"/>
      <c r="AY383" s="50"/>
    </row>
    <row r="384" spans="2:51" s="30" customFormat="1">
      <c r="B384" s="50"/>
      <c r="E384" s="67"/>
      <c r="G384" s="35"/>
      <c r="L384" s="32"/>
      <c r="M384" s="32"/>
      <c r="N384" s="11"/>
      <c r="O384" s="11"/>
      <c r="P384" s="32"/>
      <c r="Q384" s="32"/>
      <c r="R384" s="32"/>
      <c r="AV384" s="50"/>
      <c r="AY384" s="50"/>
    </row>
    <row r="385" spans="2:51" s="30" customFormat="1">
      <c r="B385" s="50"/>
      <c r="E385" s="67"/>
      <c r="G385" s="35"/>
      <c r="L385" s="32"/>
      <c r="M385" s="32"/>
      <c r="N385" s="11"/>
      <c r="O385" s="11"/>
      <c r="P385" s="32"/>
      <c r="Q385" s="32"/>
      <c r="R385" s="32"/>
      <c r="AV385" s="50"/>
      <c r="AY385" s="50"/>
    </row>
    <row r="386" spans="2:51" s="30" customFormat="1">
      <c r="B386" s="50"/>
      <c r="E386" s="67"/>
      <c r="G386" s="35"/>
      <c r="L386" s="32"/>
      <c r="M386" s="32"/>
      <c r="N386" s="11"/>
      <c r="O386" s="11"/>
      <c r="P386" s="32"/>
      <c r="Q386" s="32"/>
      <c r="R386" s="32"/>
      <c r="AV386" s="50"/>
      <c r="AY386" s="50"/>
    </row>
    <row r="387" spans="2:51" s="30" customFormat="1">
      <c r="B387" s="50"/>
      <c r="E387" s="67"/>
      <c r="G387" s="35"/>
      <c r="L387" s="32"/>
      <c r="M387" s="32"/>
      <c r="N387" s="11"/>
      <c r="O387" s="11"/>
      <c r="P387" s="32"/>
      <c r="Q387" s="32"/>
      <c r="R387" s="32"/>
      <c r="AV387" s="50"/>
      <c r="AY387" s="50"/>
    </row>
    <row r="388" spans="2:51" s="30" customFormat="1">
      <c r="B388" s="50"/>
      <c r="E388" s="67"/>
      <c r="G388" s="35"/>
      <c r="L388" s="32"/>
      <c r="M388" s="32"/>
      <c r="N388" s="11"/>
      <c r="O388" s="11"/>
      <c r="P388" s="32"/>
      <c r="Q388" s="32"/>
      <c r="R388" s="32"/>
      <c r="AV388" s="50"/>
      <c r="AY388" s="50"/>
    </row>
    <row r="389" spans="2:51" s="30" customFormat="1">
      <c r="B389" s="50"/>
      <c r="E389" s="67"/>
      <c r="G389" s="35"/>
      <c r="L389" s="32"/>
      <c r="M389" s="32"/>
      <c r="N389" s="11"/>
      <c r="O389" s="11"/>
      <c r="P389" s="32"/>
      <c r="Q389" s="32"/>
      <c r="R389" s="32"/>
      <c r="AV389" s="50"/>
      <c r="AY389" s="50"/>
    </row>
    <row r="390" spans="2:51" s="30" customFormat="1">
      <c r="B390" s="50"/>
      <c r="E390" s="67"/>
      <c r="G390" s="35"/>
      <c r="L390" s="32"/>
      <c r="M390" s="32"/>
      <c r="N390" s="11"/>
      <c r="O390" s="11"/>
      <c r="P390" s="32"/>
      <c r="Q390" s="32"/>
      <c r="R390" s="32"/>
      <c r="AV390" s="50"/>
      <c r="AY390" s="50"/>
    </row>
    <row r="391" spans="2:51" s="30" customFormat="1">
      <c r="B391" s="50"/>
      <c r="E391" s="67"/>
      <c r="G391" s="35"/>
      <c r="L391" s="32"/>
      <c r="M391" s="32"/>
      <c r="N391" s="11"/>
      <c r="O391" s="11"/>
      <c r="P391" s="32"/>
      <c r="Q391" s="32"/>
      <c r="R391" s="32"/>
      <c r="AV391" s="50"/>
      <c r="AY391" s="50"/>
    </row>
    <row r="392" spans="2:51" s="30" customFormat="1">
      <c r="B392" s="50"/>
      <c r="E392" s="67"/>
      <c r="G392" s="35"/>
      <c r="L392" s="32"/>
      <c r="M392" s="32"/>
      <c r="N392" s="11"/>
      <c r="O392" s="11"/>
      <c r="P392" s="32"/>
      <c r="Q392" s="32"/>
      <c r="R392" s="32"/>
      <c r="AV392" s="50"/>
      <c r="AY392" s="50"/>
    </row>
    <row r="393" spans="2:51" s="30" customFormat="1">
      <c r="B393" s="50"/>
      <c r="E393" s="67"/>
      <c r="G393" s="35"/>
      <c r="L393" s="32"/>
      <c r="M393" s="32"/>
      <c r="N393" s="11"/>
      <c r="O393" s="11"/>
      <c r="P393" s="32"/>
      <c r="Q393" s="32"/>
      <c r="R393" s="32"/>
      <c r="AV393" s="50"/>
      <c r="AY393" s="50"/>
    </row>
    <row r="394" spans="2:51" s="30" customFormat="1">
      <c r="B394" s="50"/>
      <c r="E394" s="67"/>
      <c r="G394" s="35"/>
      <c r="L394" s="32"/>
      <c r="M394" s="32"/>
      <c r="N394" s="11"/>
      <c r="O394" s="11"/>
      <c r="P394" s="32"/>
      <c r="Q394" s="32"/>
      <c r="R394" s="32"/>
      <c r="AV394" s="50"/>
      <c r="AY394" s="50"/>
    </row>
    <row r="395" spans="2:51" s="30" customFormat="1">
      <c r="B395" s="50"/>
      <c r="E395" s="67"/>
      <c r="G395" s="35"/>
      <c r="L395" s="32"/>
      <c r="M395" s="32"/>
      <c r="N395" s="11"/>
      <c r="O395" s="11"/>
      <c r="P395" s="32"/>
      <c r="Q395" s="32"/>
      <c r="R395" s="32"/>
      <c r="AV395" s="50"/>
      <c r="AY395" s="50"/>
    </row>
    <row r="396" spans="2:51" s="30" customFormat="1">
      <c r="B396" s="50"/>
      <c r="E396" s="67"/>
      <c r="G396" s="35"/>
      <c r="L396" s="32"/>
      <c r="M396" s="32"/>
      <c r="N396" s="11"/>
      <c r="O396" s="11"/>
      <c r="P396" s="32"/>
      <c r="Q396" s="32"/>
      <c r="R396" s="32"/>
      <c r="AV396" s="50"/>
      <c r="AY396" s="50"/>
    </row>
    <row r="397" spans="2:51" s="30" customFormat="1">
      <c r="B397" s="50"/>
      <c r="E397" s="67"/>
      <c r="G397" s="35"/>
      <c r="L397" s="32"/>
      <c r="M397" s="32"/>
      <c r="N397" s="11"/>
      <c r="O397" s="11"/>
      <c r="P397" s="32"/>
      <c r="Q397" s="32"/>
      <c r="R397" s="32"/>
      <c r="AV397" s="50"/>
      <c r="AY397" s="50"/>
    </row>
    <row r="398" spans="2:51" s="30" customFormat="1">
      <c r="B398" s="50"/>
      <c r="E398" s="67"/>
      <c r="G398" s="35"/>
      <c r="L398" s="32"/>
      <c r="M398" s="32"/>
      <c r="N398" s="11"/>
      <c r="O398" s="11"/>
      <c r="P398" s="32"/>
      <c r="Q398" s="32"/>
      <c r="R398" s="32"/>
      <c r="AV398" s="50"/>
      <c r="AY398" s="50"/>
    </row>
    <row r="399" spans="2:51" s="30" customFormat="1">
      <c r="B399" s="50"/>
      <c r="E399" s="67"/>
      <c r="G399" s="35"/>
      <c r="L399" s="32"/>
      <c r="M399" s="32"/>
      <c r="N399" s="11"/>
      <c r="O399" s="11"/>
      <c r="P399" s="32"/>
      <c r="Q399" s="32"/>
      <c r="R399" s="32"/>
      <c r="AV399" s="50"/>
      <c r="AY399" s="50"/>
    </row>
    <row r="400" spans="2:51" s="30" customFormat="1">
      <c r="B400" s="50"/>
      <c r="E400" s="67"/>
      <c r="G400" s="35"/>
      <c r="L400" s="32"/>
      <c r="M400" s="32"/>
      <c r="N400" s="11"/>
      <c r="O400" s="11"/>
      <c r="P400" s="32"/>
      <c r="Q400" s="32"/>
      <c r="R400" s="32"/>
      <c r="AV400" s="50"/>
      <c r="AY400" s="50"/>
    </row>
    <row r="401" spans="2:51" s="30" customFormat="1">
      <c r="B401" s="50"/>
      <c r="E401" s="67"/>
      <c r="G401" s="35"/>
      <c r="L401" s="32"/>
      <c r="M401" s="32"/>
      <c r="N401" s="11"/>
      <c r="O401" s="11"/>
      <c r="P401" s="32"/>
      <c r="Q401" s="32"/>
      <c r="R401" s="32"/>
      <c r="AV401" s="50"/>
      <c r="AY401" s="50"/>
    </row>
    <row r="402" spans="2:51" s="30" customFormat="1">
      <c r="B402" s="50"/>
      <c r="E402" s="67"/>
      <c r="G402" s="35"/>
      <c r="L402" s="32"/>
      <c r="M402" s="32"/>
      <c r="N402" s="11"/>
      <c r="O402" s="11"/>
      <c r="P402" s="32"/>
      <c r="Q402" s="32"/>
      <c r="R402" s="32"/>
      <c r="AV402" s="50"/>
      <c r="AY402" s="50"/>
    </row>
    <row r="403" spans="2:51" s="30" customFormat="1">
      <c r="B403" s="50"/>
      <c r="E403" s="67"/>
      <c r="G403" s="35"/>
      <c r="L403" s="32"/>
      <c r="M403" s="32"/>
      <c r="N403" s="11"/>
      <c r="O403" s="11"/>
      <c r="P403" s="32"/>
      <c r="Q403" s="32"/>
      <c r="R403" s="32"/>
      <c r="AV403" s="50"/>
      <c r="AY403" s="50"/>
    </row>
    <row r="404" spans="2:51" s="30" customFormat="1">
      <c r="B404" s="50"/>
      <c r="E404" s="67"/>
      <c r="G404" s="35"/>
      <c r="L404" s="32"/>
      <c r="M404" s="32"/>
      <c r="N404" s="11"/>
      <c r="O404" s="11"/>
      <c r="P404" s="32"/>
      <c r="Q404" s="32"/>
      <c r="R404" s="32"/>
      <c r="AV404" s="50"/>
      <c r="AY404" s="50"/>
    </row>
    <row r="405" spans="2:51" s="30" customFormat="1">
      <c r="B405" s="50"/>
      <c r="E405" s="67"/>
      <c r="G405" s="35"/>
      <c r="L405" s="32"/>
      <c r="M405" s="32"/>
      <c r="N405" s="11"/>
      <c r="O405" s="11"/>
      <c r="P405" s="32"/>
      <c r="Q405" s="32"/>
      <c r="R405" s="32"/>
      <c r="AV405" s="50"/>
      <c r="AY405" s="50"/>
    </row>
    <row r="406" spans="2:51" s="30" customFormat="1">
      <c r="B406" s="50"/>
      <c r="E406" s="67"/>
      <c r="G406" s="35"/>
      <c r="L406" s="32"/>
      <c r="M406" s="32"/>
      <c r="N406" s="11"/>
      <c r="O406" s="11"/>
      <c r="P406" s="32"/>
      <c r="Q406" s="32"/>
      <c r="R406" s="32"/>
      <c r="AV406" s="50"/>
      <c r="AY406" s="50"/>
    </row>
    <row r="407" spans="2:51" s="30" customFormat="1">
      <c r="B407" s="50"/>
      <c r="E407" s="67"/>
      <c r="G407" s="35"/>
      <c r="L407" s="32"/>
      <c r="M407" s="32"/>
      <c r="N407" s="11"/>
      <c r="O407" s="11"/>
      <c r="P407" s="32"/>
      <c r="Q407" s="32"/>
      <c r="R407" s="32"/>
      <c r="AV407" s="50"/>
      <c r="AY407" s="50"/>
    </row>
    <row r="408" spans="2:51" s="30" customFormat="1">
      <c r="B408" s="50"/>
      <c r="E408" s="67"/>
      <c r="G408" s="35"/>
      <c r="L408" s="32"/>
      <c r="M408" s="32"/>
      <c r="N408" s="11"/>
      <c r="O408" s="11"/>
      <c r="P408" s="32"/>
      <c r="Q408" s="32"/>
      <c r="R408" s="32"/>
      <c r="AV408" s="50"/>
      <c r="AY408" s="50"/>
    </row>
    <row r="409" spans="2:51" s="30" customFormat="1">
      <c r="B409" s="50"/>
      <c r="E409" s="67"/>
      <c r="G409" s="35"/>
      <c r="L409" s="32"/>
      <c r="M409" s="32"/>
      <c r="N409" s="11"/>
      <c r="O409" s="11"/>
      <c r="P409" s="32"/>
      <c r="Q409" s="32"/>
      <c r="R409" s="32"/>
      <c r="AV409" s="50"/>
      <c r="AY409" s="50"/>
    </row>
    <row r="410" spans="2:51" s="30" customFormat="1">
      <c r="B410" s="50"/>
      <c r="E410" s="67"/>
      <c r="G410" s="35"/>
      <c r="L410" s="32"/>
      <c r="M410" s="32"/>
      <c r="N410" s="11"/>
      <c r="O410" s="11"/>
      <c r="P410" s="32"/>
      <c r="Q410" s="32"/>
      <c r="R410" s="32"/>
      <c r="AV410" s="50"/>
      <c r="AY410" s="50"/>
    </row>
    <row r="411" spans="2:51" s="30" customFormat="1">
      <c r="B411" s="50"/>
      <c r="E411" s="67"/>
      <c r="G411" s="35"/>
      <c r="L411" s="32"/>
      <c r="M411" s="32"/>
      <c r="N411" s="11"/>
      <c r="O411" s="11"/>
      <c r="P411" s="32"/>
      <c r="Q411" s="32"/>
      <c r="R411" s="32"/>
      <c r="AV411" s="50"/>
      <c r="AY411" s="50"/>
    </row>
    <row r="412" spans="2:51" s="30" customFormat="1">
      <c r="B412" s="50"/>
      <c r="E412" s="67"/>
      <c r="G412" s="35"/>
      <c r="L412" s="32"/>
      <c r="M412" s="32"/>
      <c r="N412" s="11"/>
      <c r="O412" s="11"/>
      <c r="P412" s="32"/>
      <c r="Q412" s="32"/>
      <c r="R412" s="32"/>
      <c r="AV412" s="50"/>
      <c r="AY412" s="50"/>
    </row>
    <row r="413" spans="2:51" s="30" customFormat="1">
      <c r="B413" s="50"/>
      <c r="E413" s="67"/>
      <c r="G413" s="35"/>
      <c r="L413" s="32"/>
      <c r="M413" s="32"/>
      <c r="N413" s="11"/>
      <c r="O413" s="11"/>
      <c r="P413" s="32"/>
      <c r="Q413" s="32"/>
      <c r="R413" s="32"/>
      <c r="AV413" s="50"/>
      <c r="AY413" s="50"/>
    </row>
    <row r="414" spans="2:51" s="30" customFormat="1">
      <c r="B414" s="50"/>
      <c r="E414" s="67"/>
      <c r="G414" s="35"/>
      <c r="L414" s="32"/>
      <c r="M414" s="32"/>
      <c r="N414" s="11"/>
      <c r="O414" s="11"/>
      <c r="P414" s="32"/>
      <c r="Q414" s="32"/>
      <c r="R414" s="32"/>
      <c r="AV414" s="50"/>
      <c r="AY414" s="50"/>
    </row>
    <row r="415" spans="2:51" s="30" customFormat="1">
      <c r="B415" s="50"/>
      <c r="E415" s="67"/>
      <c r="G415" s="35"/>
      <c r="L415" s="32"/>
      <c r="M415" s="32"/>
      <c r="N415" s="11"/>
      <c r="O415" s="11"/>
      <c r="P415" s="32"/>
      <c r="Q415" s="32"/>
      <c r="R415" s="32"/>
      <c r="AV415" s="50"/>
      <c r="AY415" s="50"/>
    </row>
    <row r="416" spans="2:51" s="30" customFormat="1">
      <c r="B416" s="50"/>
      <c r="E416" s="67"/>
      <c r="G416" s="35"/>
      <c r="L416" s="32"/>
      <c r="M416" s="32"/>
      <c r="N416" s="11"/>
      <c r="O416" s="11"/>
      <c r="P416" s="32"/>
      <c r="Q416" s="32"/>
      <c r="R416" s="32"/>
      <c r="AV416" s="50"/>
      <c r="AY416" s="50"/>
    </row>
    <row r="417" spans="2:51" s="30" customFormat="1">
      <c r="B417" s="50"/>
      <c r="E417" s="67"/>
      <c r="G417" s="35"/>
      <c r="L417" s="32"/>
      <c r="M417" s="32"/>
      <c r="N417" s="11"/>
      <c r="O417" s="11"/>
      <c r="P417" s="32"/>
      <c r="Q417" s="32"/>
      <c r="R417" s="32"/>
      <c r="AV417" s="50"/>
      <c r="AY417" s="50"/>
    </row>
    <row r="418" spans="2:51" s="30" customFormat="1">
      <c r="B418" s="50"/>
      <c r="E418" s="67"/>
      <c r="G418" s="35"/>
      <c r="L418" s="32"/>
      <c r="M418" s="32"/>
      <c r="N418" s="11"/>
      <c r="O418" s="11"/>
      <c r="P418" s="32"/>
      <c r="Q418" s="32"/>
      <c r="R418" s="32"/>
      <c r="AV418" s="50"/>
      <c r="AY418" s="50"/>
    </row>
    <row r="419" spans="2:51" s="30" customFormat="1">
      <c r="B419" s="50"/>
      <c r="E419" s="67"/>
      <c r="G419" s="35"/>
      <c r="L419" s="32"/>
      <c r="M419" s="32"/>
      <c r="N419" s="11"/>
      <c r="O419" s="11"/>
      <c r="P419" s="32"/>
      <c r="Q419" s="32"/>
      <c r="R419" s="32"/>
      <c r="AV419" s="50"/>
      <c r="AY419" s="50"/>
    </row>
    <row r="420" spans="2:51" s="30" customFormat="1">
      <c r="B420" s="50"/>
      <c r="E420" s="67"/>
      <c r="G420" s="35"/>
      <c r="L420" s="32"/>
      <c r="M420" s="32"/>
      <c r="N420" s="11"/>
      <c r="O420" s="11"/>
      <c r="P420" s="32"/>
      <c r="Q420" s="32"/>
      <c r="R420" s="32"/>
      <c r="AV420" s="50"/>
      <c r="AY420" s="50"/>
    </row>
    <row r="421" spans="2:51" s="30" customFormat="1">
      <c r="B421" s="50"/>
      <c r="E421" s="67"/>
      <c r="G421" s="35"/>
      <c r="L421" s="32"/>
      <c r="M421" s="32"/>
      <c r="N421" s="11"/>
      <c r="O421" s="11"/>
      <c r="P421" s="32"/>
      <c r="Q421" s="32"/>
      <c r="R421" s="32"/>
      <c r="AV421" s="50"/>
      <c r="AY421" s="50"/>
    </row>
    <row r="422" spans="2:51" s="30" customFormat="1">
      <c r="B422" s="50"/>
      <c r="E422" s="67"/>
      <c r="G422" s="35"/>
      <c r="L422" s="32"/>
      <c r="M422" s="32"/>
      <c r="N422" s="11"/>
      <c r="O422" s="11"/>
      <c r="P422" s="32"/>
      <c r="Q422" s="32"/>
      <c r="R422" s="32"/>
      <c r="AV422" s="50"/>
      <c r="AY422" s="50"/>
    </row>
    <row r="423" spans="2:51" s="30" customFormat="1">
      <c r="B423" s="50"/>
      <c r="E423" s="67"/>
      <c r="G423" s="35"/>
      <c r="L423" s="32"/>
      <c r="M423" s="32"/>
      <c r="N423" s="11"/>
      <c r="O423" s="11"/>
      <c r="P423" s="32"/>
      <c r="Q423" s="32"/>
      <c r="R423" s="32"/>
      <c r="AV423" s="50"/>
      <c r="AY423" s="50"/>
    </row>
    <row r="424" spans="2:51" s="30" customFormat="1">
      <c r="B424" s="50"/>
      <c r="E424" s="67"/>
      <c r="G424" s="35"/>
      <c r="L424" s="32"/>
      <c r="M424" s="32"/>
      <c r="N424" s="11"/>
      <c r="O424" s="11"/>
      <c r="P424" s="32"/>
      <c r="Q424" s="32"/>
      <c r="R424" s="32"/>
      <c r="AV424" s="50"/>
      <c r="AY424" s="50"/>
    </row>
    <row r="425" spans="2:51" s="30" customFormat="1">
      <c r="B425" s="50"/>
      <c r="E425" s="67"/>
      <c r="G425" s="35"/>
      <c r="L425" s="32"/>
      <c r="M425" s="32"/>
      <c r="N425" s="11"/>
      <c r="O425" s="11"/>
      <c r="P425" s="32"/>
      <c r="Q425" s="32"/>
      <c r="R425" s="32"/>
      <c r="AV425" s="50"/>
      <c r="AY425" s="50"/>
    </row>
    <row r="426" spans="2:51" s="30" customFormat="1">
      <c r="B426" s="50"/>
      <c r="E426" s="67"/>
      <c r="G426" s="35"/>
      <c r="L426" s="32"/>
      <c r="M426" s="32"/>
      <c r="N426" s="11"/>
      <c r="O426" s="11"/>
      <c r="P426" s="32"/>
      <c r="Q426" s="32"/>
      <c r="R426" s="32"/>
      <c r="AV426" s="50"/>
      <c r="AY426" s="50"/>
    </row>
    <row r="427" spans="2:51" s="30" customFormat="1">
      <c r="B427" s="50"/>
      <c r="E427" s="67"/>
      <c r="G427" s="35"/>
      <c r="L427" s="32"/>
      <c r="M427" s="32"/>
      <c r="N427" s="11"/>
      <c r="O427" s="11"/>
      <c r="P427" s="32"/>
      <c r="Q427" s="32"/>
      <c r="R427" s="32"/>
      <c r="AV427" s="50"/>
      <c r="AY427" s="50"/>
    </row>
    <row r="428" spans="2:51" s="30" customFormat="1">
      <c r="B428" s="50"/>
      <c r="E428" s="67"/>
      <c r="G428" s="35"/>
      <c r="L428" s="32"/>
      <c r="M428" s="32"/>
      <c r="N428" s="11"/>
      <c r="O428" s="11"/>
      <c r="P428" s="32"/>
      <c r="Q428" s="32"/>
      <c r="R428" s="32"/>
      <c r="AV428" s="50"/>
      <c r="AY428" s="50"/>
    </row>
    <row r="429" spans="2:51" s="30" customFormat="1">
      <c r="B429" s="50"/>
      <c r="E429" s="67"/>
      <c r="G429" s="35"/>
      <c r="L429" s="32"/>
      <c r="M429" s="32"/>
      <c r="N429" s="11"/>
      <c r="O429" s="11"/>
      <c r="P429" s="32"/>
      <c r="Q429" s="32"/>
      <c r="R429" s="32"/>
      <c r="AV429" s="50"/>
      <c r="AY429" s="50"/>
    </row>
    <row r="430" spans="2:51" s="30" customFormat="1">
      <c r="B430" s="50"/>
      <c r="E430" s="67"/>
      <c r="G430" s="35"/>
      <c r="L430" s="32"/>
      <c r="M430" s="32"/>
      <c r="N430" s="11"/>
      <c r="O430" s="11"/>
      <c r="P430" s="32"/>
      <c r="Q430" s="32"/>
      <c r="R430" s="32"/>
      <c r="AV430" s="50"/>
      <c r="AY430" s="50"/>
    </row>
    <row r="431" spans="2:51" s="30" customFormat="1">
      <c r="B431" s="50"/>
      <c r="E431" s="67"/>
      <c r="G431" s="35"/>
      <c r="L431" s="32"/>
      <c r="M431" s="32"/>
      <c r="N431" s="11"/>
      <c r="O431" s="11"/>
      <c r="P431" s="32"/>
      <c r="Q431" s="32"/>
      <c r="R431" s="32"/>
      <c r="AV431" s="50"/>
      <c r="AY431" s="50"/>
    </row>
    <row r="432" spans="2:51" s="30" customFormat="1">
      <c r="B432" s="50"/>
      <c r="E432" s="67"/>
      <c r="G432" s="35"/>
      <c r="L432" s="32"/>
      <c r="M432" s="32"/>
      <c r="N432" s="11"/>
      <c r="O432" s="11"/>
      <c r="P432" s="32"/>
      <c r="Q432" s="32"/>
      <c r="R432" s="32"/>
      <c r="AV432" s="50"/>
      <c r="AY432" s="50"/>
    </row>
    <row r="433" spans="2:51" s="30" customFormat="1">
      <c r="B433" s="50"/>
      <c r="E433" s="67"/>
      <c r="G433" s="35"/>
      <c r="L433" s="32"/>
      <c r="M433" s="32"/>
      <c r="N433" s="11"/>
      <c r="O433" s="11"/>
      <c r="P433" s="32"/>
      <c r="Q433" s="32"/>
      <c r="R433" s="32"/>
      <c r="AV433" s="50"/>
      <c r="AY433" s="50"/>
    </row>
    <row r="434" spans="2:51" s="30" customFormat="1">
      <c r="B434" s="50"/>
      <c r="E434" s="67"/>
      <c r="G434" s="35"/>
      <c r="L434" s="32"/>
      <c r="M434" s="32"/>
      <c r="N434" s="11"/>
      <c r="O434" s="11"/>
      <c r="P434" s="32"/>
      <c r="Q434" s="32"/>
      <c r="R434" s="32"/>
      <c r="AV434" s="50"/>
      <c r="AY434" s="50"/>
    </row>
    <row r="435" spans="2:51" s="30" customFormat="1">
      <c r="B435" s="50"/>
      <c r="E435" s="67"/>
      <c r="G435" s="35"/>
      <c r="L435" s="32"/>
      <c r="M435" s="32"/>
      <c r="N435" s="11"/>
      <c r="O435" s="11"/>
      <c r="P435" s="32"/>
      <c r="Q435" s="32"/>
      <c r="R435" s="32"/>
      <c r="AV435" s="50"/>
      <c r="AY435" s="50"/>
    </row>
    <row r="436" spans="2:51" s="30" customFormat="1">
      <c r="B436" s="50"/>
      <c r="E436" s="67"/>
      <c r="G436" s="35"/>
      <c r="L436" s="32"/>
      <c r="M436" s="32"/>
      <c r="N436" s="11"/>
      <c r="O436" s="11"/>
      <c r="P436" s="32"/>
      <c r="Q436" s="32"/>
      <c r="R436" s="32"/>
      <c r="AV436" s="50"/>
      <c r="AY436" s="50"/>
    </row>
    <row r="437" spans="2:51" s="30" customFormat="1">
      <c r="B437" s="50"/>
      <c r="E437" s="67"/>
      <c r="G437" s="35"/>
      <c r="L437" s="32"/>
      <c r="M437" s="32"/>
      <c r="N437" s="11"/>
      <c r="O437" s="11"/>
      <c r="P437" s="32"/>
      <c r="Q437" s="32"/>
      <c r="R437" s="32"/>
      <c r="AV437" s="50"/>
      <c r="AY437" s="50"/>
    </row>
    <row r="438" spans="2:51" s="30" customFormat="1">
      <c r="B438" s="50"/>
      <c r="E438" s="67"/>
      <c r="G438" s="35"/>
      <c r="L438" s="32"/>
      <c r="M438" s="32"/>
      <c r="N438" s="11"/>
      <c r="O438" s="11"/>
      <c r="P438" s="32"/>
      <c r="Q438" s="32"/>
      <c r="R438" s="32"/>
      <c r="AV438" s="50"/>
      <c r="AY438" s="50"/>
    </row>
    <row r="439" spans="2:51" s="30" customFormat="1">
      <c r="B439" s="50"/>
      <c r="E439" s="67"/>
      <c r="G439" s="35"/>
      <c r="L439" s="32"/>
      <c r="M439" s="32"/>
      <c r="N439" s="11"/>
      <c r="O439" s="11"/>
      <c r="P439" s="32"/>
      <c r="Q439" s="32"/>
      <c r="R439" s="32"/>
      <c r="AV439" s="50"/>
      <c r="AY439" s="50"/>
    </row>
    <row r="440" spans="2:51" s="30" customFormat="1">
      <c r="B440" s="50"/>
      <c r="E440" s="67"/>
      <c r="G440" s="35"/>
      <c r="L440" s="32"/>
      <c r="M440" s="32"/>
      <c r="N440" s="11"/>
      <c r="O440" s="11"/>
      <c r="P440" s="32"/>
      <c r="Q440" s="32"/>
      <c r="R440" s="32"/>
      <c r="AV440" s="50"/>
      <c r="AY440" s="50"/>
    </row>
    <row r="441" spans="2:51" s="30" customFormat="1">
      <c r="B441" s="50"/>
      <c r="E441" s="67"/>
      <c r="G441" s="35"/>
      <c r="L441" s="32"/>
      <c r="M441" s="32"/>
      <c r="N441" s="11"/>
      <c r="O441" s="11"/>
      <c r="P441" s="32"/>
      <c r="Q441" s="32"/>
      <c r="R441" s="32"/>
      <c r="AV441" s="50"/>
      <c r="AY441" s="50"/>
    </row>
    <row r="442" spans="2:51" s="30" customFormat="1">
      <c r="B442" s="50"/>
      <c r="E442" s="67"/>
      <c r="G442" s="35"/>
      <c r="L442" s="32"/>
      <c r="M442" s="32"/>
      <c r="N442" s="11"/>
      <c r="O442" s="11"/>
      <c r="P442" s="32"/>
      <c r="Q442" s="32"/>
      <c r="R442" s="32"/>
      <c r="AV442" s="50"/>
      <c r="AY442" s="50"/>
    </row>
    <row r="443" spans="2:51" s="30" customFormat="1">
      <c r="B443" s="50"/>
      <c r="E443" s="67"/>
      <c r="G443" s="35"/>
      <c r="L443" s="32"/>
      <c r="M443" s="32"/>
      <c r="N443" s="11"/>
      <c r="O443" s="11"/>
      <c r="P443" s="32"/>
      <c r="Q443" s="32"/>
      <c r="R443" s="32"/>
      <c r="AV443" s="50"/>
      <c r="AY443" s="50"/>
    </row>
    <row r="444" spans="2:51" s="30" customFormat="1">
      <c r="B444" s="50"/>
      <c r="E444" s="67"/>
      <c r="G444" s="35"/>
      <c r="L444" s="32"/>
      <c r="M444" s="32"/>
      <c r="N444" s="11"/>
      <c r="O444" s="11"/>
      <c r="P444" s="32"/>
      <c r="Q444" s="32"/>
      <c r="R444" s="32"/>
      <c r="AV444" s="50"/>
      <c r="AY444" s="50"/>
    </row>
    <row r="445" spans="2:51" s="30" customFormat="1">
      <c r="B445" s="50"/>
      <c r="E445" s="67"/>
      <c r="G445" s="35"/>
      <c r="L445" s="32"/>
      <c r="M445" s="32"/>
      <c r="N445" s="11"/>
      <c r="O445" s="11"/>
      <c r="P445" s="32"/>
      <c r="Q445" s="32"/>
      <c r="R445" s="32"/>
      <c r="AV445" s="50"/>
      <c r="AY445" s="50"/>
    </row>
    <row r="446" spans="2:51" s="30" customFormat="1">
      <c r="B446" s="50"/>
      <c r="E446" s="67"/>
      <c r="G446" s="35"/>
      <c r="L446" s="32"/>
      <c r="M446" s="32"/>
      <c r="N446" s="11"/>
      <c r="O446" s="11"/>
      <c r="P446" s="32"/>
      <c r="Q446" s="32"/>
      <c r="R446" s="32"/>
      <c r="AV446" s="50"/>
      <c r="AY446" s="50"/>
    </row>
    <row r="447" spans="2:51" s="30" customFormat="1">
      <c r="B447" s="50"/>
      <c r="E447" s="67"/>
      <c r="G447" s="35"/>
      <c r="L447" s="32"/>
      <c r="M447" s="32"/>
      <c r="N447" s="11"/>
      <c r="O447" s="11"/>
      <c r="P447" s="32"/>
      <c r="Q447" s="32"/>
      <c r="R447" s="32"/>
      <c r="AV447" s="50"/>
      <c r="AY447" s="50"/>
    </row>
    <row r="448" spans="2:51" s="30" customFormat="1">
      <c r="B448" s="50"/>
      <c r="E448" s="67"/>
      <c r="G448" s="35"/>
      <c r="L448" s="32"/>
      <c r="M448" s="32"/>
      <c r="N448" s="11"/>
      <c r="O448" s="11"/>
      <c r="P448" s="32"/>
      <c r="Q448" s="32"/>
      <c r="R448" s="32"/>
      <c r="AV448" s="50"/>
      <c r="AY448" s="50"/>
    </row>
    <row r="449" spans="2:51" s="30" customFormat="1">
      <c r="B449" s="50"/>
      <c r="E449" s="67"/>
      <c r="G449" s="35"/>
      <c r="L449" s="32"/>
      <c r="M449" s="32"/>
      <c r="N449" s="11"/>
      <c r="O449" s="11"/>
      <c r="P449" s="32"/>
      <c r="Q449" s="32"/>
      <c r="R449" s="32"/>
      <c r="AV449" s="50"/>
      <c r="AY449" s="50"/>
    </row>
    <row r="450" spans="2:51" s="30" customFormat="1">
      <c r="B450" s="50"/>
      <c r="E450" s="67"/>
      <c r="G450" s="35"/>
      <c r="L450" s="32"/>
      <c r="M450" s="32"/>
      <c r="N450" s="11"/>
      <c r="O450" s="11"/>
      <c r="P450" s="32"/>
      <c r="Q450" s="32"/>
      <c r="R450" s="32"/>
      <c r="AV450" s="50"/>
      <c r="AY450" s="50"/>
    </row>
    <row r="451" spans="2:51" s="30" customFormat="1">
      <c r="B451" s="50"/>
      <c r="E451" s="67"/>
      <c r="G451" s="35"/>
      <c r="L451" s="32"/>
      <c r="M451" s="32"/>
      <c r="N451" s="11"/>
      <c r="O451" s="11"/>
      <c r="P451" s="32"/>
      <c r="Q451" s="32"/>
      <c r="R451" s="32"/>
      <c r="AV451" s="50"/>
      <c r="AY451" s="50"/>
    </row>
    <row r="452" spans="2:51" s="30" customFormat="1">
      <c r="B452" s="50"/>
      <c r="E452" s="67"/>
      <c r="G452" s="35"/>
      <c r="L452" s="32"/>
      <c r="M452" s="32"/>
      <c r="N452" s="11"/>
      <c r="O452" s="11"/>
      <c r="P452" s="32"/>
      <c r="Q452" s="32"/>
      <c r="R452" s="32"/>
      <c r="AV452" s="50"/>
      <c r="AY452" s="50"/>
    </row>
    <row r="453" spans="2:51" s="30" customFormat="1">
      <c r="B453" s="50"/>
      <c r="E453" s="67"/>
      <c r="G453" s="35"/>
      <c r="L453" s="32"/>
      <c r="M453" s="32"/>
      <c r="N453" s="11"/>
      <c r="O453" s="11"/>
      <c r="P453" s="32"/>
      <c r="Q453" s="32"/>
      <c r="R453" s="32"/>
      <c r="AV453" s="50"/>
      <c r="AY453" s="50"/>
    </row>
    <row r="454" spans="2:51" s="30" customFormat="1">
      <c r="B454" s="50"/>
      <c r="E454" s="67"/>
      <c r="G454" s="35"/>
      <c r="L454" s="32"/>
      <c r="M454" s="32"/>
      <c r="N454" s="11"/>
      <c r="O454" s="11"/>
      <c r="P454" s="32"/>
      <c r="Q454" s="32"/>
      <c r="R454" s="32"/>
      <c r="AV454" s="50"/>
      <c r="AY454" s="50"/>
    </row>
    <row r="455" spans="2:51" s="30" customFormat="1">
      <c r="B455" s="50"/>
      <c r="E455" s="67"/>
      <c r="G455" s="35"/>
      <c r="L455" s="32"/>
      <c r="M455" s="32"/>
      <c r="N455" s="11"/>
      <c r="O455" s="11"/>
      <c r="P455" s="32"/>
      <c r="Q455" s="32"/>
      <c r="R455" s="32"/>
      <c r="AV455" s="50"/>
      <c r="AY455" s="50"/>
    </row>
    <row r="456" spans="2:51" s="30" customFormat="1">
      <c r="B456" s="50"/>
      <c r="E456" s="67"/>
      <c r="G456" s="35"/>
      <c r="L456" s="32"/>
      <c r="M456" s="32"/>
      <c r="N456" s="11"/>
      <c r="O456" s="11"/>
      <c r="P456" s="32"/>
      <c r="Q456" s="32"/>
      <c r="R456" s="32"/>
      <c r="AV456" s="50"/>
      <c r="AY456" s="50"/>
    </row>
    <row r="457" spans="2:51" s="30" customFormat="1">
      <c r="B457" s="50"/>
      <c r="E457" s="67"/>
      <c r="G457" s="35"/>
      <c r="L457" s="32"/>
      <c r="M457" s="32"/>
      <c r="N457" s="11"/>
      <c r="O457" s="11"/>
      <c r="P457" s="32"/>
      <c r="Q457" s="32"/>
      <c r="R457" s="32"/>
      <c r="AV457" s="50"/>
      <c r="AY457" s="50"/>
    </row>
    <row r="458" spans="2:51" s="30" customFormat="1">
      <c r="B458" s="50"/>
      <c r="E458" s="67"/>
      <c r="G458" s="35"/>
      <c r="L458" s="32"/>
      <c r="M458" s="32"/>
      <c r="N458" s="11"/>
      <c r="O458" s="11"/>
      <c r="P458" s="32"/>
      <c r="Q458" s="32"/>
      <c r="R458" s="32"/>
      <c r="AV458" s="50"/>
      <c r="AY458" s="50"/>
    </row>
    <row r="459" spans="2:51" s="30" customFormat="1">
      <c r="B459" s="50"/>
      <c r="E459" s="67"/>
      <c r="G459" s="35"/>
      <c r="L459" s="32"/>
      <c r="M459" s="32"/>
      <c r="N459" s="11"/>
      <c r="O459" s="11"/>
      <c r="P459" s="32"/>
      <c r="Q459" s="32"/>
      <c r="R459" s="32"/>
      <c r="AV459" s="50"/>
      <c r="AY459" s="50"/>
    </row>
    <row r="460" spans="2:51" s="30" customFormat="1">
      <c r="B460" s="50"/>
      <c r="E460" s="67"/>
      <c r="G460" s="35"/>
      <c r="L460" s="32"/>
      <c r="M460" s="32"/>
      <c r="N460" s="11"/>
      <c r="O460" s="11"/>
      <c r="P460" s="32"/>
      <c r="Q460" s="32"/>
      <c r="R460" s="32"/>
      <c r="AV460" s="50"/>
      <c r="AY460" s="50"/>
    </row>
    <row r="461" spans="2:51" s="30" customFormat="1">
      <c r="B461" s="50"/>
      <c r="E461" s="67"/>
      <c r="G461" s="35"/>
      <c r="L461" s="32"/>
      <c r="M461" s="32"/>
      <c r="N461" s="11"/>
      <c r="O461" s="11"/>
      <c r="P461" s="32"/>
      <c r="Q461" s="32"/>
      <c r="R461" s="32"/>
      <c r="AV461" s="50"/>
      <c r="AY461" s="50"/>
    </row>
    <row r="462" spans="2:51" s="30" customFormat="1">
      <c r="B462" s="50"/>
      <c r="E462" s="67"/>
      <c r="G462" s="35"/>
      <c r="L462" s="32"/>
      <c r="M462" s="32"/>
      <c r="N462" s="11"/>
      <c r="O462" s="11"/>
      <c r="P462" s="32"/>
      <c r="Q462" s="32"/>
      <c r="R462" s="32"/>
      <c r="AV462" s="50"/>
      <c r="AY462" s="50"/>
    </row>
    <row r="463" spans="2:51" s="30" customFormat="1">
      <c r="B463" s="50"/>
      <c r="E463" s="67"/>
      <c r="G463" s="35"/>
      <c r="L463" s="32"/>
      <c r="M463" s="32"/>
      <c r="N463" s="11"/>
      <c r="O463" s="11"/>
      <c r="P463" s="32"/>
      <c r="Q463" s="32"/>
      <c r="R463" s="32"/>
      <c r="AV463" s="50"/>
      <c r="AY463" s="50"/>
    </row>
    <row r="464" spans="2:51" s="30" customFormat="1">
      <c r="B464" s="50"/>
      <c r="E464" s="67"/>
      <c r="G464" s="35"/>
      <c r="L464" s="32"/>
      <c r="M464" s="32"/>
      <c r="N464" s="11"/>
      <c r="O464" s="11"/>
      <c r="P464" s="32"/>
      <c r="Q464" s="32"/>
      <c r="R464" s="32"/>
      <c r="AV464" s="50"/>
      <c r="AY464" s="50"/>
    </row>
    <row r="465" spans="2:51" s="30" customFormat="1">
      <c r="B465" s="50"/>
      <c r="E465" s="67"/>
      <c r="G465" s="35"/>
      <c r="L465" s="32"/>
      <c r="M465" s="32"/>
      <c r="N465" s="11"/>
      <c r="O465" s="11"/>
      <c r="P465" s="32"/>
      <c r="Q465" s="32"/>
      <c r="R465" s="32"/>
      <c r="AV465" s="50"/>
      <c r="AY465" s="50"/>
    </row>
    <row r="466" spans="2:51" s="30" customFormat="1">
      <c r="B466" s="50"/>
      <c r="E466" s="67"/>
      <c r="G466" s="35"/>
      <c r="L466" s="32"/>
      <c r="M466" s="32"/>
      <c r="N466" s="11"/>
      <c r="O466" s="11"/>
      <c r="P466" s="32"/>
      <c r="Q466" s="32"/>
      <c r="R466" s="32"/>
      <c r="AV466" s="50"/>
      <c r="AY466" s="50"/>
    </row>
    <row r="467" spans="2:51" s="30" customFormat="1">
      <c r="B467" s="50"/>
      <c r="E467" s="67"/>
      <c r="G467" s="35"/>
      <c r="L467" s="32"/>
      <c r="M467" s="32"/>
      <c r="N467" s="11"/>
      <c r="O467" s="11"/>
      <c r="P467" s="32"/>
      <c r="Q467" s="32"/>
      <c r="R467" s="32"/>
      <c r="AV467" s="50"/>
      <c r="AY467" s="50"/>
    </row>
    <row r="468" spans="2:51" s="30" customFormat="1">
      <c r="B468" s="50"/>
      <c r="E468" s="67"/>
      <c r="G468" s="35"/>
      <c r="L468" s="32"/>
      <c r="M468" s="32"/>
      <c r="N468" s="11"/>
      <c r="O468" s="11"/>
      <c r="P468" s="32"/>
      <c r="Q468" s="32"/>
      <c r="R468" s="32"/>
      <c r="AV468" s="50"/>
      <c r="AY468" s="50"/>
    </row>
    <row r="469" spans="2:51" s="30" customFormat="1">
      <c r="B469" s="50"/>
      <c r="E469" s="67"/>
      <c r="G469" s="35"/>
      <c r="L469" s="32"/>
      <c r="M469" s="32"/>
      <c r="N469" s="11"/>
      <c r="O469" s="11"/>
      <c r="P469" s="32"/>
      <c r="Q469" s="32"/>
      <c r="R469" s="32"/>
      <c r="AV469" s="50"/>
      <c r="AY469" s="50"/>
    </row>
    <row r="470" spans="2:51" s="30" customFormat="1">
      <c r="B470" s="50"/>
      <c r="E470" s="67"/>
      <c r="G470" s="35"/>
      <c r="L470" s="32"/>
      <c r="M470" s="32"/>
      <c r="N470" s="11"/>
      <c r="O470" s="11"/>
      <c r="P470" s="32"/>
      <c r="Q470" s="32"/>
      <c r="R470" s="32"/>
      <c r="AV470" s="50"/>
      <c r="AY470" s="50"/>
    </row>
    <row r="471" spans="2:51" s="30" customFormat="1">
      <c r="B471" s="50"/>
      <c r="E471" s="67"/>
      <c r="G471" s="35"/>
      <c r="L471" s="32"/>
      <c r="M471" s="32"/>
      <c r="N471" s="11"/>
      <c r="O471" s="11"/>
      <c r="P471" s="32"/>
      <c r="Q471" s="32"/>
      <c r="R471" s="32"/>
      <c r="AV471" s="50"/>
      <c r="AY471" s="50"/>
    </row>
    <row r="472" spans="2:51" s="30" customFormat="1">
      <c r="B472" s="50"/>
      <c r="E472" s="67"/>
      <c r="G472" s="35"/>
      <c r="L472" s="32"/>
      <c r="M472" s="32"/>
      <c r="N472" s="11"/>
      <c r="O472" s="11"/>
      <c r="P472" s="32"/>
      <c r="Q472" s="32"/>
      <c r="R472" s="32"/>
      <c r="AV472" s="50"/>
      <c r="AY472" s="50"/>
    </row>
    <row r="473" spans="2:51" s="30" customFormat="1">
      <c r="B473" s="50"/>
      <c r="E473" s="67"/>
      <c r="G473" s="35"/>
      <c r="L473" s="32"/>
      <c r="M473" s="32"/>
      <c r="N473" s="11"/>
      <c r="O473" s="11"/>
      <c r="P473" s="32"/>
      <c r="Q473" s="32"/>
      <c r="R473" s="32"/>
      <c r="AV473" s="50"/>
      <c r="AY473" s="50"/>
    </row>
    <row r="474" spans="2:51" s="30" customFormat="1">
      <c r="B474" s="50"/>
      <c r="E474" s="67"/>
      <c r="G474" s="35"/>
      <c r="L474" s="32"/>
      <c r="M474" s="32"/>
      <c r="N474" s="11"/>
      <c r="O474" s="11"/>
      <c r="P474" s="32"/>
      <c r="Q474" s="32"/>
      <c r="R474" s="32"/>
      <c r="AV474" s="50"/>
      <c r="AY474" s="50"/>
    </row>
    <row r="475" spans="2:51" s="30" customFormat="1">
      <c r="B475" s="50"/>
      <c r="E475" s="67"/>
      <c r="G475" s="35"/>
      <c r="L475" s="32"/>
      <c r="M475" s="32"/>
      <c r="N475" s="11"/>
      <c r="O475" s="11"/>
      <c r="P475" s="32"/>
      <c r="Q475" s="32"/>
      <c r="R475" s="32"/>
      <c r="AV475" s="50"/>
      <c r="AY475" s="50"/>
    </row>
    <row r="476" spans="2:51" s="30" customFormat="1">
      <c r="B476" s="50"/>
      <c r="E476" s="67"/>
      <c r="G476" s="35"/>
      <c r="L476" s="32"/>
      <c r="M476" s="32"/>
      <c r="N476" s="11"/>
      <c r="O476" s="11"/>
      <c r="P476" s="32"/>
      <c r="Q476" s="32"/>
      <c r="R476" s="32"/>
      <c r="AV476" s="50"/>
      <c r="AY476" s="50"/>
    </row>
    <row r="477" spans="2:51" s="30" customFormat="1">
      <c r="B477" s="50"/>
      <c r="E477" s="67"/>
      <c r="G477" s="35"/>
      <c r="L477" s="32"/>
      <c r="M477" s="32"/>
      <c r="N477" s="11"/>
      <c r="O477" s="11"/>
      <c r="P477" s="32"/>
      <c r="Q477" s="32"/>
      <c r="R477" s="32"/>
      <c r="AV477" s="50"/>
      <c r="AY477" s="50"/>
    </row>
    <row r="478" spans="2:51" s="30" customFormat="1">
      <c r="B478" s="50"/>
      <c r="E478" s="67"/>
      <c r="G478" s="35"/>
      <c r="L478" s="32"/>
      <c r="M478" s="32"/>
      <c r="N478" s="11"/>
      <c r="O478" s="11"/>
      <c r="P478" s="32"/>
      <c r="Q478" s="32"/>
      <c r="R478" s="32"/>
      <c r="AV478" s="50"/>
      <c r="AY478" s="50"/>
    </row>
    <row r="479" spans="2:51" s="30" customFormat="1">
      <c r="B479" s="50"/>
      <c r="E479" s="67"/>
      <c r="G479" s="35"/>
      <c r="L479" s="32"/>
      <c r="M479" s="32"/>
      <c r="N479" s="11"/>
      <c r="O479" s="11"/>
      <c r="P479" s="32"/>
      <c r="Q479" s="32"/>
      <c r="R479" s="32"/>
      <c r="AV479" s="50"/>
      <c r="AY479" s="50"/>
    </row>
    <row r="480" spans="2:51" s="30" customFormat="1">
      <c r="B480" s="50"/>
      <c r="E480" s="67"/>
      <c r="G480" s="35"/>
      <c r="L480" s="32"/>
      <c r="M480" s="32"/>
      <c r="N480" s="11"/>
      <c r="O480" s="11"/>
      <c r="P480" s="32"/>
      <c r="Q480" s="32"/>
      <c r="R480" s="32"/>
      <c r="AV480" s="50"/>
      <c r="AY480" s="50"/>
    </row>
    <row r="481" spans="2:51" s="30" customFormat="1">
      <c r="B481" s="50"/>
      <c r="E481" s="67"/>
      <c r="G481" s="35"/>
      <c r="L481" s="32"/>
      <c r="M481" s="32"/>
      <c r="N481" s="11"/>
      <c r="O481" s="11"/>
      <c r="P481" s="32"/>
      <c r="Q481" s="32"/>
      <c r="R481" s="32"/>
      <c r="AV481" s="50"/>
      <c r="AY481" s="50"/>
    </row>
    <row r="482" spans="2:51" s="30" customFormat="1">
      <c r="B482" s="50"/>
      <c r="E482" s="67"/>
      <c r="G482" s="35"/>
      <c r="L482" s="32"/>
      <c r="M482" s="32"/>
      <c r="N482" s="11"/>
      <c r="O482" s="11"/>
      <c r="P482" s="32"/>
      <c r="Q482" s="32"/>
      <c r="R482" s="32"/>
      <c r="AV482" s="50"/>
      <c r="AY482" s="50"/>
    </row>
    <row r="483" spans="2:51" s="30" customFormat="1">
      <c r="B483" s="50"/>
      <c r="E483" s="67"/>
      <c r="G483" s="35"/>
      <c r="L483" s="32"/>
      <c r="M483" s="32"/>
      <c r="N483" s="11"/>
      <c r="O483" s="11"/>
      <c r="P483" s="32"/>
      <c r="Q483" s="32"/>
      <c r="R483" s="32"/>
      <c r="AV483" s="50"/>
      <c r="AY483" s="50"/>
    </row>
    <row r="484" spans="2:51" s="30" customFormat="1">
      <c r="B484" s="50"/>
      <c r="E484" s="67"/>
      <c r="G484" s="35"/>
      <c r="L484" s="32"/>
      <c r="M484" s="32"/>
      <c r="N484" s="11"/>
      <c r="O484" s="11"/>
      <c r="P484" s="32"/>
      <c r="Q484" s="32"/>
      <c r="R484" s="32"/>
      <c r="AV484" s="50"/>
      <c r="AY484" s="50"/>
    </row>
    <row r="485" spans="2:51" s="30" customFormat="1">
      <c r="B485" s="50"/>
      <c r="E485" s="67"/>
      <c r="G485" s="35"/>
      <c r="L485" s="32"/>
      <c r="M485" s="32"/>
      <c r="N485" s="11"/>
      <c r="O485" s="11"/>
      <c r="P485" s="32"/>
      <c r="Q485" s="32"/>
      <c r="R485" s="32"/>
      <c r="AV485" s="50"/>
      <c r="AY485" s="50"/>
    </row>
    <row r="486" spans="2:51" s="30" customFormat="1">
      <c r="B486" s="50"/>
      <c r="E486" s="67"/>
      <c r="G486" s="35"/>
      <c r="L486" s="32"/>
      <c r="M486" s="32"/>
      <c r="N486" s="11"/>
      <c r="O486" s="11"/>
      <c r="P486" s="32"/>
      <c r="Q486" s="32"/>
      <c r="R486" s="32"/>
      <c r="AV486" s="50"/>
      <c r="AY486" s="50"/>
    </row>
    <row r="487" spans="2:51" s="30" customFormat="1">
      <c r="B487" s="50"/>
      <c r="E487" s="67"/>
      <c r="G487" s="35"/>
      <c r="L487" s="32"/>
      <c r="M487" s="32"/>
      <c r="N487" s="11"/>
      <c r="O487" s="11"/>
      <c r="P487" s="32"/>
      <c r="Q487" s="32"/>
      <c r="R487" s="32"/>
      <c r="AV487" s="50"/>
      <c r="AY487" s="50"/>
    </row>
    <row r="488" spans="2:51" s="30" customFormat="1">
      <c r="B488" s="50"/>
      <c r="E488" s="67"/>
      <c r="G488" s="35"/>
      <c r="L488" s="32"/>
      <c r="M488" s="32"/>
      <c r="N488" s="11"/>
      <c r="O488" s="11"/>
      <c r="P488" s="32"/>
      <c r="Q488" s="32"/>
      <c r="R488" s="32"/>
      <c r="AV488" s="50"/>
      <c r="AY488" s="50"/>
    </row>
    <row r="489" spans="2:51" s="30" customFormat="1">
      <c r="B489" s="50"/>
      <c r="E489" s="67"/>
      <c r="G489" s="35"/>
      <c r="L489" s="32"/>
      <c r="M489" s="32"/>
      <c r="N489" s="11"/>
      <c r="O489" s="11"/>
      <c r="P489" s="32"/>
      <c r="Q489" s="32"/>
      <c r="R489" s="32"/>
      <c r="AV489" s="50"/>
      <c r="AY489" s="50"/>
    </row>
    <row r="490" spans="2:51" s="30" customFormat="1">
      <c r="B490" s="50"/>
      <c r="E490" s="67"/>
      <c r="G490" s="35"/>
      <c r="L490" s="32"/>
      <c r="M490" s="32"/>
      <c r="N490" s="11"/>
      <c r="O490" s="11"/>
      <c r="P490" s="32"/>
      <c r="Q490" s="32"/>
      <c r="R490" s="32"/>
      <c r="AV490" s="50"/>
      <c r="AY490" s="50"/>
    </row>
    <row r="491" spans="2:51" s="30" customFormat="1">
      <c r="B491" s="50"/>
      <c r="E491" s="67"/>
      <c r="G491" s="35"/>
      <c r="L491" s="32"/>
      <c r="M491" s="32"/>
      <c r="N491" s="11"/>
      <c r="O491" s="11"/>
      <c r="P491" s="32"/>
      <c r="Q491" s="32"/>
      <c r="R491" s="32"/>
      <c r="AV491" s="50"/>
      <c r="AY491" s="50"/>
    </row>
    <row r="492" spans="2:51" s="30" customFormat="1">
      <c r="B492" s="50"/>
      <c r="E492" s="67"/>
      <c r="G492" s="35"/>
      <c r="L492" s="32"/>
      <c r="M492" s="32"/>
      <c r="N492" s="11"/>
      <c r="O492" s="11"/>
      <c r="P492" s="32"/>
      <c r="Q492" s="32"/>
      <c r="R492" s="32"/>
      <c r="AV492" s="50"/>
      <c r="AY492" s="50"/>
    </row>
    <row r="493" spans="2:51" s="30" customFormat="1">
      <c r="B493" s="50"/>
      <c r="E493" s="67"/>
      <c r="G493" s="35"/>
      <c r="L493" s="32"/>
      <c r="M493" s="32"/>
      <c r="N493" s="11"/>
      <c r="O493" s="11"/>
      <c r="P493" s="32"/>
      <c r="Q493" s="32"/>
      <c r="R493" s="32"/>
      <c r="AV493" s="50"/>
      <c r="AY493" s="50"/>
    </row>
    <row r="494" spans="2:51" s="30" customFormat="1">
      <c r="B494" s="50"/>
      <c r="E494" s="67"/>
      <c r="G494" s="35"/>
      <c r="L494" s="32"/>
      <c r="M494" s="32"/>
      <c r="N494" s="11"/>
      <c r="O494" s="11"/>
      <c r="P494" s="32"/>
      <c r="Q494" s="32"/>
      <c r="R494" s="32"/>
      <c r="AV494" s="50"/>
      <c r="AY494" s="50"/>
    </row>
    <row r="495" spans="2:51" s="30" customFormat="1">
      <c r="B495" s="50"/>
      <c r="E495" s="67"/>
      <c r="G495" s="35"/>
      <c r="L495" s="32"/>
      <c r="M495" s="32"/>
      <c r="N495" s="11"/>
      <c r="O495" s="11"/>
      <c r="P495" s="32"/>
      <c r="Q495" s="32"/>
      <c r="R495" s="32"/>
      <c r="AV495" s="50"/>
      <c r="AY495" s="50"/>
    </row>
    <row r="496" spans="2:51" s="30" customFormat="1">
      <c r="B496" s="50"/>
      <c r="E496" s="67"/>
      <c r="G496" s="35"/>
      <c r="L496" s="32"/>
      <c r="M496" s="32"/>
      <c r="N496" s="11"/>
      <c r="O496" s="11"/>
      <c r="P496" s="32"/>
      <c r="Q496" s="32"/>
      <c r="R496" s="32"/>
      <c r="AV496" s="50"/>
      <c r="AY496" s="50"/>
    </row>
    <row r="497" spans="2:51" s="30" customFormat="1">
      <c r="B497" s="50"/>
      <c r="E497" s="67"/>
      <c r="G497" s="35"/>
      <c r="L497" s="32"/>
      <c r="M497" s="32"/>
      <c r="N497" s="11"/>
      <c r="O497" s="11"/>
      <c r="P497" s="32"/>
      <c r="Q497" s="32"/>
      <c r="R497" s="32"/>
      <c r="AV497" s="50"/>
      <c r="AY497" s="50"/>
    </row>
    <row r="498" spans="2:51" s="30" customFormat="1">
      <c r="B498" s="50"/>
      <c r="E498" s="67"/>
      <c r="G498" s="35"/>
      <c r="L498" s="32"/>
      <c r="M498" s="32"/>
      <c r="N498" s="11"/>
      <c r="O498" s="11"/>
      <c r="P498" s="32"/>
      <c r="Q498" s="32"/>
      <c r="R498" s="32"/>
      <c r="AV498" s="50"/>
      <c r="AY498" s="50"/>
    </row>
    <row r="499" spans="2:51" s="30" customFormat="1">
      <c r="B499" s="50"/>
      <c r="E499" s="67"/>
      <c r="G499" s="35"/>
      <c r="L499" s="32"/>
      <c r="M499" s="32"/>
      <c r="N499" s="11"/>
      <c r="O499" s="11"/>
      <c r="P499" s="32"/>
      <c r="Q499" s="32"/>
      <c r="R499" s="32"/>
      <c r="AV499" s="50"/>
      <c r="AY499" s="50"/>
    </row>
    <row r="500" spans="2:51" s="30" customFormat="1">
      <c r="B500" s="50"/>
      <c r="E500" s="67"/>
      <c r="G500" s="35"/>
      <c r="L500" s="32"/>
      <c r="M500" s="32"/>
      <c r="N500" s="11"/>
      <c r="O500" s="11"/>
      <c r="P500" s="32"/>
      <c r="Q500" s="32"/>
      <c r="R500" s="32"/>
      <c r="AV500" s="50"/>
      <c r="AY500" s="50"/>
    </row>
    <row r="501" spans="2:51" s="30" customFormat="1">
      <c r="B501" s="50"/>
      <c r="E501" s="67"/>
      <c r="G501" s="35"/>
      <c r="L501" s="32"/>
      <c r="M501" s="32"/>
      <c r="N501" s="11"/>
      <c r="O501" s="11"/>
      <c r="P501" s="32"/>
      <c r="Q501" s="32"/>
      <c r="R501" s="32"/>
      <c r="AV501" s="50"/>
      <c r="AY501" s="50"/>
    </row>
    <row r="502" spans="2:51" s="30" customFormat="1">
      <c r="B502" s="50"/>
      <c r="E502" s="67"/>
      <c r="G502" s="35"/>
      <c r="L502" s="32"/>
      <c r="M502" s="32"/>
      <c r="N502" s="11"/>
      <c r="O502" s="11"/>
      <c r="P502" s="32"/>
      <c r="Q502" s="32"/>
      <c r="R502" s="32"/>
      <c r="AV502" s="50"/>
      <c r="AY502" s="50"/>
    </row>
    <row r="503" spans="2:51" s="30" customFormat="1">
      <c r="B503" s="50"/>
      <c r="E503" s="67"/>
      <c r="G503" s="35"/>
      <c r="L503" s="32"/>
      <c r="M503" s="32"/>
      <c r="N503" s="11"/>
      <c r="O503" s="11"/>
      <c r="P503" s="32"/>
      <c r="Q503" s="32"/>
      <c r="R503" s="32"/>
      <c r="AV503" s="50"/>
      <c r="AY503" s="50"/>
    </row>
    <row r="504" spans="2:51" s="30" customFormat="1">
      <c r="B504" s="50"/>
      <c r="E504" s="67"/>
      <c r="G504" s="35"/>
      <c r="L504" s="32"/>
      <c r="M504" s="32"/>
      <c r="N504" s="11"/>
      <c r="O504" s="11"/>
      <c r="P504" s="32"/>
      <c r="Q504" s="32"/>
      <c r="R504" s="32"/>
      <c r="AV504" s="50"/>
      <c r="AY504" s="50"/>
    </row>
    <row r="505" spans="2:51" s="30" customFormat="1">
      <c r="B505" s="50"/>
      <c r="E505" s="67"/>
      <c r="G505" s="35"/>
      <c r="L505" s="32"/>
      <c r="M505" s="32"/>
      <c r="N505" s="11"/>
      <c r="O505" s="11"/>
      <c r="P505" s="32"/>
      <c r="Q505" s="32"/>
      <c r="R505" s="32"/>
      <c r="AV505" s="50"/>
      <c r="AY505" s="50"/>
    </row>
    <row r="506" spans="2:51" s="30" customFormat="1">
      <c r="B506" s="50"/>
      <c r="E506" s="67"/>
      <c r="G506" s="35"/>
      <c r="L506" s="32"/>
      <c r="M506" s="32"/>
      <c r="N506" s="11"/>
      <c r="O506" s="11"/>
      <c r="P506" s="32"/>
      <c r="Q506" s="32"/>
      <c r="R506" s="32"/>
      <c r="AV506" s="50"/>
      <c r="AY506" s="50"/>
    </row>
    <row r="507" spans="2:51" s="30" customFormat="1">
      <c r="B507" s="50"/>
      <c r="E507" s="67"/>
      <c r="G507" s="35"/>
      <c r="L507" s="32"/>
      <c r="M507" s="32"/>
      <c r="N507" s="11"/>
      <c r="O507" s="11"/>
      <c r="P507" s="32"/>
      <c r="Q507" s="32"/>
      <c r="R507" s="32"/>
      <c r="AV507" s="50"/>
      <c r="AY507" s="50"/>
    </row>
    <row r="508" spans="2:51" s="30" customFormat="1">
      <c r="B508" s="50"/>
      <c r="E508" s="67"/>
      <c r="G508" s="35"/>
      <c r="L508" s="32"/>
      <c r="M508" s="32"/>
      <c r="N508" s="11"/>
      <c r="O508" s="11"/>
      <c r="P508" s="32"/>
      <c r="Q508" s="32"/>
      <c r="R508" s="32"/>
      <c r="AV508" s="50"/>
      <c r="AY508" s="50"/>
    </row>
    <row r="509" spans="2:51" s="30" customFormat="1">
      <c r="B509" s="50"/>
      <c r="E509" s="67"/>
      <c r="G509" s="35"/>
      <c r="L509" s="32"/>
      <c r="M509" s="32"/>
      <c r="N509" s="11"/>
      <c r="O509" s="11"/>
      <c r="P509" s="32"/>
      <c r="Q509" s="32"/>
      <c r="R509" s="32"/>
      <c r="AV509" s="50"/>
      <c r="AY509" s="50"/>
    </row>
    <row r="510" spans="2:51" s="30" customFormat="1">
      <c r="B510" s="50"/>
      <c r="E510" s="67"/>
      <c r="G510" s="35"/>
      <c r="L510" s="32"/>
      <c r="M510" s="32"/>
      <c r="N510" s="11"/>
      <c r="O510" s="11"/>
      <c r="P510" s="32"/>
      <c r="Q510" s="32"/>
      <c r="R510" s="32"/>
      <c r="AV510" s="50"/>
      <c r="AY510" s="50"/>
    </row>
    <row r="511" spans="2:51" s="30" customFormat="1">
      <c r="B511" s="50"/>
      <c r="E511" s="67"/>
      <c r="G511" s="35"/>
      <c r="L511" s="32"/>
      <c r="M511" s="32"/>
      <c r="N511" s="11"/>
      <c r="O511" s="11"/>
      <c r="P511" s="32"/>
      <c r="Q511" s="32"/>
      <c r="R511" s="32"/>
      <c r="AV511" s="50"/>
      <c r="AY511" s="50"/>
    </row>
    <row r="512" spans="2:51" s="30" customFormat="1">
      <c r="B512" s="50"/>
      <c r="E512" s="67"/>
      <c r="G512" s="35"/>
      <c r="L512" s="32"/>
      <c r="M512" s="32"/>
      <c r="N512" s="11"/>
      <c r="O512" s="11"/>
      <c r="P512" s="32"/>
      <c r="Q512" s="32"/>
      <c r="R512" s="32"/>
      <c r="AV512" s="50"/>
      <c r="AY512" s="50"/>
    </row>
    <row r="513" spans="2:51" s="30" customFormat="1">
      <c r="B513" s="50"/>
      <c r="E513" s="67"/>
      <c r="G513" s="35"/>
      <c r="L513" s="32"/>
      <c r="M513" s="32"/>
      <c r="N513" s="11"/>
      <c r="O513" s="11"/>
      <c r="P513" s="32"/>
      <c r="Q513" s="32"/>
      <c r="R513" s="32"/>
      <c r="AV513" s="50"/>
      <c r="AY513" s="50"/>
    </row>
    <row r="514" spans="2:51" s="30" customFormat="1">
      <c r="B514" s="50"/>
      <c r="E514" s="67"/>
      <c r="G514" s="35"/>
      <c r="L514" s="32"/>
      <c r="M514" s="32"/>
      <c r="N514" s="11"/>
      <c r="O514" s="11"/>
      <c r="P514" s="32"/>
      <c r="Q514" s="32"/>
      <c r="R514" s="32"/>
      <c r="AV514" s="50"/>
      <c r="AY514" s="50"/>
    </row>
    <row r="515" spans="2:51" s="30" customFormat="1">
      <c r="B515" s="50"/>
      <c r="E515" s="67"/>
      <c r="G515" s="35"/>
      <c r="L515" s="32"/>
      <c r="M515" s="32"/>
      <c r="N515" s="11"/>
      <c r="O515" s="11"/>
      <c r="P515" s="32"/>
      <c r="Q515" s="32"/>
      <c r="R515" s="32"/>
      <c r="AV515" s="50"/>
      <c r="AY515" s="50"/>
    </row>
    <row r="516" spans="2:51" s="30" customFormat="1">
      <c r="B516" s="50"/>
      <c r="E516" s="67"/>
      <c r="G516" s="35"/>
      <c r="L516" s="32"/>
      <c r="M516" s="32"/>
      <c r="N516" s="11"/>
      <c r="O516" s="11"/>
      <c r="P516" s="32"/>
      <c r="Q516" s="32"/>
      <c r="R516" s="32"/>
      <c r="AV516" s="50"/>
      <c r="AY516" s="50"/>
    </row>
    <row r="517" spans="2:51" s="30" customFormat="1">
      <c r="B517" s="50"/>
      <c r="E517" s="67"/>
      <c r="G517" s="35"/>
      <c r="L517" s="32"/>
      <c r="M517" s="32"/>
      <c r="N517" s="11"/>
      <c r="O517" s="11"/>
      <c r="P517" s="32"/>
      <c r="Q517" s="32"/>
      <c r="R517" s="32"/>
      <c r="AV517" s="50"/>
      <c r="AY517" s="50"/>
    </row>
    <row r="518" spans="2:51" s="30" customFormat="1">
      <c r="B518" s="50"/>
      <c r="E518" s="67"/>
      <c r="G518" s="35"/>
      <c r="L518" s="32"/>
      <c r="M518" s="32"/>
      <c r="N518" s="11"/>
      <c r="O518" s="11"/>
      <c r="P518" s="32"/>
      <c r="Q518" s="32"/>
      <c r="R518" s="32"/>
      <c r="AV518" s="50"/>
      <c r="AY518" s="50"/>
    </row>
    <row r="519" spans="2:51" s="30" customFormat="1">
      <c r="B519" s="50"/>
      <c r="E519" s="67"/>
      <c r="G519" s="35"/>
      <c r="L519" s="32"/>
      <c r="M519" s="32"/>
      <c r="N519" s="11"/>
      <c r="O519" s="11"/>
      <c r="P519" s="32"/>
      <c r="Q519" s="32"/>
      <c r="R519" s="32"/>
      <c r="AV519" s="50"/>
      <c r="AY519" s="50"/>
    </row>
    <row r="520" spans="2:51" s="30" customFormat="1">
      <c r="B520" s="50"/>
      <c r="E520" s="67"/>
      <c r="G520" s="35"/>
      <c r="L520" s="32"/>
      <c r="M520" s="32"/>
      <c r="N520" s="11"/>
      <c r="O520" s="11"/>
      <c r="P520" s="32"/>
      <c r="Q520" s="32"/>
      <c r="R520" s="32"/>
      <c r="AV520" s="50"/>
      <c r="AY520" s="50"/>
    </row>
    <row r="521" spans="2:51" s="30" customFormat="1">
      <c r="B521" s="50"/>
      <c r="E521" s="67"/>
      <c r="G521" s="35"/>
      <c r="L521" s="32"/>
      <c r="M521" s="32"/>
      <c r="N521" s="11"/>
      <c r="O521" s="11"/>
      <c r="P521" s="32"/>
      <c r="Q521" s="32"/>
      <c r="R521" s="32"/>
      <c r="AV521" s="50"/>
      <c r="AY521" s="50"/>
    </row>
    <row r="522" spans="2:51" s="30" customFormat="1">
      <c r="B522" s="50"/>
      <c r="E522" s="67"/>
      <c r="G522" s="35"/>
      <c r="L522" s="32"/>
      <c r="M522" s="32"/>
      <c r="N522" s="11"/>
      <c r="O522" s="11"/>
      <c r="P522" s="32"/>
      <c r="Q522" s="32"/>
      <c r="R522" s="32"/>
      <c r="AV522" s="50"/>
      <c r="AY522" s="50"/>
    </row>
    <row r="523" spans="2:51" s="30" customFormat="1">
      <c r="B523" s="50"/>
      <c r="E523" s="67"/>
      <c r="G523" s="35"/>
      <c r="L523" s="32"/>
      <c r="M523" s="32"/>
      <c r="N523" s="11"/>
      <c r="O523" s="11"/>
      <c r="P523" s="32"/>
      <c r="Q523" s="32"/>
      <c r="R523" s="32"/>
      <c r="AV523" s="50"/>
      <c r="AY523" s="50"/>
    </row>
    <row r="524" spans="2:51" s="30" customFormat="1">
      <c r="B524" s="50"/>
      <c r="E524" s="67"/>
      <c r="G524" s="35"/>
      <c r="L524" s="32"/>
      <c r="M524" s="32"/>
      <c r="N524" s="11"/>
      <c r="O524" s="11"/>
      <c r="P524" s="32"/>
      <c r="Q524" s="32"/>
      <c r="R524" s="32"/>
      <c r="AV524" s="50"/>
      <c r="AY524" s="50"/>
    </row>
    <row r="525" spans="2:51" s="30" customFormat="1">
      <c r="B525" s="50"/>
      <c r="E525" s="67"/>
      <c r="G525" s="35"/>
      <c r="L525" s="32"/>
      <c r="M525" s="32"/>
      <c r="N525" s="11"/>
      <c r="O525" s="11"/>
      <c r="P525" s="32"/>
      <c r="Q525" s="32"/>
      <c r="R525" s="32"/>
      <c r="AV525" s="50"/>
      <c r="AY525" s="50"/>
    </row>
    <row r="526" spans="2:51" s="30" customFormat="1">
      <c r="B526" s="50"/>
      <c r="E526" s="67"/>
      <c r="G526" s="35"/>
      <c r="L526" s="32"/>
      <c r="M526" s="32"/>
      <c r="N526" s="11"/>
      <c r="O526" s="11"/>
      <c r="P526" s="32"/>
      <c r="Q526" s="32"/>
      <c r="R526" s="32"/>
      <c r="AV526" s="50"/>
      <c r="AY526" s="50"/>
    </row>
    <row r="527" spans="2:51" s="30" customFormat="1">
      <c r="B527" s="50"/>
      <c r="E527" s="67"/>
      <c r="G527" s="35"/>
      <c r="L527" s="32"/>
      <c r="M527" s="32"/>
      <c r="N527" s="11"/>
      <c r="O527" s="11"/>
      <c r="P527" s="32"/>
      <c r="Q527" s="32"/>
      <c r="R527" s="32"/>
      <c r="AV527" s="50"/>
      <c r="AY527" s="50"/>
    </row>
    <row r="528" spans="2:51" s="30" customFormat="1">
      <c r="B528" s="50"/>
      <c r="E528" s="67"/>
      <c r="G528" s="35"/>
      <c r="L528" s="32"/>
      <c r="M528" s="32"/>
      <c r="N528" s="11"/>
      <c r="O528" s="11"/>
      <c r="P528" s="32"/>
      <c r="Q528" s="32"/>
      <c r="R528" s="32"/>
      <c r="AV528" s="50"/>
      <c r="AY528" s="50"/>
    </row>
    <row r="529" spans="2:51" s="30" customFormat="1">
      <c r="B529" s="50"/>
      <c r="E529" s="67"/>
      <c r="G529" s="35"/>
      <c r="L529" s="32"/>
      <c r="M529" s="32"/>
      <c r="N529" s="11"/>
      <c r="O529" s="11"/>
      <c r="P529" s="32"/>
      <c r="Q529" s="32"/>
      <c r="R529" s="32"/>
      <c r="AV529" s="50"/>
      <c r="AY529" s="50"/>
    </row>
    <row r="530" spans="2:51" s="30" customFormat="1">
      <c r="B530" s="50"/>
      <c r="E530" s="67"/>
      <c r="G530" s="35"/>
      <c r="L530" s="32"/>
      <c r="M530" s="32"/>
      <c r="N530" s="11"/>
      <c r="O530" s="11"/>
      <c r="P530" s="32"/>
      <c r="Q530" s="32"/>
      <c r="R530" s="32"/>
      <c r="AV530" s="50"/>
      <c r="AY530" s="50"/>
    </row>
    <row r="531" spans="2:51" s="30" customFormat="1">
      <c r="B531" s="50"/>
      <c r="E531" s="67"/>
      <c r="G531" s="35"/>
      <c r="L531" s="32"/>
      <c r="M531" s="32"/>
      <c r="N531" s="11"/>
      <c r="O531" s="11"/>
      <c r="P531" s="32"/>
      <c r="Q531" s="32"/>
      <c r="R531" s="32"/>
      <c r="AV531" s="50"/>
      <c r="AY531" s="50"/>
    </row>
    <row r="532" spans="2:51" s="30" customFormat="1">
      <c r="B532" s="50"/>
      <c r="E532" s="67"/>
      <c r="G532" s="35"/>
      <c r="L532" s="32"/>
      <c r="M532" s="32"/>
      <c r="N532" s="11"/>
      <c r="O532" s="11"/>
      <c r="P532" s="32"/>
      <c r="Q532" s="32"/>
      <c r="R532" s="32"/>
      <c r="AV532" s="50"/>
      <c r="AY532" s="50"/>
    </row>
    <row r="533" spans="2:51" s="30" customFormat="1">
      <c r="B533" s="50"/>
      <c r="E533" s="67"/>
      <c r="G533" s="35"/>
      <c r="L533" s="32"/>
      <c r="M533" s="32"/>
      <c r="N533" s="11"/>
      <c r="O533" s="11"/>
      <c r="P533" s="32"/>
      <c r="Q533" s="32"/>
      <c r="R533" s="32"/>
      <c r="AV533" s="50"/>
      <c r="AY533" s="50"/>
    </row>
    <row r="534" spans="2:51" s="30" customFormat="1">
      <c r="B534" s="50"/>
      <c r="E534" s="67"/>
      <c r="G534" s="35"/>
      <c r="L534" s="32"/>
      <c r="M534" s="32"/>
      <c r="N534" s="11"/>
      <c r="O534" s="11"/>
      <c r="P534" s="32"/>
      <c r="Q534" s="32"/>
      <c r="R534" s="32"/>
      <c r="AV534" s="50"/>
      <c r="AY534" s="50"/>
    </row>
    <row r="535" spans="2:51" s="30" customFormat="1">
      <c r="B535" s="50"/>
      <c r="E535" s="67"/>
      <c r="G535" s="35"/>
      <c r="L535" s="32"/>
      <c r="M535" s="32"/>
      <c r="N535" s="11"/>
      <c r="O535" s="11"/>
      <c r="P535" s="32"/>
      <c r="Q535" s="32"/>
      <c r="R535" s="32"/>
      <c r="AV535" s="50"/>
      <c r="AY535" s="50"/>
    </row>
    <row r="536" spans="2:51" s="30" customFormat="1">
      <c r="B536" s="50"/>
      <c r="E536" s="67"/>
      <c r="G536" s="35"/>
      <c r="L536" s="32"/>
      <c r="M536" s="32"/>
      <c r="N536" s="11"/>
      <c r="O536" s="11"/>
      <c r="P536" s="32"/>
      <c r="Q536" s="32"/>
      <c r="R536" s="32"/>
      <c r="AV536" s="50"/>
      <c r="AY536" s="50"/>
    </row>
    <row r="537" spans="2:51" s="30" customFormat="1">
      <c r="B537" s="50"/>
      <c r="E537" s="67"/>
      <c r="G537" s="35"/>
      <c r="L537" s="32"/>
      <c r="M537" s="32"/>
      <c r="N537" s="11"/>
      <c r="O537" s="11"/>
      <c r="P537" s="32"/>
      <c r="Q537" s="32"/>
      <c r="R537" s="32"/>
      <c r="AV537" s="50"/>
      <c r="AY537" s="50"/>
    </row>
    <row r="538" spans="2:51" s="30" customFormat="1">
      <c r="B538" s="50"/>
      <c r="E538" s="67"/>
      <c r="G538" s="35"/>
      <c r="L538" s="32"/>
      <c r="M538" s="32"/>
      <c r="N538" s="11"/>
      <c r="O538" s="11"/>
      <c r="P538" s="32"/>
      <c r="Q538" s="32"/>
      <c r="R538" s="32"/>
      <c r="AV538" s="50"/>
      <c r="AY538" s="50"/>
    </row>
    <row r="539" spans="2:51" s="30" customFormat="1">
      <c r="B539" s="50"/>
      <c r="E539" s="67"/>
      <c r="G539" s="35"/>
      <c r="L539" s="32"/>
      <c r="M539" s="32"/>
      <c r="N539" s="11"/>
      <c r="O539" s="11"/>
      <c r="P539" s="32"/>
      <c r="Q539" s="32"/>
      <c r="R539" s="32"/>
      <c r="AV539" s="50"/>
      <c r="AY539" s="50"/>
    </row>
    <row r="540" spans="2:51" s="30" customFormat="1">
      <c r="B540" s="50"/>
      <c r="E540" s="67"/>
      <c r="G540" s="35"/>
      <c r="L540" s="32"/>
      <c r="M540" s="32"/>
      <c r="N540" s="11"/>
      <c r="O540" s="11"/>
      <c r="P540" s="32"/>
      <c r="Q540" s="32"/>
      <c r="R540" s="32"/>
      <c r="AV540" s="50"/>
      <c r="AY540" s="50"/>
    </row>
    <row r="541" spans="2:51" s="30" customFormat="1">
      <c r="B541" s="50"/>
      <c r="E541" s="67"/>
      <c r="G541" s="35"/>
      <c r="L541" s="32"/>
      <c r="M541" s="32"/>
      <c r="N541" s="11"/>
      <c r="O541" s="11"/>
      <c r="P541" s="32"/>
      <c r="Q541" s="32"/>
      <c r="R541" s="32"/>
      <c r="AV541" s="50"/>
      <c r="AY541" s="50"/>
    </row>
    <row r="542" spans="2:51" s="30" customFormat="1">
      <c r="B542" s="50"/>
      <c r="E542" s="67"/>
      <c r="G542" s="35"/>
      <c r="L542" s="32"/>
      <c r="M542" s="32"/>
      <c r="N542" s="11"/>
      <c r="O542" s="11"/>
      <c r="P542" s="32"/>
      <c r="Q542" s="32"/>
      <c r="R542" s="32"/>
      <c r="AV542" s="50"/>
      <c r="AY542" s="50"/>
    </row>
    <row r="543" spans="2:51" s="30" customFormat="1">
      <c r="B543" s="50"/>
      <c r="E543" s="67"/>
      <c r="G543" s="35"/>
      <c r="L543" s="32"/>
      <c r="M543" s="32"/>
      <c r="N543" s="11"/>
      <c r="O543" s="11"/>
      <c r="P543" s="32"/>
      <c r="Q543" s="32"/>
      <c r="R543" s="32"/>
      <c r="AV543" s="50"/>
      <c r="AY543" s="50"/>
    </row>
    <row r="544" spans="2:51" s="30" customFormat="1">
      <c r="B544" s="50"/>
      <c r="E544" s="67"/>
      <c r="G544" s="35"/>
      <c r="L544" s="32"/>
      <c r="M544" s="32"/>
      <c r="N544" s="11"/>
      <c r="O544" s="11"/>
      <c r="P544" s="32"/>
      <c r="Q544" s="32"/>
      <c r="R544" s="32"/>
      <c r="AV544" s="50"/>
      <c r="AY544" s="50"/>
    </row>
    <row r="545" spans="2:51" s="30" customFormat="1">
      <c r="B545" s="50"/>
      <c r="E545" s="67"/>
      <c r="G545" s="35"/>
      <c r="L545" s="32"/>
      <c r="M545" s="32"/>
      <c r="N545" s="11"/>
      <c r="O545" s="11"/>
      <c r="P545" s="32"/>
      <c r="Q545" s="32"/>
      <c r="R545" s="32"/>
      <c r="AV545" s="50"/>
      <c r="AY545" s="50"/>
    </row>
    <row r="546" spans="2:51" s="30" customFormat="1">
      <c r="B546" s="50"/>
      <c r="E546" s="67"/>
      <c r="G546" s="35"/>
      <c r="L546" s="32"/>
      <c r="M546" s="32"/>
      <c r="N546" s="11"/>
      <c r="O546" s="11"/>
      <c r="P546" s="32"/>
      <c r="Q546" s="32"/>
      <c r="R546" s="32"/>
      <c r="AV546" s="50"/>
      <c r="AY546" s="50"/>
    </row>
    <row r="547" spans="2:51" s="30" customFormat="1">
      <c r="B547" s="50"/>
      <c r="E547" s="67"/>
      <c r="G547" s="35"/>
      <c r="L547" s="32"/>
      <c r="M547" s="32"/>
      <c r="N547" s="11"/>
      <c r="O547" s="11"/>
      <c r="P547" s="32"/>
      <c r="Q547" s="32"/>
      <c r="R547" s="32"/>
      <c r="AV547" s="50"/>
      <c r="AY547" s="50"/>
    </row>
    <row r="548" spans="2:51" s="30" customFormat="1">
      <c r="B548" s="50"/>
      <c r="E548" s="67"/>
      <c r="G548" s="35"/>
      <c r="L548" s="32"/>
      <c r="M548" s="32"/>
      <c r="N548" s="11"/>
      <c r="O548" s="11"/>
      <c r="P548" s="32"/>
      <c r="Q548" s="32"/>
      <c r="R548" s="32"/>
      <c r="AV548" s="50"/>
      <c r="AY548" s="50"/>
    </row>
    <row r="549" spans="2:51" s="30" customFormat="1">
      <c r="B549" s="50"/>
      <c r="E549" s="67"/>
      <c r="G549" s="35"/>
      <c r="L549" s="32"/>
      <c r="M549" s="32"/>
      <c r="N549" s="11"/>
      <c r="O549" s="11"/>
      <c r="P549" s="32"/>
      <c r="Q549" s="32"/>
      <c r="R549" s="32"/>
      <c r="AV549" s="50"/>
      <c r="AY549" s="50"/>
    </row>
    <row r="550" spans="2:51" s="30" customFormat="1">
      <c r="B550" s="50"/>
      <c r="E550" s="67"/>
      <c r="G550" s="35"/>
      <c r="L550" s="32"/>
      <c r="M550" s="32"/>
      <c r="N550" s="11"/>
      <c r="O550" s="11"/>
      <c r="P550" s="32"/>
      <c r="Q550" s="32"/>
      <c r="R550" s="32"/>
      <c r="AV550" s="50"/>
      <c r="AY550" s="50"/>
    </row>
    <row r="551" spans="2:51" s="30" customFormat="1">
      <c r="B551" s="50"/>
      <c r="E551" s="67"/>
      <c r="G551" s="35"/>
      <c r="L551" s="32"/>
      <c r="M551" s="32"/>
      <c r="N551" s="11"/>
      <c r="O551" s="11"/>
      <c r="P551" s="32"/>
      <c r="Q551" s="32"/>
      <c r="R551" s="32"/>
      <c r="AV551" s="50"/>
      <c r="AY551" s="50"/>
    </row>
    <row r="552" spans="2:51" s="30" customFormat="1">
      <c r="B552" s="50"/>
      <c r="E552" s="67"/>
      <c r="G552" s="35"/>
      <c r="L552" s="32"/>
      <c r="M552" s="32"/>
      <c r="N552" s="11"/>
      <c r="O552" s="11"/>
      <c r="P552" s="32"/>
      <c r="Q552" s="32"/>
      <c r="R552" s="32"/>
      <c r="AV552" s="50"/>
      <c r="AY552" s="50"/>
    </row>
    <row r="553" spans="2:51" s="30" customFormat="1">
      <c r="B553" s="50"/>
      <c r="E553" s="67"/>
      <c r="G553" s="35"/>
      <c r="L553" s="32"/>
      <c r="M553" s="32"/>
      <c r="N553" s="11"/>
      <c r="O553" s="11"/>
      <c r="P553" s="32"/>
      <c r="Q553" s="32"/>
      <c r="R553" s="32"/>
      <c r="AV553" s="50"/>
      <c r="AY553" s="50"/>
    </row>
    <row r="554" spans="2:51" s="30" customFormat="1">
      <c r="B554" s="50"/>
      <c r="E554" s="67"/>
      <c r="G554" s="35"/>
      <c r="L554" s="32"/>
      <c r="M554" s="32"/>
      <c r="N554" s="11"/>
      <c r="O554" s="11"/>
      <c r="P554" s="32"/>
      <c r="Q554" s="32"/>
      <c r="R554" s="32"/>
      <c r="AV554" s="50"/>
      <c r="AY554" s="50"/>
    </row>
    <row r="555" spans="2:51" s="30" customFormat="1">
      <c r="B555" s="50"/>
      <c r="E555" s="67"/>
      <c r="G555" s="35"/>
      <c r="L555" s="32"/>
      <c r="M555" s="32"/>
      <c r="N555" s="11"/>
      <c r="O555" s="11"/>
      <c r="P555" s="32"/>
      <c r="Q555" s="32"/>
      <c r="R555" s="32"/>
      <c r="AV555" s="50"/>
      <c r="AY555" s="50"/>
    </row>
    <row r="556" spans="2:51" s="30" customFormat="1">
      <c r="B556" s="50"/>
      <c r="E556" s="67"/>
      <c r="G556" s="35"/>
      <c r="L556" s="32"/>
      <c r="M556" s="32"/>
      <c r="N556" s="11"/>
      <c r="O556" s="11"/>
      <c r="P556" s="32"/>
      <c r="Q556" s="32"/>
      <c r="R556" s="32"/>
      <c r="AV556" s="50"/>
      <c r="AY556" s="50"/>
    </row>
    <row r="557" spans="2:51" s="30" customFormat="1">
      <c r="B557" s="50"/>
      <c r="E557" s="67"/>
      <c r="G557" s="35"/>
      <c r="L557" s="32"/>
      <c r="M557" s="32"/>
      <c r="N557" s="11"/>
      <c r="O557" s="11"/>
      <c r="P557" s="32"/>
      <c r="Q557" s="32"/>
      <c r="R557" s="32"/>
      <c r="AV557" s="50"/>
      <c r="AY557" s="50"/>
    </row>
    <row r="558" spans="2:51" s="30" customFormat="1">
      <c r="B558" s="50"/>
      <c r="E558" s="67"/>
      <c r="G558" s="35"/>
      <c r="L558" s="32"/>
      <c r="M558" s="32"/>
      <c r="N558" s="11"/>
      <c r="O558" s="11"/>
      <c r="P558" s="32"/>
      <c r="Q558" s="32"/>
      <c r="R558" s="32"/>
      <c r="AV558" s="50"/>
      <c r="AY558" s="50"/>
    </row>
    <row r="559" spans="2:51" s="30" customFormat="1">
      <c r="B559" s="50"/>
      <c r="E559" s="67"/>
      <c r="G559" s="35"/>
      <c r="L559" s="32"/>
      <c r="M559" s="32"/>
      <c r="N559" s="11"/>
      <c r="O559" s="11"/>
      <c r="P559" s="32"/>
      <c r="Q559" s="32"/>
      <c r="R559" s="32"/>
      <c r="AV559" s="50"/>
      <c r="AY559" s="50"/>
    </row>
    <row r="560" spans="2:51" s="30" customFormat="1">
      <c r="B560" s="50"/>
      <c r="E560" s="67"/>
      <c r="G560" s="35"/>
      <c r="L560" s="32"/>
      <c r="M560" s="32"/>
      <c r="N560" s="11"/>
      <c r="O560" s="11"/>
      <c r="P560" s="32"/>
      <c r="Q560" s="32"/>
      <c r="R560" s="32"/>
      <c r="AV560" s="50"/>
      <c r="AY560" s="50"/>
    </row>
    <row r="561" spans="2:51" s="30" customFormat="1">
      <c r="B561" s="50"/>
      <c r="E561" s="67"/>
      <c r="G561" s="35"/>
      <c r="L561" s="32"/>
      <c r="M561" s="32"/>
      <c r="N561" s="11"/>
      <c r="O561" s="11"/>
      <c r="P561" s="32"/>
      <c r="Q561" s="32"/>
      <c r="R561" s="32"/>
      <c r="AV561" s="50"/>
      <c r="AY561" s="50"/>
    </row>
    <row r="562" spans="2:51" s="30" customFormat="1">
      <c r="B562" s="50"/>
      <c r="E562" s="67"/>
      <c r="G562" s="35"/>
      <c r="L562" s="32"/>
      <c r="M562" s="32"/>
      <c r="N562" s="11"/>
      <c r="O562" s="11"/>
      <c r="P562" s="32"/>
      <c r="Q562" s="32"/>
      <c r="R562" s="32"/>
      <c r="AV562" s="50"/>
      <c r="AY562" s="50"/>
    </row>
    <row r="563" spans="2:51" s="30" customFormat="1">
      <c r="B563" s="50"/>
      <c r="E563" s="67"/>
      <c r="G563" s="35"/>
      <c r="L563" s="32"/>
      <c r="M563" s="32"/>
      <c r="N563" s="11"/>
      <c r="O563" s="11"/>
      <c r="P563" s="32"/>
      <c r="Q563" s="32"/>
      <c r="R563" s="32"/>
      <c r="AV563" s="50"/>
      <c r="AY563" s="50"/>
    </row>
    <row r="564" spans="2:51" s="30" customFormat="1">
      <c r="B564" s="50"/>
      <c r="E564" s="67"/>
      <c r="G564" s="35"/>
      <c r="L564" s="32"/>
      <c r="M564" s="32"/>
      <c r="N564" s="11"/>
      <c r="O564" s="11"/>
      <c r="P564" s="32"/>
      <c r="Q564" s="32"/>
      <c r="R564" s="32"/>
      <c r="AV564" s="50"/>
      <c r="AY564" s="50"/>
    </row>
    <row r="565" spans="2:51" s="30" customFormat="1">
      <c r="B565" s="50"/>
      <c r="E565" s="67"/>
      <c r="G565" s="35"/>
      <c r="L565" s="32"/>
      <c r="M565" s="32"/>
      <c r="N565" s="11"/>
      <c r="O565" s="11"/>
      <c r="P565" s="32"/>
      <c r="Q565" s="32"/>
      <c r="R565" s="32"/>
      <c r="AV565" s="50"/>
      <c r="AY565" s="50"/>
    </row>
    <row r="566" spans="2:51" s="30" customFormat="1">
      <c r="B566" s="50"/>
      <c r="E566" s="67"/>
      <c r="G566" s="35"/>
      <c r="L566" s="32"/>
      <c r="M566" s="32"/>
      <c r="N566" s="11"/>
      <c r="O566" s="11"/>
      <c r="P566" s="32"/>
      <c r="Q566" s="32"/>
      <c r="R566" s="32"/>
      <c r="AV566" s="50"/>
      <c r="AY566" s="50"/>
    </row>
    <row r="567" spans="2:51" s="30" customFormat="1">
      <c r="B567" s="50"/>
      <c r="E567" s="67"/>
      <c r="G567" s="35"/>
      <c r="L567" s="32"/>
      <c r="M567" s="32"/>
      <c r="N567" s="11"/>
      <c r="O567" s="11"/>
      <c r="P567" s="32"/>
      <c r="Q567" s="32"/>
      <c r="R567" s="32"/>
      <c r="AV567" s="50"/>
      <c r="AY567" s="50"/>
    </row>
    <row r="568" spans="2:51" s="30" customFormat="1">
      <c r="B568" s="50"/>
      <c r="E568" s="67"/>
      <c r="G568" s="35"/>
      <c r="L568" s="32"/>
      <c r="M568" s="32"/>
      <c r="N568" s="11"/>
      <c r="O568" s="11"/>
      <c r="P568" s="32"/>
      <c r="Q568" s="32"/>
      <c r="R568" s="32"/>
      <c r="AV568" s="50"/>
      <c r="AY568" s="50"/>
    </row>
    <row r="569" spans="2:51" s="30" customFormat="1">
      <c r="B569" s="50"/>
      <c r="E569" s="67"/>
      <c r="G569" s="35"/>
      <c r="L569" s="32"/>
      <c r="M569" s="32"/>
      <c r="N569" s="11"/>
      <c r="O569" s="11"/>
      <c r="P569" s="32"/>
      <c r="Q569" s="32"/>
      <c r="R569" s="32"/>
      <c r="AV569" s="50"/>
      <c r="AY569" s="50"/>
    </row>
    <row r="570" spans="2:51" s="30" customFormat="1">
      <c r="B570" s="50"/>
      <c r="E570" s="67"/>
      <c r="G570" s="35"/>
      <c r="L570" s="32"/>
      <c r="M570" s="32"/>
      <c r="N570" s="11"/>
      <c r="O570" s="11"/>
      <c r="P570" s="32"/>
      <c r="Q570" s="32"/>
      <c r="R570" s="32"/>
      <c r="AV570" s="50"/>
      <c r="AY570" s="50"/>
    </row>
    <row r="571" spans="2:51" s="30" customFormat="1">
      <c r="B571" s="50"/>
      <c r="E571" s="67"/>
      <c r="G571" s="35"/>
      <c r="L571" s="32"/>
      <c r="M571" s="32"/>
      <c r="N571" s="11"/>
      <c r="O571" s="11"/>
      <c r="P571" s="32"/>
      <c r="Q571" s="32"/>
      <c r="R571" s="32"/>
      <c r="AV571" s="50"/>
      <c r="AY571" s="50"/>
    </row>
    <row r="572" spans="2:51" s="30" customFormat="1">
      <c r="B572" s="50"/>
      <c r="E572" s="67"/>
      <c r="G572" s="35"/>
      <c r="L572" s="32"/>
      <c r="M572" s="32"/>
      <c r="N572" s="11"/>
      <c r="O572" s="11"/>
      <c r="P572" s="32"/>
      <c r="Q572" s="32"/>
      <c r="R572" s="32"/>
      <c r="AV572" s="50"/>
      <c r="AY572" s="50"/>
    </row>
    <row r="573" spans="2:51" s="30" customFormat="1">
      <c r="B573" s="50"/>
      <c r="E573" s="67"/>
      <c r="G573" s="35"/>
      <c r="L573" s="32"/>
      <c r="M573" s="32"/>
      <c r="N573" s="11"/>
      <c r="O573" s="11"/>
      <c r="P573" s="32"/>
      <c r="Q573" s="32"/>
      <c r="R573" s="32"/>
      <c r="AV573" s="50"/>
      <c r="AY573" s="50"/>
    </row>
    <row r="574" spans="2:51" s="30" customFormat="1">
      <c r="B574" s="50"/>
      <c r="E574" s="67"/>
      <c r="G574" s="35"/>
      <c r="L574" s="32"/>
      <c r="M574" s="32"/>
      <c r="N574" s="11"/>
      <c r="O574" s="11"/>
      <c r="P574" s="32"/>
      <c r="Q574" s="32"/>
      <c r="R574" s="32"/>
      <c r="AV574" s="50"/>
      <c r="AY574" s="50"/>
    </row>
    <row r="575" spans="2:51" s="30" customFormat="1">
      <c r="B575" s="50"/>
      <c r="E575" s="67"/>
      <c r="G575" s="35"/>
      <c r="L575" s="32"/>
      <c r="M575" s="32"/>
      <c r="N575" s="11"/>
      <c r="O575" s="11"/>
      <c r="P575" s="32"/>
      <c r="Q575" s="32"/>
      <c r="R575" s="32"/>
      <c r="AV575" s="50"/>
      <c r="AY575" s="50"/>
    </row>
    <row r="576" spans="2:51" s="30" customFormat="1">
      <c r="B576" s="50"/>
      <c r="E576" s="67"/>
      <c r="G576" s="35"/>
      <c r="L576" s="32"/>
      <c r="M576" s="32"/>
      <c r="N576" s="11"/>
      <c r="O576" s="11"/>
      <c r="P576" s="32"/>
      <c r="Q576" s="32"/>
      <c r="R576" s="32"/>
      <c r="AV576" s="50"/>
      <c r="AY576" s="50"/>
    </row>
    <row r="577" spans="2:51" s="30" customFormat="1">
      <c r="B577" s="50"/>
      <c r="E577" s="67"/>
      <c r="G577" s="35"/>
      <c r="L577" s="32"/>
      <c r="M577" s="32"/>
      <c r="N577" s="11"/>
      <c r="O577" s="11"/>
      <c r="P577" s="32"/>
      <c r="Q577" s="32"/>
      <c r="R577" s="32"/>
      <c r="AV577" s="50"/>
      <c r="AY577" s="50"/>
    </row>
    <row r="578" spans="2:51" s="30" customFormat="1">
      <c r="B578" s="50"/>
      <c r="E578" s="67"/>
      <c r="G578" s="35"/>
      <c r="L578" s="32"/>
      <c r="M578" s="32"/>
      <c r="N578" s="11"/>
      <c r="O578" s="11"/>
      <c r="P578" s="32"/>
      <c r="Q578" s="32"/>
      <c r="R578" s="32"/>
      <c r="AV578" s="50"/>
      <c r="AY578" s="50"/>
    </row>
    <row r="579" spans="2:51" s="30" customFormat="1">
      <c r="B579" s="50"/>
      <c r="E579" s="67"/>
      <c r="G579" s="35"/>
      <c r="L579" s="32"/>
      <c r="M579" s="32"/>
      <c r="N579" s="11"/>
      <c r="O579" s="11"/>
      <c r="P579" s="32"/>
      <c r="Q579" s="32"/>
      <c r="R579" s="32"/>
      <c r="AV579" s="50"/>
      <c r="AY579" s="50"/>
    </row>
    <row r="580" spans="2:51" s="30" customFormat="1">
      <c r="B580" s="50"/>
      <c r="E580" s="67"/>
      <c r="G580" s="35"/>
      <c r="L580" s="32"/>
      <c r="M580" s="32"/>
      <c r="N580" s="11"/>
      <c r="O580" s="11"/>
      <c r="P580" s="32"/>
      <c r="Q580" s="32"/>
      <c r="R580" s="32"/>
      <c r="AV580" s="50"/>
      <c r="AY580" s="50"/>
    </row>
    <row r="581" spans="2:51" s="30" customFormat="1">
      <c r="B581" s="50"/>
      <c r="E581" s="67"/>
      <c r="G581" s="35"/>
      <c r="L581" s="32"/>
      <c r="M581" s="32"/>
      <c r="N581" s="11"/>
      <c r="O581" s="11"/>
      <c r="P581" s="32"/>
      <c r="Q581" s="32"/>
      <c r="R581" s="32"/>
      <c r="AV581" s="50"/>
      <c r="AY581" s="50"/>
    </row>
    <row r="582" spans="2:51" s="30" customFormat="1">
      <c r="B582" s="50"/>
      <c r="E582" s="67"/>
      <c r="G582" s="35"/>
      <c r="L582" s="32"/>
      <c r="M582" s="32"/>
      <c r="N582" s="11"/>
      <c r="O582" s="11"/>
      <c r="P582" s="32"/>
      <c r="Q582" s="32"/>
      <c r="R582" s="32"/>
      <c r="AV582" s="50"/>
      <c r="AY582" s="50"/>
    </row>
    <row r="583" spans="2:51" s="30" customFormat="1">
      <c r="B583" s="50"/>
      <c r="E583" s="67"/>
      <c r="G583" s="35"/>
      <c r="L583" s="32"/>
      <c r="M583" s="32"/>
      <c r="N583" s="11"/>
      <c r="O583" s="11"/>
      <c r="P583" s="32"/>
      <c r="Q583" s="32"/>
      <c r="R583" s="32"/>
      <c r="AV583" s="50"/>
      <c r="AY583" s="50"/>
    </row>
    <row r="584" spans="2:51" s="30" customFormat="1">
      <c r="B584" s="50"/>
      <c r="E584" s="67"/>
      <c r="G584" s="35"/>
      <c r="L584" s="32"/>
      <c r="M584" s="32"/>
      <c r="N584" s="11"/>
      <c r="O584" s="11"/>
      <c r="P584" s="32"/>
      <c r="Q584" s="32"/>
      <c r="R584" s="32"/>
      <c r="AV584" s="50"/>
      <c r="AY584" s="50"/>
    </row>
    <row r="585" spans="2:51" s="30" customFormat="1">
      <c r="B585" s="50"/>
      <c r="E585" s="67"/>
      <c r="G585" s="35"/>
      <c r="L585" s="32"/>
      <c r="M585" s="32"/>
      <c r="N585" s="11"/>
      <c r="O585" s="11"/>
      <c r="P585" s="32"/>
      <c r="Q585" s="32"/>
      <c r="R585" s="32"/>
      <c r="AV585" s="50"/>
      <c r="AY585" s="50"/>
    </row>
    <row r="586" spans="2:51" s="30" customFormat="1">
      <c r="B586" s="50"/>
      <c r="E586" s="67"/>
      <c r="G586" s="35"/>
      <c r="L586" s="32"/>
      <c r="M586" s="32"/>
      <c r="N586" s="11"/>
      <c r="O586" s="11"/>
      <c r="P586" s="32"/>
      <c r="Q586" s="32"/>
      <c r="R586" s="32"/>
      <c r="AV586" s="50"/>
      <c r="AY586" s="50"/>
    </row>
    <row r="587" spans="2:51" s="30" customFormat="1">
      <c r="B587" s="50"/>
      <c r="E587" s="67"/>
      <c r="G587" s="35"/>
      <c r="L587" s="32"/>
      <c r="M587" s="32"/>
      <c r="N587" s="11"/>
      <c r="O587" s="11"/>
      <c r="P587" s="32"/>
      <c r="Q587" s="32"/>
      <c r="R587" s="32"/>
      <c r="AV587" s="50"/>
      <c r="AY587" s="50"/>
    </row>
    <row r="588" spans="2:51" s="30" customFormat="1">
      <c r="B588" s="50"/>
      <c r="E588" s="67"/>
      <c r="G588" s="35"/>
      <c r="L588" s="32"/>
      <c r="M588" s="32"/>
      <c r="N588" s="11"/>
      <c r="O588" s="11"/>
      <c r="P588" s="32"/>
      <c r="Q588" s="32"/>
      <c r="R588" s="32"/>
      <c r="AV588" s="50"/>
      <c r="AY588" s="50"/>
    </row>
    <row r="589" spans="2:51" s="30" customFormat="1">
      <c r="B589" s="50"/>
      <c r="E589" s="67"/>
      <c r="G589" s="35"/>
      <c r="L589" s="32"/>
      <c r="M589" s="32"/>
      <c r="N589" s="11"/>
      <c r="O589" s="11"/>
      <c r="P589" s="32"/>
      <c r="Q589" s="32"/>
      <c r="R589" s="32"/>
      <c r="AV589" s="50"/>
      <c r="AY589" s="50"/>
    </row>
    <row r="590" spans="2:51" s="30" customFormat="1">
      <c r="B590" s="50"/>
      <c r="E590" s="67"/>
      <c r="G590" s="35"/>
      <c r="L590" s="32"/>
      <c r="M590" s="32"/>
      <c r="N590" s="11"/>
      <c r="O590" s="11"/>
      <c r="P590" s="32"/>
      <c r="Q590" s="32"/>
      <c r="R590" s="32"/>
      <c r="AV590" s="50"/>
      <c r="AY590" s="50"/>
    </row>
    <row r="591" spans="2:51" s="30" customFormat="1">
      <c r="B591" s="50"/>
      <c r="E591" s="67"/>
      <c r="G591" s="35"/>
      <c r="L591" s="32"/>
      <c r="M591" s="32"/>
      <c r="N591" s="11"/>
      <c r="O591" s="11"/>
      <c r="P591" s="32"/>
      <c r="Q591" s="32"/>
      <c r="R591" s="32"/>
      <c r="AV591" s="50"/>
      <c r="AY591" s="50"/>
    </row>
    <row r="592" spans="2:51" s="30" customFormat="1">
      <c r="B592" s="50"/>
      <c r="E592" s="67"/>
      <c r="G592" s="35"/>
      <c r="L592" s="32"/>
      <c r="M592" s="32"/>
      <c r="N592" s="11"/>
      <c r="O592" s="11"/>
      <c r="P592" s="32"/>
      <c r="Q592" s="32"/>
      <c r="R592" s="32"/>
      <c r="AV592" s="50"/>
      <c r="AY592" s="50"/>
    </row>
    <row r="593" spans="2:51" s="30" customFormat="1">
      <c r="B593" s="50"/>
      <c r="E593" s="67"/>
      <c r="G593" s="35"/>
      <c r="L593" s="32"/>
      <c r="M593" s="32"/>
      <c r="N593" s="11"/>
      <c r="O593" s="11"/>
      <c r="P593" s="32"/>
      <c r="Q593" s="32"/>
      <c r="R593" s="32"/>
      <c r="AV593" s="50"/>
      <c r="AY593" s="50"/>
    </row>
    <row r="594" spans="2:51" s="30" customFormat="1">
      <c r="B594" s="50"/>
      <c r="E594" s="67"/>
      <c r="G594" s="35"/>
      <c r="L594" s="32"/>
      <c r="M594" s="32"/>
      <c r="N594" s="11"/>
      <c r="O594" s="11"/>
      <c r="P594" s="32"/>
      <c r="Q594" s="32"/>
      <c r="R594" s="32"/>
      <c r="AV594" s="50"/>
      <c r="AY594" s="50"/>
    </row>
    <row r="595" spans="2:51" s="30" customFormat="1">
      <c r="B595" s="50"/>
      <c r="E595" s="67"/>
      <c r="G595" s="35"/>
      <c r="L595" s="32"/>
      <c r="M595" s="32"/>
      <c r="N595" s="11"/>
      <c r="O595" s="11"/>
      <c r="P595" s="32"/>
      <c r="Q595" s="32"/>
      <c r="R595" s="32"/>
      <c r="AV595" s="50"/>
      <c r="AY595" s="50"/>
    </row>
    <row r="596" spans="2:51" s="30" customFormat="1">
      <c r="B596" s="50"/>
      <c r="E596" s="67"/>
      <c r="G596" s="35"/>
      <c r="L596" s="32"/>
      <c r="M596" s="32"/>
      <c r="N596" s="11"/>
      <c r="O596" s="11"/>
      <c r="P596" s="32"/>
      <c r="Q596" s="32"/>
      <c r="R596" s="32"/>
      <c r="AV596" s="50"/>
      <c r="AY596" s="50"/>
    </row>
    <row r="597" spans="2:51" s="30" customFormat="1">
      <c r="B597" s="50"/>
      <c r="E597" s="67"/>
      <c r="G597" s="35"/>
      <c r="L597" s="32"/>
      <c r="M597" s="32"/>
      <c r="N597" s="11"/>
      <c r="O597" s="11"/>
      <c r="P597" s="32"/>
      <c r="Q597" s="32"/>
      <c r="R597" s="32"/>
      <c r="AV597" s="50"/>
      <c r="AY597" s="50"/>
    </row>
    <row r="598" spans="2:51" s="30" customFormat="1">
      <c r="B598" s="50"/>
      <c r="E598" s="67"/>
      <c r="G598" s="35"/>
      <c r="L598" s="32"/>
      <c r="M598" s="32"/>
      <c r="N598" s="11"/>
      <c r="O598" s="11"/>
      <c r="P598" s="32"/>
      <c r="Q598" s="32"/>
      <c r="R598" s="32"/>
      <c r="AV598" s="50"/>
      <c r="AY598" s="50"/>
    </row>
    <row r="599" spans="2:51" s="30" customFormat="1">
      <c r="B599" s="50"/>
      <c r="E599" s="67"/>
      <c r="G599" s="35"/>
      <c r="L599" s="32"/>
      <c r="M599" s="32"/>
      <c r="N599" s="11"/>
      <c r="O599" s="11"/>
      <c r="P599" s="32"/>
      <c r="Q599" s="32"/>
      <c r="R599" s="32"/>
      <c r="AV599" s="50"/>
      <c r="AY599" s="50"/>
    </row>
    <row r="600" spans="2:51" s="30" customFormat="1">
      <c r="B600" s="50"/>
      <c r="E600" s="67"/>
      <c r="G600" s="35"/>
      <c r="L600" s="32"/>
      <c r="M600" s="32"/>
      <c r="N600" s="11"/>
      <c r="O600" s="11"/>
      <c r="P600" s="32"/>
      <c r="Q600" s="32"/>
      <c r="R600" s="32"/>
      <c r="AV600" s="50"/>
      <c r="AY600" s="50"/>
    </row>
    <row r="601" spans="2:51" s="30" customFormat="1">
      <c r="B601" s="50"/>
      <c r="E601" s="67"/>
      <c r="G601" s="35"/>
      <c r="L601" s="32"/>
      <c r="M601" s="32"/>
      <c r="N601" s="11"/>
      <c r="O601" s="11"/>
      <c r="P601" s="32"/>
      <c r="Q601" s="32"/>
      <c r="R601" s="32"/>
      <c r="AV601" s="50"/>
      <c r="AY601" s="50"/>
    </row>
    <row r="602" spans="2:51" s="30" customFormat="1">
      <c r="B602" s="50"/>
      <c r="E602" s="67"/>
      <c r="G602" s="35"/>
      <c r="L602" s="32"/>
      <c r="M602" s="32"/>
      <c r="N602" s="11"/>
      <c r="O602" s="11"/>
      <c r="P602" s="32"/>
      <c r="Q602" s="32"/>
      <c r="R602" s="32"/>
      <c r="AV602" s="50"/>
      <c r="AY602" s="50"/>
    </row>
    <row r="603" spans="2:51" s="30" customFormat="1">
      <c r="B603" s="50"/>
      <c r="E603" s="67"/>
      <c r="G603" s="35"/>
      <c r="L603" s="32"/>
      <c r="M603" s="32"/>
      <c r="N603" s="11"/>
      <c r="O603" s="11"/>
      <c r="P603" s="32"/>
      <c r="Q603" s="32"/>
      <c r="R603" s="32"/>
      <c r="AV603" s="50"/>
      <c r="AY603" s="50"/>
    </row>
    <row r="604" spans="2:51" s="30" customFormat="1">
      <c r="B604" s="50"/>
      <c r="E604" s="67"/>
      <c r="G604" s="35"/>
      <c r="L604" s="32"/>
      <c r="M604" s="32"/>
      <c r="N604" s="11"/>
      <c r="O604" s="11"/>
      <c r="P604" s="32"/>
      <c r="Q604" s="32"/>
      <c r="R604" s="32"/>
      <c r="AV604" s="50"/>
      <c r="AY604" s="50"/>
    </row>
    <row r="605" spans="2:51" s="30" customFormat="1">
      <c r="B605" s="50"/>
      <c r="E605" s="67"/>
      <c r="G605" s="35"/>
      <c r="L605" s="32"/>
      <c r="M605" s="32"/>
      <c r="N605" s="11"/>
      <c r="O605" s="11"/>
      <c r="P605" s="32"/>
      <c r="Q605" s="32"/>
      <c r="R605" s="32"/>
      <c r="AV605" s="50"/>
      <c r="AY605" s="50"/>
    </row>
    <row r="1048571" spans="7:47">
      <c r="G1048571" s="25"/>
      <c r="AE1048571" s="21"/>
      <c r="AU1048571" s="28"/>
    </row>
  </sheetData>
  <mergeCells count="28">
    <mergeCell ref="AV3:AV4"/>
    <mergeCell ref="AW3:AX4"/>
    <mergeCell ref="A1:AY1"/>
    <mergeCell ref="AY3:AY5"/>
    <mergeCell ref="AP3:AP4"/>
    <mergeCell ref="AQ3:AQ4"/>
    <mergeCell ref="AR3:AR4"/>
    <mergeCell ref="AS3:AS4"/>
    <mergeCell ref="AT3:AT4"/>
    <mergeCell ref="AU3:AU4"/>
    <mergeCell ref="AJ3:AJ4"/>
    <mergeCell ref="AK3:AK4"/>
    <mergeCell ref="AL3:AL4"/>
    <mergeCell ref="AM3:AM4"/>
    <mergeCell ref="AN3:AN4"/>
    <mergeCell ref="AO3:AO4"/>
    <mergeCell ref="AI3:AI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conditionalFormatting sqref="A1:AY43">
    <cfRule type="expression" dxfId="0" priority="1">
      <formula>MOD(ROW( ),2) =0</formula>
    </cfRule>
  </conditionalFormatting>
  <pageMargins left="0.7" right="0.7" top="0.75" bottom="0.75" header="0.3" footer="0.3"/>
  <pageSetup paperSize="9" scale="2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Material Base On TSM</vt:lpstr>
      <vt:lpstr>Parameter Setting</vt:lpstr>
      <vt:lpstr>Digitalisasi</vt:lpstr>
      <vt:lpstr>Print</vt:lpstr>
      <vt:lpstr>'Parameter Setting'!Print_Area</vt:lpstr>
      <vt:lpstr>Print!Print_Area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HERI14</dc:creator>
  <cp:lastModifiedBy>Adriyant Prasetyo</cp:lastModifiedBy>
  <cp:lastPrinted>2024-10-23T07:32:15Z</cp:lastPrinted>
  <dcterms:created xsi:type="dcterms:W3CDTF">2016-01-08T09:11:25Z</dcterms:created>
  <dcterms:modified xsi:type="dcterms:W3CDTF">2026-03-16T02:01:33Z</dcterms:modified>
</cp:coreProperties>
</file>